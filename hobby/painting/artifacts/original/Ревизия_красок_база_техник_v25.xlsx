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worksheets/sheet11.xml" ContentType="application/vnd.openxmlformats-officedocument.spreadsheetml.worksheet+xml"/>
  <Override PartName="/xl/tables/table4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5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6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7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8.xml" ContentType="application/vnd.openxmlformats-officedocument.spreadsheetml.table+xml"/>
  <Override PartName="/xl/worksheets/sheet20.xml" ContentType="application/vnd.openxmlformats-officedocument.spreadsheetml.worksheet+xml"/>
  <Override PartName="/xl/tables/table9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ables/table10.xml" ContentType="application/vnd.openxmlformats-officedocument.spreadsheetml.table+xml"/>
  <Override PartName="/xl/worksheets/sheet23.xml" ContentType="application/vnd.openxmlformats-officedocument.spreadsheetml.worksheet+xml"/>
  <Override PartName="/xl/tables/table11.xml" ContentType="application/vnd.openxmlformats-officedocument.spreadsheetml.table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ables/table12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13.xml" ContentType="application/vnd.openxmlformats-officedocument.spreadsheetml.table+xml"/>
  <Override PartName="/xl/worksheets/sheet28.xml" ContentType="application/vnd.openxmlformats-officedocument.spreadsheetml.worksheet+xml"/>
  <Override PartName="/xl/tables/table14.xml" ContentType="application/vnd.openxmlformats-officedocument.spreadsheetml.table+xml"/>
  <Override PartName="/xl/worksheets/sheet29.xml" ContentType="application/vnd.openxmlformats-officedocument.spreadsheetml.worksheet+xml"/>
  <Override PartName="/xl/tables/table15.xml" ContentType="application/vnd.openxmlformats-officedocument.spreadsheetml.table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ables/table16.xml" ContentType="application/vnd.openxmlformats-officedocument.spreadsheetml.table+xml"/>
  <Override PartName="/xl/worksheets/sheet32.xml" ContentType="application/vnd.openxmlformats-officedocument.spreadsheetml.worksheet+xml"/>
  <Override PartName="/xl/tables/table17.xml" ContentType="application/vnd.openxmlformats-officedocument.spreadsheetml.table+xml"/>
  <Override PartName="/xl/worksheets/sheet33.xml" ContentType="application/vnd.openxmlformats-officedocument.spreadsheetml.worksheet+xml"/>
  <Override PartName="/xl/tables/table18.xml" ContentType="application/vnd.openxmlformats-officedocument.spreadsheetml.table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ables/table19.xml" ContentType="application/vnd.openxmlformats-officedocument.spreadsheetml.table+xml"/>
  <Override PartName="/xl/worksheets/sheet36.xml" ContentType="application/vnd.openxmlformats-officedocument.spreadsheetml.worksheet+xml"/>
  <Override PartName="/xl/tables/table20.xml" ContentType="application/vnd.openxmlformats-officedocument.spreadsheetml.table+xml"/>
  <Override PartName="/xl/worksheets/sheet37.xml" ContentType="application/vnd.openxmlformats-officedocument.spreadsheetml.worksheet+xml"/>
  <Override PartName="/xl/tables/table21.xml" ContentType="application/vnd.openxmlformats-officedocument.spreadsheetml.table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ables/table22.xml" ContentType="application/vnd.openxmlformats-officedocument.spreadsheetml.table+xml"/>
  <Override PartName="/xl/worksheets/sheet40.xml" ContentType="application/vnd.openxmlformats-officedocument.spreadsheetml.worksheet+xml"/>
  <Override PartName="/xl/tables/table23.xml" ContentType="application/vnd.openxmlformats-officedocument.spreadsheetml.table+xml"/>
  <Override PartName="/xl/worksheets/sheet41.xml" ContentType="application/vnd.openxmlformats-officedocument.spreadsheetml.worksheet+xml"/>
  <Override PartName="/xl/tables/table24.xml" ContentType="application/vnd.openxmlformats-officedocument.spreadsheetml.table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ables/table25.xml" ContentType="application/vnd.openxmlformats-officedocument.spreadsheetml.table+xml"/>
  <Override PartName="/xl/worksheets/sheet44.xml" ContentType="application/vnd.openxmlformats-officedocument.spreadsheetml.worksheet+xml"/>
  <Override PartName="/xl/tables/table26.xml" ContentType="application/vnd.openxmlformats-officedocument.spreadsheetml.table+xml"/>
  <Override PartName="/xl/worksheets/sheet45.xml" ContentType="application/vnd.openxmlformats-officedocument.spreadsheetml.worksheet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ables/table29.xml" ContentType="application/vnd.openxmlformats-officedocument.spreadsheetml.table+xml"/>
  <Override PartName="/xl/worksheets/sheet48.xml" ContentType="application/vnd.openxmlformats-officedocument.spreadsheetml.worksheet+xml"/>
  <Override PartName="/xl/tables/table30.xml" ContentType="application/vnd.openxmlformats-officedocument.spreadsheetml.table+xml"/>
  <Override PartName="/xl/worksheets/sheet49.xml" ContentType="application/vnd.openxmlformats-officedocument.spreadsheetml.worksheet+xml"/>
  <Override PartName="/xl/tables/table31.xml" ContentType="application/vnd.openxmlformats-officedocument.spreadsheetml.table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ables/table32.xml" ContentType="application/vnd.openxmlformats-officedocument.spreadsheetml.table+xml"/>
  <Override PartName="/xl/worksheets/sheet52.xml" ContentType="application/vnd.openxmlformats-officedocument.spreadsheetml.worksheet+xml"/>
  <Override PartName="/xl/tables/table33.xml" ContentType="application/vnd.openxmlformats-officedocument.spreadsheetml.table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ables/table34.xml" ContentType="application/vnd.openxmlformats-officedocument.spreadsheetml.table+xml"/>
  <Override PartName="/xl/worksheets/sheet55.xml" ContentType="application/vnd.openxmlformats-officedocument.spreadsheetml.worksheet+xml"/>
  <Override PartName="/xl/tables/table35.xml" ContentType="application/vnd.openxmlformats-officedocument.spreadsheetml.table+xml"/>
  <Override PartName="/xl/worksheets/sheet56.xml" ContentType="application/vnd.openxmlformats-officedocument.spreadsheetml.worksheet+xml"/>
  <Override PartName="/xl/tables/table36.xml" ContentType="application/vnd.openxmlformats-officedocument.spreadsheetml.table+xml"/>
  <Override PartName="/xl/worksheets/sheet57.xml" ContentType="application/vnd.openxmlformats-officedocument.spreadsheetml.worksheet+xml"/>
  <Override PartName="/xl/tables/table37.xml" ContentType="application/vnd.openxmlformats-officedocument.spreadsheetml.table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worksheets/sheet60.xml" ContentType="application/vnd.openxmlformats-officedocument.spreadsheetml.worksheet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worksheets/sheet61.xml" ContentType="application/vnd.openxmlformats-officedocument.spreadsheetml.worksheet+xml"/>
  <Override PartName="/xl/tables/table42.xml" ContentType="application/vnd.openxmlformats-officedocument.spreadsheetml.table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worksheets/sheet64.xml" ContentType="application/vnd.openxmlformats-officedocument.spreadsheetml.worksheet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worksheets/sheet65.xml" ContentType="application/vnd.openxmlformats-officedocument.spreadsheetml.worksheet+xml"/>
  <Override PartName="/xl/tables/table47.xml" ContentType="application/vnd.openxmlformats-officedocument.spreadsheetml.table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worksheets/sheet68.xml" ContentType="application/vnd.openxmlformats-officedocument.spreadsheetml.worksheet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worksheets/sheet69.xml" ContentType="application/vnd.openxmlformats-officedocument.spreadsheetml.worksheet+xml"/>
  <Override PartName="/xl/tables/table52.xml" ContentType="application/vnd.openxmlformats-officedocument.spreadsheetml.table+xml"/>
  <Override PartName="/xl/worksheets/sheet7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8bbd4bdb2f47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вентаризация" sheetId="1" r:id="R846e7fd1890e4a05"/>
    <x:sheet xmlns:r="http://schemas.openxmlformats.org/officeDocument/2006/relationships" name="Сводка" sheetId="2" r:id="R1a4e97d8aae241cb"/>
    <x:sheet xmlns:r="http://schemas.openxmlformats.org/officeDocument/2006/relationships" name="Повторы" sheetId="3" r:id="R0578ffc6443c41eb"/>
    <x:sheet xmlns:r="http://schemas.openxmlformats.org/officeDocument/2006/relationships" name="Источники" sheetId="4" r:id="Ra396efd2400c4ec6"/>
    <x:sheet xmlns:r="http://schemas.openxmlformats.org/officeDocument/2006/relationships" name="Инструкция" sheetId="5" r:id="R2b51534a4e2d4497"/>
    <x:sheet xmlns:r="http://schemas.openxmlformats.org/officeDocument/2006/relationships" name="Анализ палитры" sheetId="6" r:id="Red71ba06138148f9"/>
    <x:sheet xmlns:r="http://schemas.openxmlformats.org/officeDocument/2006/relationships" name="Рекомендации AK" sheetId="7" r:id="R4272ecc97f304a35"/>
    <x:sheet xmlns:r="http://schemas.openxmlformats.org/officeDocument/2006/relationships" name="Оценка стоимости" sheetId="8" r:id="Rb6b4384ee2384878"/>
    <x:sheet xmlns:r="http://schemas.openxmlformats.org/officeDocument/2006/relationships" name="Матрица слоёв" sheetId="9" r:id="R8e39c67302b242ce"/>
    <x:sheet xmlns:r="http://schemas.openxmlformats.org/officeDocument/2006/relationships" name="Модификаторы и смеси" sheetId="10" r:id="Rbe4722d8a2ad40fd"/>
    <x:sheet xmlns:r="http://schemas.openxmlformats.org/officeDocument/2006/relationships" name="Порядок нанесения" sheetId="11" r:id="Rfc98005c3a1c4905"/>
    <x:sheet xmlns:r="http://schemas.openxmlformats.org/officeDocument/2006/relationships" name="Аудит матрицы" sheetId="12" r:id="Rb9c17eb5fe784493"/>
    <x:sheet xmlns:r="http://schemas.openxmlformats.org/officeDocument/2006/relationships" name="Матрица подложек" sheetId="13" r:id="Rf863c6f655ac4dc9"/>
    <x:sheet xmlns:r="http://schemas.openxmlformats.org/officeDocument/2006/relationships" name="Второй аудит" sheetId="14" r:id="R68d0971d21054273"/>
    <x:sheet xmlns:r="http://schemas.openxmlformats.org/officeDocument/2006/relationships" name="Роли красок" sheetId="15" r:id="R91465c14b2bb4d8d"/>
    <x:sheet xmlns:r="http://schemas.openxmlformats.org/officeDocument/2006/relationships" name="Третий аудит" sheetId="16" r:id="R520eb611f3084825"/>
    <x:sheet xmlns:r="http://schemas.openxmlformats.org/officeDocument/2006/relationships" name="Стандарты детализации" sheetId="17" r:id="R80ce713e33b14e93"/>
    <x:sheet xmlns:r="http://schemas.openxmlformats.org/officeDocument/2006/relationships" name="Четвёртый аудит" sheetId="18" r:id="Re743d61ad22b49b5"/>
    <x:sheet xmlns:r="http://schemas.openxmlformats.org/officeDocument/2006/relationships" name="Аэрограф — материалы" sheetId="19" r:id="R0675653176dd4ebe"/>
    <x:sheet xmlns:r="http://schemas.openxmlformats.org/officeDocument/2006/relationships" name="Аэрографные рецепты" sheetId="20" r:id="Rd2119ceca6e74abf"/>
    <x:sheet xmlns:r="http://schemas.openxmlformats.org/officeDocument/2006/relationships" name="Пятый аудит" sheetId="21" r:id="Rda1310f70f914171"/>
    <x:sheet xmlns:r="http://schemas.openxmlformats.org/officeDocument/2006/relationships" name="Техники — выбор" sheetId="22" r:id="R288cc5ebdf65449b"/>
    <x:sheet xmlns:r="http://schemas.openxmlformats.org/officeDocument/2006/relationships" name="Диагностика поверхности" sheetId="23" r:id="R61337df5cf204f46"/>
    <x:sheet xmlns:r="http://schemas.openxmlformats.org/officeDocument/2006/relationships" name="Шестой аудит" sheetId="24" r:id="Rb556877d676442f7"/>
    <x:sheet xmlns:r="http://schemas.openxmlformats.org/officeDocument/2006/relationships" name="Материалы и финиши" sheetId="25" r:id="R69d7d6290c9a4c21"/>
    <x:sheet xmlns:r="http://schemas.openxmlformats.org/officeDocument/2006/relationships" name="Седьмой аудит" sheetId="26" r:id="R9d5e44dd635b4912"/>
    <x:sheet xmlns:r="http://schemas.openxmlformats.org/officeDocument/2006/relationships" name="Карта оттенков кожи" sheetId="27" r:id="Redf1da18a7c7400a"/>
    <x:sheet xmlns:r="http://schemas.openxmlformats.org/officeDocument/2006/relationships" name="Freehand и маркировка" sheetId="28" r:id="R4cd9e6bdc8744855"/>
    <x:sheet xmlns:r="http://schemas.openxmlformats.org/officeDocument/2006/relationships" name="Направленное загрязнение" sheetId="29" r:id="R75b22c41f8784866"/>
    <x:sheet xmlns:r="http://schemas.openxmlformats.org/officeDocument/2006/relationships" name="Восьмой аудит" sheetId="30" r:id="R5fe0190e64b7470c"/>
    <x:sheet xmlns:r="http://schemas.openxmlformats.org/officeDocument/2006/relationships" name="Редкие краски — применение" sheetId="31" r:id="R0dcfd7b103b34567"/>
    <x:sheet xmlns:r="http://schemas.openxmlformats.org/officeDocument/2006/relationships" name="Xpress и яркие Contrast" sheetId="32" r:id="R1c68bd6f375848a3"/>
    <x:sheet xmlns:r="http://schemas.openxmlformats.org/officeDocument/2006/relationships" name="Снег, пепел и трещины" sheetId="33" r:id="R30916d4cec494c7e"/>
    <x:sheet xmlns:r="http://schemas.openxmlformats.org/officeDocument/2006/relationships" name="Девятый аудит" sheetId="34" r:id="R1a3d78e96d58447a"/>
    <x:sheet xmlns:r="http://schemas.openxmlformats.org/officeDocument/2006/relationships" name="NMM и отражения" sheetId="35" r:id="Rb169dae1e30b430a"/>
    <x:sheet xmlns:r="http://schemas.openxmlformats.org/officeDocument/2006/relationships" name="Прозрачность и камни" sheetId="36" r:id="R175f950ade444f67"/>
    <x:sheet xmlns:r="http://schemas.openxmlformats.org/officeDocument/2006/relationships" name="Crackle и фактурные базы" sheetId="37" r:id="R6a7404eeb1f9461d"/>
    <x:sheet xmlns:r="http://schemas.openxmlformats.org/officeDocument/2006/relationships" name="Десятый аудит" sheetId="38" r:id="R5a9c1d9930e043ec"/>
    <x:sheet xmlns:r="http://schemas.openxmlformats.org/officeDocument/2006/relationships" name="Кровь и живая плоть" sheetId="39" r:id="Rc3803870621549c0"/>
    <x:sheet xmlns:r="http://schemas.openxmlformats.org/officeDocument/2006/relationships" name="Масляные техники" sheetId="40" r:id="R2fb69ea2de084fa2"/>
    <x:sheet xmlns:r="http://schemas.openxmlformats.org/officeDocument/2006/relationships" name="Камуфляж и финиш" sheetId="41" r:id="Rd03de98a6f0c4d5f"/>
    <x:sheet xmlns:r="http://schemas.openxmlformats.org/officeDocument/2006/relationships" name="Одиннадцатый аудит" sheetId="42" r:id="Rb2ab6bbbeaac4c7a"/>
    <x:sheet xmlns:r="http://schemas.openxmlformats.org/officeDocument/2006/relationships" name="Освещение и фокус" sheetId="43" r:id="Re6b21fd405014567"/>
    <x:sheet xmlns:r="http://schemas.openxmlformats.org/officeDocument/2006/relationships" name="Армейские пайплайны" sheetId="44" r:id="Re09bd5f78f1f430b"/>
    <x:sheet xmlns:r="http://schemas.openxmlformats.org/officeDocument/2006/relationships" name="Тестовые карты" sheetId="45" r:id="Rf7ab0cc8f3314fa0"/>
    <x:sheet xmlns:r="http://schemas.openxmlformats.org/officeDocument/2006/relationships" name="Двенадцатый аудит" sheetId="46" r:id="R3463131bbaf34b91"/>
    <x:sheet xmlns:r="http://schemas.openxmlformats.org/officeDocument/2006/relationships" name="Субсборки и маскирование" sheetId="47" r:id="R502ac814536e4c57"/>
    <x:sheet xmlns:r="http://schemas.openxmlformats.org/officeDocument/2006/relationships" name="Декали и интеграция" sheetId="48" r:id="R6f921481baac402e"/>
    <x:sheet xmlns:r="http://schemas.openxmlformats.org/officeDocument/2006/relationships" name="Ремонт и коррекция" sheetId="49" r:id="R840e25b4a76445e9"/>
    <x:sheet xmlns:r="http://schemas.openxmlformats.org/officeDocument/2006/relationships" name="Тринадцатый аудит" sheetId="50" r:id="R4d9b363f50b848fa"/>
    <x:sheet xmlns:r="http://schemas.openxmlformats.org/officeDocument/2006/relationships" name="Переходы материалов" sheetId="51" r:id="R903c03dc2d6548b1"/>
    <x:sheet xmlns:r="http://schemas.openxmlformats.org/officeDocument/2006/relationships" name="Навигатор базы" sheetId="52" r:id="R1db373f73b9d45d6"/>
    <x:sheet xmlns:r="http://schemas.openxmlformats.org/officeDocument/2006/relationships" name="Четырнадцатый аудит" sheetId="53" r:id="R70be81968d6f477c"/>
    <x:sheet xmlns:r="http://schemas.openxmlformats.org/officeDocument/2006/relationships" name="Демон-принц — проект" sheetId="54" r:id="R7edf911edfda41e7"/>
    <x:sheet xmlns:r="http://schemas.openxmlformats.org/officeDocument/2006/relationships" name="Сессии демон-принца" sheetId="55" r:id="R36930e1fd7414865"/>
    <x:sheet xmlns:r="http://schemas.openxmlformats.org/officeDocument/2006/relationships" name="Фото-контроль" sheetId="56" r:id="Rda76afe7841b46d0"/>
    <x:sheet xmlns:r="http://schemas.openxmlformats.org/officeDocument/2006/relationships" name="Карта зон демон-принца" sheetId="57" r:id="R7de8b31629d8424a"/>
    <x:sheet xmlns:r="http://schemas.openxmlformats.org/officeDocument/2006/relationships" name="Пятнадцатый аудит" sheetId="58" r:id="R258a2edc0a17404b"/>
    <x:sheet xmlns:r="http://schemas.openxmlformats.org/officeDocument/2006/relationships" name="Сессия S01 — торс" sheetId="59" r:id="R175e18c438fd4bd8"/>
    <x:sheet xmlns:r="http://schemas.openxmlformats.org/officeDocument/2006/relationships" name="Палитра S01" sheetId="60" r:id="R9e5aae5787d642cb"/>
    <x:sheet xmlns:r="http://schemas.openxmlformats.org/officeDocument/2006/relationships" name="Контроль теней S01" sheetId="61" r:id="R772a43ee8c0049b1"/>
    <x:sheet xmlns:r="http://schemas.openxmlformats.org/officeDocument/2006/relationships" name="Шестнадцатый аудит" sheetId="62" r:id="R1c76d281a44647a6"/>
    <x:sheet xmlns:r="http://schemas.openxmlformats.org/officeDocument/2006/relationships" name="Сессия S02 — анатомия" sheetId="63" r:id="Rd7545e17fbbe4f92"/>
    <x:sheet xmlns:r="http://schemas.openxmlformats.org/officeDocument/2006/relationships" name="Палитра S02" sheetId="64" r:id="Rf7f78064057d4910"/>
    <x:sheet xmlns:r="http://schemas.openxmlformats.org/officeDocument/2006/relationships" name="Карта анатомии S02" sheetId="65" r:id="R47392fab642e4309"/>
    <x:sheet xmlns:r="http://schemas.openxmlformats.org/officeDocument/2006/relationships" name="Семнадцатый аудит" sheetId="66" r:id="Rd558665d8305423a"/>
    <x:sheet xmlns:r="http://schemas.openxmlformats.org/officeDocument/2006/relationships" name="Сессия S03 — фактура" sheetId="67" r:id="R722b5c6d4c7c4bbb"/>
    <x:sheet xmlns:r="http://schemas.openxmlformats.org/officeDocument/2006/relationships" name="Палитра S03" sheetId="68" r:id="Rebca4503c17b4b7f"/>
    <x:sheet xmlns:r="http://schemas.openxmlformats.org/officeDocument/2006/relationships" name="Карта фактуры S03" sheetId="69" r:id="R48426369aea24eb2"/>
    <x:sheet xmlns:r="http://schemas.openxmlformats.org/officeDocument/2006/relationships" name="Восемнадцатый аудит" sheetId="70" r:id="R2caf069a23fc43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 &quot;₽&quot;"/>
    <x:numFmt numFmtId="201" formatCode="0%"/>
    <x:numFmt numFmtId="202" formatCode="0.00"/>
    <x:numFmt numFmtId="203" formatCode="yyyy-mm-dd"/>
    <x:numFmt numFmtId="204" formatCode="0"/>
    <x:numFmt numFmtId="205" formatCode="hh:mm"/>
  </x:numFmts>
  <x:fonts count="1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6"/>
      <x:color rgb="FFFFFFFF"/>
      <x:name val="Carlito"/>
    </x:font>
    <x:font>
      <x:b/>
      <x:sz val="11"/>
      <x:color rgb="FF166534"/>
      <x:name val="Carlito"/>
    </x:font>
    <x:font>
      <x:b/>
      <x:sz val="11"/>
      <x:color rgb="FF92400E"/>
      <x:name val="Carlito"/>
    </x:font>
    <x:font>
      <x:b/>
      <x:sz val="11"/>
      <x:color rgb="FF991B1B"/>
      <x:name val="Carlito"/>
    </x:font>
    <x:font>
      <x:b/>
      <x:sz val="13"/>
      <x:color rgb="FFFFFFFF"/>
      <x:name val="Carlito"/>
    </x:font>
    <x:font>
      <x:i/>
      <x:sz val="11"/>
      <x:color rgb="FF334155"/>
      <x:name val="Carlito"/>
    </x:font>
    <x:font>
      <x:b/>
      <x:i/>
      <x:sz val="11"/>
      <x:color rgb="FF78350F"/>
      <x:name val="Carlito"/>
    </x:font>
    <x:font>
      <x:b/>
      <x:sz val="11"/>
      <x:color rgb="FF1E3A8A"/>
      <x:name val="Carlito"/>
    </x:font>
    <x:font>
      <x:b/>
      <x:sz val="11"/>
      <x:color rgb="FF111827"/>
      <x:name val="Carlito"/>
    </x:font>
    <x:font>
      <x:b/>
      <x:sz val="15"/>
      <x:color rgb="FFFFFFFF"/>
      <x:name val="Carlito"/>
    </x:font>
    <x:font>
      <x:b/>
      <x:sz val="11"/>
      <x:color rgb="FF78350F"/>
      <x:name val="Carlito"/>
    </x:font>
    <x:font>
      <x:b/>
      <x:sz val="11"/>
      <x:color rgb="FF065F46"/>
      <x:name val="Carlito"/>
    </x:font>
    <x:font>
      <x:sz val="11"/>
      <x:color rgb="FF7F1D1D"/>
      <x:name val="Carlito"/>
    </x:font>
    <x:font>
      <x:b/>
      <x:sz val="14"/>
      <x:color rgb="FFFFFFFF"/>
      <x:name val="Carlito"/>
    </x:font>
  </x:fonts>
  <x:fills count="283">
    <x:fill>
      <x:patternFill patternType="none"/>
    </x:fill>
    <x:fill>
      <x:patternFill patternType="gray125"/>
    </x:fill>
    <x:fill>
      <x:patternFill patternType="solid">
        <x:fgColor rgb="FF273142"/>
      </x:patternFill>
    </x:fill>
    <x:fill>
      <x:patternFill patternType="solid">
        <x:fgColor rgb="FFFCA5A5"/>
      </x:patternFill>
    </x:fill>
    <x:fill>
      <x:patternFill patternType="solid">
        <x:fgColor rgb="FFFDBA74"/>
      </x:patternFill>
    </x:fill>
    <x:fill>
      <x:patternFill patternType="solid">
        <x:fgColor rgb="FF93C5FD"/>
      </x:patternFill>
    </x:fill>
    <x:fill>
      <x:patternFill patternType="solid">
        <x:fgColor rgb="FF86EFAC"/>
      </x:patternFill>
    </x:fill>
    <x:fill>
      <x:patternFill patternType="solid">
        <x:fgColor rgb="FF374151"/>
      </x:patternFill>
    </x:fill>
    <x:fill>
      <x:patternFill patternType="solid">
        <x:fgColor rgb="FFF8FAFC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FDBA74"/>
      </x:patternFill>
    </x:fill>
    <x:fill>
      <x:patternFill patternType="solid">
        <x:fgColor rgb="FF93C5FD"/>
      </x:patternFill>
    </x:fill>
    <x:fill>
      <x:patternFill patternType="solid">
        <x:fgColor rgb="FFFCA5A5"/>
      </x:patternFill>
    </x:fill>
    <x:fill>
      <x:patternFill patternType="solid">
        <x:fgColor rgb="FF273142"/>
      </x:patternFill>
    </x:fill>
    <x:fill>
      <x:patternFill patternType="solid">
        <x:fgColor rgb="FF374151"/>
      </x:patternFill>
    </x:fill>
    <x:fill>
      <x:patternFill patternType="solid">
        <x:fgColor rgb="FFF8FAFC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273142"/>
      </x:patternFill>
    </x:fill>
    <x:fill>
      <x:patternFill patternType="solid">
        <x:fgColor rgb="FF374151"/>
      </x:patternFill>
    </x:fill>
    <x:fill>
      <x:patternFill patternType="solid">
        <x:fgColor rgb="FFF8FAFC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CACA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0F766E"/>
      </x:patternFill>
    </x:fill>
    <x:fill>
      <x:patternFill patternType="solid">
        <x:fgColor rgb="FFC4B5FD"/>
      </x:patternFill>
    </x:fill>
    <x:fill>
      <x:patternFill patternType="solid">
        <x:fgColor rgb="FF273142"/>
      </x:patternFill>
    </x:fill>
    <x:fill>
      <x:patternFill patternType="solid">
        <x:fgColor rgb="FF374151"/>
      </x:patternFill>
    </x:fill>
    <x:fill>
      <x:patternFill patternType="solid">
        <x:fgColor rgb="FFF8FAFC"/>
      </x:patternFill>
    </x:fill>
    <x:fill>
      <x:patternFill patternType="solid">
        <x:fgColor rgb="FFDCFCE7"/>
      </x:patternFill>
    </x:fill>
    <x:fill>
      <x:patternFill patternType="solid">
        <x:fgColor rgb="FFFFF7ED"/>
      </x:patternFill>
    </x:fill>
    <x:fill>
      <x:patternFill patternType="solid">
        <x:fgColor rgb="FF0F766E"/>
      </x:patternFill>
    </x:fill>
    <x:fill>
      <x:patternFill patternType="solid">
        <x:fgColor rgb="FF273142"/>
      </x:patternFill>
    </x:fill>
    <x:fill>
      <x:patternFill patternType="solid">
        <x:fgColor rgb="FFE2E8F0"/>
      </x:patternFill>
    </x:fill>
    <x:fill>
      <x:patternFill patternType="solid">
        <x:fgColor rgb="FF374151"/>
      </x:patternFill>
    </x:fill>
    <x:fill>
      <x:patternFill patternType="solid">
        <x:fgColor rgb="FFFECACA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F3E8FF"/>
      </x:patternFill>
    </x:fill>
    <x:fill>
      <x:patternFill patternType="solid">
        <x:fgColor rgb="FFFED7C3"/>
      </x:patternFill>
    </x:fill>
    <x:fill>
      <x:patternFill patternType="solid">
        <x:fgColor rgb="FFE7D3BF"/>
      </x:patternFill>
    </x:fill>
    <x:fill>
      <x:patternFill patternType="solid">
        <x:fgColor rgb="FFFEFCE8"/>
      </x:patternFill>
    </x:fill>
    <x:fill>
      <x:patternFill patternType="solid">
        <x:fgColor rgb="FFE5E7EB"/>
      </x:patternFill>
    </x:fill>
    <x:fill>
      <x:patternFill patternType="solid">
        <x:fgColor rgb="FFCBD5E1"/>
      </x:patternFill>
    </x:fill>
    <x:fill>
      <x:patternFill patternType="solid">
        <x:fgColor rgb="FFCCFBF1"/>
      </x:patternFill>
    </x:fill>
    <x:fill>
      <x:patternFill patternType="solid">
        <x:fgColor rgb="FFCBD5E1"/>
      </x:patternFill>
    </x:fill>
    <x:fill>
      <x:patternFill patternType="solid">
        <x:fgColor rgb="FFDCFCE7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  <x:fill>
      <x:patternFill patternType="solid">
        <x:fgColor rgb="FFFEFCE8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273142"/>
      </x:patternFill>
    </x:fill>
    <x:fill>
      <x:patternFill patternType="solid">
        <x:fgColor rgb="FF374151"/>
      </x:patternFill>
    </x:fill>
    <x:fill>
      <x:patternFill patternType="solid">
        <x:fgColor rgb="FFCCFBF1"/>
      </x:patternFill>
    </x:fill>
    <x:fill>
      <x:patternFill patternType="solid">
        <x:fgColor rgb="FFCBD5E1"/>
      </x:patternFill>
    </x:fill>
    <x:fill>
      <x:patternFill patternType="solid">
        <x:fgColor rgb="FFDCFCE7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  <x:fill>
      <x:patternFill patternType="solid">
        <x:fgColor rgb="FFFEFCE8"/>
      </x:patternFill>
    </x:fill>
    <x:fill>
      <x:patternFill patternType="solid">
        <x:fgColor rgb="FFFEF3C7"/>
      </x:patternFill>
    </x:fill>
    <x:fill>
      <x:patternFill patternType="solid">
        <x:fgColor rgb="FFFED7C3"/>
      </x:patternFill>
    </x:fill>
    <x:fill>
      <x:patternFill patternType="solid">
        <x:fgColor rgb="FFFEFCE8"/>
      </x:patternFill>
    </x:fill>
    <x:fill>
      <x:patternFill patternType="solid">
        <x:fgColor rgb="FFCBD5E1"/>
      </x:patternFill>
    </x:fill>
    <x:fill>
      <x:patternFill patternType="solid">
        <x:fgColor rgb="FFE5E7EB"/>
      </x:patternFill>
    </x:fill>
    <x:fill>
      <x:patternFill patternType="solid">
        <x:fgColor rgb="FFCCFBF1"/>
      </x:patternFill>
    </x:fill>
    <x:fill>
      <x:patternFill patternType="solid">
        <x:fgColor rgb="FFFECACA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273142"/>
      </x:patternFill>
    </x:fill>
    <x:fill>
      <x:patternFill patternType="solid">
        <x:fgColor rgb="FFE2E8F0"/>
      </x:patternFill>
    </x:fill>
    <x:fill>
      <x:patternFill patternType="solid">
        <x:fgColor rgb="FF374151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E7D3BF"/>
      </x:patternFill>
    </x:fill>
    <x:fill>
      <x:patternFill patternType="solid">
        <x:fgColor rgb="FFFEFCE8"/>
      </x:patternFill>
    </x:fill>
    <x:fill>
      <x:patternFill patternType="solid">
        <x:fgColor rgb="FFCBD5E1"/>
      </x:patternFill>
    </x:fill>
    <x:fill>
      <x:patternFill patternType="solid">
        <x:fgColor rgb="FFD9F99D"/>
      </x:patternFill>
    </x:fill>
    <x:fill>
      <x:patternFill patternType="solid">
        <x:fgColor rgb="FFF3E8FF"/>
      </x:patternFill>
    </x:fill>
    <x:fill>
      <x:patternFill patternType="solid">
        <x:fgColor rgb="FFCCFBF1"/>
      </x:patternFill>
    </x:fill>
    <x:fill>
      <x:patternFill patternType="solid">
        <x:fgColor rgb="FF273142"/>
      </x:patternFill>
    </x:fill>
    <x:fill>
      <x:patternFill patternType="solid">
        <x:fgColor rgb="FF374151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FBCFE8"/>
      </x:patternFill>
    </x:fill>
    <x:fill>
      <x:patternFill patternType="solid">
        <x:fgColor rgb="FFCFFAFE"/>
      </x:patternFill>
    </x:fill>
    <x:fill>
      <x:patternFill patternType="solid">
        <x:fgColor rgb="FFFED7AA"/>
      </x:patternFill>
    </x:fill>
    <x:fill>
      <x:patternFill patternType="solid">
        <x:fgColor rgb="FFFED7C3"/>
      </x:patternFill>
    </x:fill>
    <x:fill>
      <x:patternFill patternType="solid">
        <x:fgColor rgb="FFCCFBF1"/>
      </x:patternFill>
    </x:fill>
    <x:fill>
      <x:patternFill patternType="solid">
        <x:fgColor rgb="FF273142"/>
      </x:patternFill>
    </x:fill>
    <x:fill>
      <x:patternFill patternType="solid">
        <x:fgColor rgb="FFE2E8F0"/>
      </x:patternFill>
    </x:fill>
    <x:fill>
      <x:patternFill patternType="solid">
        <x:fgColor rgb="FF374151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FECACA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3E8FF"/>
      </x:patternFill>
    </x:fill>
    <x:fill>
      <x:patternFill patternType="solid">
        <x:fgColor rgb="FFFEF3C7"/>
      </x:patternFill>
    </x:fill>
    <x:fill>
      <x:patternFill patternType="solid">
        <x:fgColor rgb="FFFEFCE8"/>
      </x:patternFill>
    </x:fill>
    <x:fill>
      <x:patternFill patternType="solid">
        <x:fgColor rgb="FFE5E7EB"/>
      </x:patternFill>
    </x:fill>
    <x:fill>
      <x:patternFill patternType="solid">
        <x:fgColor rgb="FFFED7C3"/>
      </x:patternFill>
    </x:fill>
    <x:fill>
      <x:patternFill patternType="solid">
        <x:fgColor rgb="FFF1F5F9"/>
      </x:patternFill>
    </x:fill>
    <x:fill>
      <x:patternFill patternType="solid">
        <x:fgColor rgb="FFCBD5E1"/>
      </x:patternFill>
    </x:fill>
    <x:fill>
      <x:patternFill patternType="solid">
        <x:fgColor rgb="FFCCFBF1"/>
      </x:patternFill>
    </x:fill>
    <x:fill>
      <x:patternFill patternType="solid">
        <x:fgColor rgb="FFE0E7FF"/>
      </x:patternFill>
    </x:fill>
    <x:fill>
      <x:patternFill patternType="solid">
        <x:fgColor rgb="FF273142"/>
      </x:patternFill>
    </x:fill>
    <x:fill>
      <x:patternFill patternType="solid">
        <x:fgColor rgb="FFE2E8F0"/>
      </x:patternFill>
    </x:fill>
    <x:fill>
      <x:patternFill patternType="solid">
        <x:fgColor rgb="FF374151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FECACA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F3E8FF"/>
      </x:patternFill>
    </x:fill>
    <x:fill>
      <x:patternFill patternType="solid">
        <x:fgColor rgb="FFFED7C3"/>
      </x:patternFill>
    </x:fill>
    <x:fill>
      <x:patternFill patternType="solid">
        <x:fgColor rgb="FFF8FAFC"/>
      </x:patternFill>
    </x:fill>
    <x:fill>
      <x:patternFill patternType="solid">
        <x:fgColor rgb="FFE5E7EB"/>
      </x:patternFill>
    </x:fill>
    <x:fill>
      <x:patternFill patternType="solid">
        <x:fgColor rgb="FFFEFCE8"/>
      </x:patternFill>
    </x:fill>
    <x:fill>
      <x:patternFill patternType="solid">
        <x:fgColor rgb="FFE7D3BF"/>
      </x:patternFill>
    </x:fill>
    <x:fill>
      <x:patternFill patternType="solid">
        <x:fgColor rgb="FFDBEAFE"/>
      </x:patternFill>
    </x:fill>
    <x:fill>
      <x:patternFill patternType="solid">
        <x:fgColor rgb="FFCCFBF1"/>
      </x:patternFill>
    </x:fill>
    <x:fill>
      <x:patternFill patternType="solid">
        <x:fgColor rgb="FFD9F99D"/>
      </x:patternFill>
    </x:fill>
    <x:fill>
      <x:patternFill patternType="solid">
        <x:fgColor rgb="FFCBD5E1"/>
      </x:patternFill>
    </x:fill>
    <x:fill>
      <x:patternFill patternType="solid">
        <x:fgColor rgb="FFFDE68A"/>
      </x:patternFill>
    </x:fill>
    <x:fill>
      <x:patternFill patternType="solid">
        <x:fgColor rgb="FF273142"/>
      </x:patternFill>
    </x:fill>
    <x:fill>
      <x:patternFill patternType="solid">
        <x:fgColor rgb="FFE2E8F0"/>
      </x:patternFill>
    </x:fill>
    <x:fill>
      <x:patternFill patternType="solid">
        <x:fgColor rgb="FF374151"/>
      </x:patternFill>
    </x:fill>
    <x:fill>
      <x:patternFill patternType="solid">
        <x:fgColor rgb="FF0F766E"/>
      </x:patternFill>
    </x:fill>
    <x:fill>
      <x:patternFill patternType="solid">
        <x:fgColor rgb="FFFBCFE8"/>
      </x:patternFill>
    </x:fill>
    <x:fill>
      <x:patternFill patternType="solid">
        <x:fgColor rgb="FFE7D3BF"/>
      </x:patternFill>
    </x:fill>
    <x:fill>
      <x:patternFill patternType="solid">
        <x:fgColor rgb="FFE0E7FF"/>
      </x:patternFill>
    </x:fill>
    <x:fill>
      <x:patternFill patternType="solid">
        <x:fgColor rgb="FFCFFAFE"/>
      </x:patternFill>
    </x:fill>
    <x:fill>
      <x:patternFill patternType="solid">
        <x:fgColor rgb="FFE5E7EB"/>
      </x:patternFill>
    </x:fill>
    <x:fill>
      <x:patternFill patternType="solid">
        <x:fgColor rgb="FFCBD5E1"/>
      </x:patternFill>
    </x:fill>
    <x:fill>
      <x:patternFill patternType="solid">
        <x:fgColor rgb="FFD1D5DB"/>
      </x:patternFill>
    </x:fill>
    <x:fill>
      <x:patternFill patternType="solid">
        <x:fgColor rgb="FFD9F99D"/>
      </x:patternFill>
    </x:fill>
    <x:fill>
      <x:patternFill patternType="solid">
        <x:fgColor rgb="FFBFDBFE"/>
      </x:patternFill>
    </x:fill>
    <x:fill>
      <x:patternFill patternType="solid">
        <x:fgColor rgb="FFCCFBF1"/>
      </x:patternFill>
    </x:fill>
    <x:fill>
      <x:patternFill patternType="solid">
        <x:fgColor rgb="FFFEFCE8"/>
      </x:patternFill>
    </x:fill>
    <x:fill>
      <x:patternFill patternType="solid">
        <x:fgColor rgb="FF273142"/>
      </x:patternFill>
    </x:fill>
    <x:fill>
      <x:patternFill patternType="solid">
        <x:fgColor rgb="FFE2E8F0"/>
      </x:patternFill>
    </x:fill>
    <x:fill>
      <x:patternFill patternType="solid">
        <x:fgColor rgb="FF374151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FED7C3"/>
      </x:patternFill>
    </x:fill>
    <x:fill>
      <x:patternFill patternType="solid">
        <x:fgColor rgb="FFFBCFE8"/>
      </x:patternFill>
    </x:fill>
    <x:fill>
      <x:patternFill patternType="solid">
        <x:fgColor rgb="FFE0E7FF"/>
      </x:patternFill>
    </x:fill>
    <x:fill>
      <x:patternFill patternType="solid">
        <x:fgColor rgb="FFFDE68A"/>
      </x:patternFill>
    </x:fill>
    <x:fill>
      <x:patternFill patternType="solid">
        <x:fgColor rgb="FFFED7AA"/>
      </x:patternFill>
    </x:fill>
    <x:fill>
      <x:patternFill patternType="solid">
        <x:fgColor rgb="FFCFFAFE"/>
      </x:patternFill>
    </x:fill>
    <x:fill>
      <x:patternFill patternType="solid">
        <x:fgColor rgb="FF273142"/>
      </x:patternFill>
    </x:fill>
    <x:fill>
      <x:patternFill patternType="solid">
        <x:fgColor rgb="FFE2E8F0"/>
      </x:patternFill>
    </x:fill>
    <x:fill>
      <x:patternFill patternType="solid">
        <x:fgColor rgb="FF374151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DBEAFE"/>
      </x:patternFill>
    </x:fill>
    <x:fill>
      <x:patternFill patternType="solid">
        <x:fgColor rgb="FFF3E8FF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BCFE8"/>
      </x:patternFill>
    </x:fill>
    <x:fill>
      <x:patternFill patternType="solid">
        <x:fgColor rgb="FFE7D3BF"/>
      </x:patternFill>
    </x:fill>
    <x:fill>
      <x:patternFill patternType="solid">
        <x:fgColor rgb="FFE5E7EB"/>
      </x:patternFill>
    </x:fill>
    <x:fill>
      <x:patternFill patternType="solid">
        <x:fgColor rgb="FFFEFCE8"/>
      </x:patternFill>
    </x:fill>
    <x:fill>
      <x:patternFill patternType="solid">
        <x:fgColor rgb="FFF1F5F9"/>
      </x:patternFill>
    </x:fill>
    <x:fill>
      <x:patternFill patternType="solid">
        <x:fgColor rgb="FFFECACA"/>
      </x:patternFill>
    </x:fill>
    <x:fill>
      <x:patternFill patternType="solid">
        <x:fgColor rgb="FFCBD5E1"/>
      </x:patternFill>
    </x:fill>
    <x:fill>
      <x:patternFill patternType="solid">
        <x:fgColor rgb="FFFED7AA"/>
      </x:patternFill>
    </x:fill>
    <x:fill>
      <x:patternFill patternType="solid">
        <x:fgColor rgb="FFCCFBF1"/>
      </x:patternFill>
    </x:fill>
    <x:fill>
      <x:patternFill patternType="solid">
        <x:fgColor rgb="FFD9F99D"/>
      </x:patternFill>
    </x:fill>
    <x:fill>
      <x:patternFill patternType="solid">
        <x:fgColor rgb="FF273142"/>
      </x:patternFill>
    </x:fill>
    <x:fill>
      <x:patternFill patternType="solid">
        <x:fgColor rgb="FFE2E8F0"/>
      </x:patternFill>
    </x:fill>
    <x:fill>
      <x:patternFill patternType="solid">
        <x:fgColor rgb="FF374151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FEFCE8"/>
      </x:patternFill>
    </x:fill>
    <x:fill>
      <x:patternFill patternType="solid">
        <x:fgColor rgb="FFE7D3BF"/>
      </x:patternFill>
    </x:fill>
    <x:fill>
      <x:patternFill patternType="solid">
        <x:fgColor rgb="FFFED7C3"/>
      </x:patternFill>
    </x:fill>
    <x:fill>
      <x:patternFill patternType="solid">
        <x:fgColor rgb="FFDCFCE7"/>
      </x:patternFill>
    </x:fill>
    <x:fill>
      <x:patternFill patternType="solid">
        <x:fgColor rgb="FFCFFAFE"/>
      </x:patternFill>
    </x:fill>
    <x:fill>
      <x:patternFill patternType="solid">
        <x:fgColor rgb="FFD9F99D"/>
      </x:patternFill>
    </x:fill>
    <x:fill>
      <x:patternFill patternType="solid">
        <x:fgColor rgb="FFE0E7FF"/>
      </x:patternFill>
    </x:fill>
    <x:fill>
      <x:patternFill patternType="solid">
        <x:fgColor rgb="FFDBEAFE"/>
      </x:patternFill>
    </x:fill>
    <x:fill>
      <x:patternFill patternType="solid">
        <x:fgColor rgb="FFCCFBF1"/>
      </x:patternFill>
    </x:fill>
    <x:fill>
      <x:patternFill patternType="solid">
        <x:fgColor rgb="FFF3E8FF"/>
      </x:patternFill>
    </x:fill>
    <x:fill>
      <x:patternFill patternType="solid">
        <x:fgColor rgb="FFFED7AA"/>
      </x:patternFill>
    </x:fill>
    <x:fill>
      <x:patternFill patternType="solid">
        <x:fgColor rgb="FF273142"/>
      </x:patternFill>
    </x:fill>
    <x:fill>
      <x:patternFill patternType="solid">
        <x:fgColor rgb="FFE2E8F0"/>
      </x:patternFill>
    </x:fill>
    <x:fill>
      <x:patternFill patternType="solid">
        <x:fgColor rgb="FF374151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FECACA"/>
      </x:patternFill>
    </x:fill>
    <x:fill>
      <x:patternFill patternType="solid">
        <x:fgColor rgb="FFFDE68A"/>
      </x:patternFill>
    </x:fill>
    <x:fill>
      <x:patternFill patternType="solid">
        <x:fgColor rgb="FFD9F99D"/>
      </x:patternFill>
    </x:fill>
    <x:fill>
      <x:patternFill patternType="solid">
        <x:fgColor rgb="FFE0E7FF"/>
      </x:patternFill>
    </x:fill>
    <x:fill>
      <x:patternFill patternType="solid">
        <x:fgColor rgb="FF273142"/>
      </x:patternFill>
    </x:fill>
    <x:fill>
      <x:patternFill patternType="solid">
        <x:fgColor rgb="FFE2E8F0"/>
      </x:patternFill>
    </x:fill>
    <x:fill>
      <x:patternFill patternType="solid">
        <x:fgColor rgb="FF374151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E0E7FF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273142"/>
      </x:patternFill>
    </x:fill>
    <x:fill>
      <x:patternFill patternType="solid">
        <x:fgColor rgb="FFE2E8F0"/>
      </x:patternFill>
    </x:fill>
    <x:fill>
      <x:patternFill patternType="solid">
        <x:fgColor rgb="FF374151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DCFCE7"/>
      </x:patternFill>
    </x:fill>
    <x:fill>
      <x:patternFill patternType="solid">
        <x:fgColor rgb="FFD9F99D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F3E8FF"/>
      </x:patternFill>
    </x:fill>
    <x:fill>
      <x:patternFill patternType="solid">
        <x:fgColor rgb="FFE0E7FF"/>
      </x:patternFill>
    </x:fill>
    <x:fill>
      <x:patternFill patternType="solid">
        <x:fgColor rgb="FF273142"/>
      </x:patternFill>
    </x:fill>
    <x:fill>
      <x:patternFill patternType="solid">
        <x:fgColor rgb="FFE2E8F0"/>
      </x:patternFill>
    </x:fill>
    <x:fill>
      <x:patternFill patternType="solid">
        <x:fgColor rgb="FF374151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BCFE8"/>
      </x:patternFill>
    </x:fill>
    <x:fill>
      <x:patternFill patternType="solid">
        <x:fgColor rgb="FFCCFBF1"/>
      </x:patternFill>
    </x:fill>
    <x:fill>
      <x:patternFill patternType="solid">
        <x:fgColor rgb="FFE0E7FF"/>
      </x:patternFill>
    </x:fill>
    <x:fill>
      <x:patternFill patternType="solid">
        <x:fgColor rgb="FF273142"/>
      </x:patternFill>
    </x:fill>
    <x:fill>
      <x:patternFill patternType="solid">
        <x:fgColor rgb="FFFDE68A"/>
      </x:patternFill>
    </x:fill>
    <x:fill>
      <x:patternFill patternType="solid">
        <x:fgColor rgb="FF374151"/>
      </x:patternFill>
    </x:fill>
    <x:fill>
      <x:patternFill patternType="solid">
        <x:fgColor rgb="FFF8FAFC"/>
      </x:patternFill>
    </x:fill>
    <x:fill>
      <x:patternFill patternType="solid">
        <x:fgColor rgb="FFE2E8F0"/>
      </x:patternFill>
    </x:fill>
    <x:fill>
      <x:patternFill patternType="solid">
        <x:fgColor rgb="FFFEF3C7"/>
      </x:patternFill>
    </x:fill>
    <x:fill>
      <x:patternFill patternType="solid">
        <x:fgColor rgb="FF0F766E"/>
      </x:patternFill>
    </x:fill>
    <x:fill>
      <x:patternFill patternType="solid">
        <x:fgColor rgb="FFFBCFE8"/>
      </x:patternFill>
    </x:fill>
    <x:fill>
      <x:patternFill patternType="solid">
        <x:fgColor rgb="FFCFFAFE"/>
      </x:patternFill>
    </x:fill>
    <x:fill>
      <x:patternFill patternType="solid">
        <x:fgColor rgb="FFE7D3BF"/>
      </x:patternFill>
    </x:fill>
    <x:fill>
      <x:patternFill patternType="solid">
        <x:fgColor rgb="FFCBD5E1"/>
      </x:patternFill>
    </x:fill>
    <x:fill>
      <x:patternFill patternType="solid">
        <x:fgColor rgb="FFF3E8FF"/>
      </x:patternFill>
    </x:fill>
    <x:fill>
      <x:patternFill patternType="solid">
        <x:fgColor rgb="FFCCFBF1"/>
      </x:patternFill>
    </x:fill>
    <x:fill>
      <x:patternFill patternType="solid">
        <x:fgColor rgb="FFD9F99D"/>
      </x:patternFill>
    </x:fill>
    <x:fill>
      <x:patternFill patternType="solid">
        <x:fgColor rgb="FFE0E7FF"/>
      </x:patternFill>
    </x:fill>
    <x:fill>
      <x:patternFill patternType="solid">
        <x:fgColor rgb="FFFEF3C7"/>
      </x:patternFill>
    </x:fill>
    <x:fill>
      <x:patternFill patternType="solid">
        <x:fgColor rgb="FF273142"/>
      </x:patternFill>
    </x:fill>
    <x:fill>
      <x:patternFill patternType="solid">
        <x:fgColor rgb="FFFDE68A"/>
      </x:patternFill>
    </x:fill>
    <x:fill>
      <x:patternFill patternType="solid">
        <x:fgColor rgb="FF374151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E2E8F0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FBCFE8"/>
      </x:patternFill>
    </x:fill>
    <x:fill>
      <x:patternFill patternType="solid">
        <x:fgColor rgb="FFFDE68A"/>
      </x:patternFill>
    </x:fill>
    <x:fill>
      <x:patternFill patternType="solid">
        <x:fgColor rgb="FFE0E7FF"/>
      </x:patternFill>
    </x:fill>
    <x:fill>
      <x:patternFill patternType="solid">
        <x:fgColor rgb="FF273142"/>
      </x:patternFill>
    </x:fill>
    <x:fill>
      <x:patternFill patternType="solid">
        <x:fgColor rgb="FF374151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991B1B"/>
      </x:patternFill>
    </x:fill>
    <x:fill>
      <x:patternFill patternType="solid">
        <x:fgColor rgb="FFFEF2F2"/>
      </x:patternFill>
    </x:fill>
    <x:fill>
      <x:patternFill patternType="solid">
        <x:fgColor rgb="FFE2E8F0"/>
      </x:patternFill>
    </x:fill>
    <x:fill>
      <x:patternFill patternType="solid">
        <x:fgColor rgb="FFE0E7FF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FBCFE8"/>
      </x:patternFill>
    </x:fill>
    <x:fill>
      <x:patternFill patternType="solid">
        <x:fgColor rgb="FFCCFBF1"/>
      </x:patternFill>
    </x:fill>
    <x:fill>
      <x:patternFill patternType="solid">
        <x:fgColor rgb="FFFDE68A"/>
      </x:patternFill>
    </x:fill>
    <x:fill>
      <x:patternFill patternType="solid">
        <x:fgColor rgb="FF273142"/>
      </x:patternFill>
    </x:fill>
    <x:fill>
      <x:patternFill patternType="solid">
        <x:fgColor rgb="FFE2E8F0"/>
      </x:patternFill>
    </x:fill>
    <x:fill>
      <x:patternFill patternType="solid">
        <x:fgColor rgb="FF374151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E0E7FF"/>
      </x:patternFill>
    </x:fill>
    <x:fill>
      <x:patternFill patternType="solid">
        <x:fgColor rgb="FFDBEAFE"/>
      </x:patternFill>
    </x:fill>
    <x:fill>
      <x:patternFill patternType="solid">
        <x:fgColor rgb="FFFBCFE8"/>
      </x:patternFill>
    </x:fill>
    <x:fill>
      <x:patternFill patternType="solid">
        <x:fgColor rgb="FFCCFBF1"/>
      </x:patternFill>
    </x:fill>
    <x:fill>
      <x:patternFill patternType="solid">
        <x:fgColor rgb="FFFDE68A"/>
      </x:patternFill>
    </x:fill>
    <x:fill>
      <x:patternFill patternType="solid">
        <x:fgColor rgb="FFFEF3C7"/>
      </x:patternFill>
    </x:fill>
    <x:fill>
      <x:patternFill patternType="solid">
        <x:fgColor rgb="FF273142"/>
      </x:patternFill>
    </x:fill>
    <x:fill>
      <x:patternFill patternType="solid">
        <x:fgColor rgb="FFE2E8F0"/>
      </x:patternFill>
    </x:fill>
    <x:fill>
      <x:patternFill patternType="solid">
        <x:fgColor rgb="FF374151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7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/>
    <x:xf numFmtId="0" fontId="0" fillId="1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0" fontId="2" fillId="14" borderId="0" xfId="0" applyNumberFormat="1" applyFont="1" applyFill="1" applyBorder="1" applyAlignment="1">
      <x:alignment horizontal="center" vertical="center"/>
    </x:xf>
    <x:xf numFmtId="0" fontId="1" fillId="15" borderId="0" xfId="0" applyNumberFormat="1" applyFont="1" applyFill="1" applyBorder="1"/>
    <x:xf numFmtId="0" fontId="0" fillId="16" borderId="0" xfId="0" applyNumberFormat="1" applyFont="1" applyFill="1" applyBorder="1"/>
    <x:xf numFmtId="0" fontId="0" fillId="16" borderId="0" xfId="0" applyNumberFormat="1" applyFont="1" applyFill="1" applyBorder="1" applyAlignment="1">
      <x:alignment horizontal="center"/>
    </x:xf>
    <x:xf numFmtId="0" fontId="0" fillId="16" xfId="0" applyNumberFormat="1" applyFont="1" applyFill="1" applyBorder="0"/>
    <x:xf numFmtId="0" fontId="0" fillId="16" xfId="0" applyNumberFormat="1" applyFont="1" applyFill="1" applyBorder="0" applyAlignment="1">
      <x:alignment horizontal="center"/>
    </x:xf>
    <x:xf numFmtId="0" fontId="3" fillId="17" borderId="0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0" fillId="18" xfId="0" applyNumberFormat="1" applyFont="1" applyFill="1" applyBorder="0" applyAlignment="1">
      <x:alignment wrapText="1"/>
    </x:xf>
    <x:xf numFmtId="0" fontId="0" fillId="18" xfId="0" applyNumberFormat="1" applyFont="1" applyFill="1" applyBorder="0"/>
    <x:xf numFmtId="0" fontId="0" fillId="16" xfId="0" applyNumberFormat="1" applyFont="1" applyFill="1" applyBorder="0" applyAlignment="1">
      <x:alignment wrapText="1"/>
    </x:xf>
    <x:xf numFmtId="0" fontId="0" fillId="8" xfId="0" applyNumberFormat="1" applyFont="1" applyFill="1" applyBorder="0"/>
    <x:xf numFmtId="0" fontId="0" fillId="8" xfId="0" applyNumberFormat="1" applyFont="1" applyFill="1" applyBorder="0" applyAlignment="1">
      <x:alignment horizontal="center"/>
    </x:xf>
    <x:xf numFmtId="0" fontId="0" fillId="10" xfId="0" applyNumberFormat="1" applyFont="1" applyFill="1" applyBorder="0" applyAlignment="1">
      <x:alignment wrapText="1"/>
    </x:xf>
    <x:xf numFmtId="0" fontId="0" fillId="10" xfId="0" applyNumberFormat="1" applyFont="1" applyFill="1" applyBorder="0"/>
    <x:xf numFmtId="0" fontId="0" fillId="8" xfId="0" applyNumberFormat="1" applyFont="1" applyFill="1" applyBorder="0" applyAlignment="1">
      <x:alignment wrapText="1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horizontal="center"/>
    </x:xf>
    <x:xf numFmtId="0" fontId="2" fillId="19" borderId="0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0" fillId="21" borderId="0" xfId="0" applyNumberFormat="1" applyFont="1" applyFill="1" applyBorder="1"/>
    <x:xf numFmtId="0" fontId="0" fillId="21" xfId="0" applyNumberFormat="1" applyFont="1" applyFill="1" applyBorder="0"/>
    <x:xf numFmtId="0" fontId="0" fillId="21" xfId="0" applyNumberFormat="1" applyFont="1" applyFill="1" applyBorder="0" applyAlignment="1">
      <x:alignment horizontal="center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horizontal="center" vertical="center" wrapText="1"/>
    </x:xf>
    <x:xf numFmtId="0" fontId="0" fillId="22" xfId="0" applyNumberFormat="1" applyFont="1" applyFill="1" applyBorder="0" applyAlignment="1">
      <x:alignment vertical="center" wrapText="1"/>
    </x:xf>
    <x:xf numFmtId="0" fontId="4" fillId="22" xfId="0" applyNumberFormat="1" applyFont="1" applyFill="1" applyBorder="0" applyAlignment="1">
      <x:alignment vertical="center" wrapText="1"/>
    </x:xf>
    <x:xf numFmtId="0" fontId="0" fillId="23" xfId="0" applyNumberFormat="1" applyFont="1" applyFill="1" applyBorder="0" applyAlignment="1">
      <x:alignment vertical="center" wrapText="1"/>
    </x:xf>
    <x:xf numFmtId="0" fontId="5" fillId="23" xfId="0" applyNumberFormat="1" applyFont="1" applyFill="1" applyBorder="0" applyAlignment="1">
      <x:alignment vertical="center" wrapText="1"/>
    </x:xf>
    <x:xf numFmtId="0" fontId="0" fillId="24" xfId="0" applyNumberFormat="1" applyFont="1" applyFill="1" applyBorder="0" applyAlignment="1">
      <x:alignment vertical="center" wrapText="1"/>
    </x:xf>
    <x:xf numFmtId="0" fontId="6" fillId="24" xfId="0" applyNumberFormat="1" applyFont="1" applyFill="1" applyBorder="0" applyAlignment="1">
      <x:alignment vertical="center" wrapText="1"/>
    </x:xf>
    <x:xf numFmtId="200" fontId="0" fillId="0" xfId="0" applyNumberFormat="1" applyFont="1" applyFill="1" applyBorder="0" applyAlignment="1">
      <x:alignment horizontal="center" vertical="center" wrapText="1"/>
    </x:xf>
    <x:xf numFmtId="200" fontId="0" fillId="21" xfId="0" applyNumberFormat="1" applyFont="1" applyFill="1" applyBorder="0"/>
    <x:xf numFmtId="200" fontId="0" fillId="21" xfId="0" applyNumberFormat="1" applyFont="1" applyFill="1" applyBorder="0" applyAlignment="1">
      <x:alignment horizontal="center"/>
    </x:xf>
    <x:xf numFmtId="0" fontId="0" fillId="25" borderId="0" xfId="0" applyNumberFormat="1" applyFont="1" applyFill="1" applyBorder="1"/>
    <x:xf numFmtId="0" fontId="1" fillId="25" borderId="0" xfId="0" applyNumberFormat="1" applyFont="1" applyFill="1" applyBorder="1"/>
    <x:xf numFmtId="0" fontId="1" fillId="25" borderId="0" xfId="0" applyNumberFormat="1" applyFont="1" applyFill="1" applyBorder="1" applyAlignment="1">
      <x:alignment horizontal="center"/>
    </x:xf>
    <x:xf numFmtId="0" fontId="0" fillId="26" borderId="0" xfId="0" applyNumberFormat="1" applyFont="1" applyFill="1" applyBorder="1"/>
    <x:xf numFmtId="0" fontId="0" fillId="26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 applyAlignment="1">
      <x:alignment vertical="top" wrapText="1"/>
    </x:xf>
    <x:xf numFmtId="0" fontId="0" fillId="27" borderId="0" xfId="0" applyNumberFormat="1" applyFont="1" applyFill="1" applyBorder="1"/>
    <x:xf numFmtId="0" fontId="7" fillId="27" borderId="0" xfId="0" applyNumberFormat="1" applyFont="1" applyFill="1" applyBorder="1"/>
    <x:xf numFmtId="200" fontId="7" fillId="27" borderId="0" xfId="0" applyNumberFormat="1" applyFont="1" applyFill="1" applyBorder="1"/>
    <x:xf numFmtId="200" fontId="7" fillId="27" borderId="0" xfId="0" applyNumberFormat="1" applyFont="1" applyFill="1" applyBorder="1" applyAlignment="1">
      <x:alignment horizontal="center"/>
    </x:xf>
    <x:xf numFmtId="0" fontId="0" fillId="21" xfId="0" applyNumberFormat="1" applyFont="1" applyFill="1" applyBorder="0" applyAlignment="1">
      <x:alignment wrapText="1"/>
    </x:xf>
    <x:xf numFmtId="201" fontId="0" fillId="21" xfId="0" applyNumberFormat="1" applyFont="1" applyFill="1" applyBorder="0" applyAlignment="1">
      <x:alignment wrapText="1"/>
    </x:xf>
    <x:xf numFmtId="200" fontId="0" fillId="21" xfId="0" applyNumberFormat="1" applyFont="1" applyFill="1" applyBorder="0" applyAlignment="1">
      <x:alignment wrapText="1"/>
    </x:xf>
    <x:xf numFmtId="201" fontId="0" fillId="21" xfId="0" applyNumberFormat="1" applyFont="1" applyFill="1" applyBorder="0" applyAlignment="1">
      <x:alignment horizontal="center" wrapText="1"/>
    </x:xf>
    <x:xf numFmtId="200" fontId="0" fillId="21" xfId="0" applyNumberFormat="1" applyFont="1" applyFill="1" applyBorder="0" applyAlignment="1">
      <x:alignment horizontal="center" wrapText="1"/>
    </x:xf>
    <x:xf numFmtId="200" fontId="0" fillId="8" xfId="0" applyNumberFormat="1" applyFont="1" applyFill="1" applyBorder="0"/>
    <x:xf numFmtId="200" fontId="0" fillId="8" xfId="0" applyNumberFormat="1" applyFont="1" applyFill="1" applyBorder="0" applyAlignment="1">
      <x:alignment horizontal="center"/>
    </x:xf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 applyAlignment="1">
      <x:alignment vertical="top" wrapText="1"/>
    </x:xf>
    <x:xf numFmtId="201" fontId="0" fillId="8" xfId="0" applyNumberFormat="1" applyFont="1" applyFill="1" applyBorder="0" applyAlignment="1">
      <x:alignment wrapText="1"/>
    </x:xf>
    <x:xf numFmtId="200" fontId="0" fillId="8" xfId="0" applyNumberFormat="1" applyFont="1" applyFill="1" applyBorder="0" applyAlignment="1">
      <x:alignment wrapText="1"/>
    </x:xf>
    <x:xf numFmtId="201" fontId="0" fillId="8" xfId="0" applyNumberFormat="1" applyFont="1" applyFill="1" applyBorder="0" applyAlignment="1">
      <x:alignment horizontal="center" wrapText="1"/>
    </x:xf>
    <x:xf numFmtId="200" fontId="0" fillId="8" xfId="0" applyNumberFormat="1" applyFont="1" applyFill="1" applyBorder="0" applyAlignment="1">
      <x:alignment horizontal="center" wrapText="1"/>
    </x:xf>
    <x:xf numFmtId="0" fontId="0" fillId="28" borderId="0" xfId="0" applyNumberFormat="1" applyFont="1" applyFill="1" applyBorder="1" applyAlignment="1">
      <x:alignment vertical="center" wrapText="1"/>
    </x:xf>
    <x:xf numFmtId="0" fontId="2" fillId="29" borderId="0" xfId="0" applyNumberFormat="1" applyFont="1" applyFill="1" applyBorder="1" applyAlignment="1">
      <x:alignment horizontal="center" vertical="center"/>
    </x:xf>
    <x:xf numFmtId="0" fontId="1" fillId="30" borderId="0" xfId="0" applyNumberFormat="1" applyFont="1" applyFill="1" applyBorder="1"/>
    <x:xf numFmtId="0" fontId="0" fillId="31" xfId="0" applyNumberFormat="1" applyFont="1" applyFill="1" applyBorder="0"/>
    <x:xf numFmtId="0" fontId="0" fillId="31" xfId="0" applyNumberFormat="1" applyFont="1" applyFill="1" applyBorder="0" applyAlignment="1">
      <x:alignment horizontal="center"/>
    </x:xf>
    <x:xf numFmtId="0" fontId="0" fillId="31" xfId="0" applyNumberFormat="1" applyFont="1" applyFill="1" applyBorder="0" applyAlignment="1">
      <x:alignment wrapText="1"/>
    </x:xf>
    <x:xf numFmtId="0" fontId="0" fillId="31" xfId="0" applyNumberFormat="1" applyFont="1" applyFill="1" applyBorder="0" applyAlignment="1">
      <x:alignment horizontal="center" wrapText="1"/>
    </x:xf>
    <x:xf numFmtId="0" fontId="0" fillId="31" borderId="0" xfId="0" applyNumberFormat="1" applyFont="1" applyFill="1" applyBorder="1"/>
    <x:xf numFmtId="0" fontId="0" fillId="32" xfId="0" applyNumberFormat="1" applyFont="1" applyFill="1" applyBorder="0" applyAlignment="1">
      <x:alignment vertical="center" wrapText="1"/>
    </x:xf>
    <x:xf numFmtId="0" fontId="4" fillId="32" xfId="0" applyNumberFormat="1" applyFont="1" applyFill="1" applyBorder="0" applyAlignment="1">
      <x:alignment vertical="center" wrapText="1"/>
    </x:xf>
    <x:xf numFmtId="0" fontId="0" fillId="33" borderId="0" xfId="0" applyNumberFormat="1" applyFont="1" applyFill="1" applyBorder="1" applyAlignment="1">
      <x:alignment vertical="top" wrapText="1"/>
    </x:xf>
    <x:xf numFmtId="0" fontId="7" fillId="27" xfId="0" applyNumberFormat="1" applyFont="1" applyFill="1" applyBorder="0"/>
    <x:xf numFmtId="200" fontId="7" fillId="27" xfId="0" applyNumberFormat="1" applyFont="1" applyFill="1" applyBorder="0" applyAlignment="1">
      <x:alignment horizontal="center"/>
    </x:xf>
    <x:xf numFmtId="0" fontId="7" fillId="27" xfId="0" applyNumberFormat="1" applyFont="1" applyFill="1" applyBorder="0" applyAlignment="1">
      <x:alignment wrapText="1"/>
    </x:xf>
    <x:xf numFmtId="200" fontId="7" fillId="27" xfId="0" applyNumberFormat="1" applyFont="1" applyFill="1" applyBorder="0" applyAlignment="1">
      <x:alignment horizontal="center" wrapText="1"/>
    </x:xf>
    <x:xf numFmtId="0" fontId="7" fillId="27" xfId="0" applyNumberFormat="1" applyFont="1" applyFill="1" applyBorder="0" applyAlignment="1">
      <x:alignment vertical="center" wrapText="1"/>
    </x:xf>
    <x:xf numFmtId="200" fontId="7" fillId="27" xfId="0" applyNumberFormat="1" applyFont="1" applyFill="1" applyBorder="0" applyAlignment="1">
      <x:alignment horizontal="center" vertical="center" wrapText="1"/>
    </x:xf>
    <x:xf numFmtId="0" fontId="7" fillId="27" xfId="0" applyNumberFormat="1" applyFont="1" applyFill="1" applyBorder="0" applyAlignment="1">
      <x:alignment horizontal="center" vertical="center" wrapText="1"/>
    </x:xf>
    <x:xf numFmtId="0" fontId="1" fillId="34" borderId="0" xfId="0" applyNumberFormat="1" applyFont="1" applyFill="1" applyBorder="1"/>
    <x:xf numFmtId="0" fontId="7" fillId="34" borderId="0" xfId="0" applyNumberFormat="1" applyFont="1" applyFill="1" applyBorder="1"/>
    <x:xf numFmtId="200" fontId="7" fillId="34" borderId="0" xfId="0" applyNumberFormat="1" applyFont="1" applyFill="1" applyBorder="1"/>
    <x:xf numFmtId="200" fontId="7" fillId="34" borderId="0" xfId="0" applyNumberFormat="1" applyFont="1" applyFill="1" applyBorder="1" applyAlignment="1">
      <x:alignment horizontal="center"/>
    </x:xf>
    <x:xf numFmtId="0" fontId="0" fillId="30" xfId="0" applyNumberFormat="1" applyFont="1" applyFill="1" applyBorder="0" applyAlignment="1">
      <x:alignment wrapText="1"/>
    </x:xf>
    <x:xf numFmtId="201" fontId="0" fillId="30" xfId="0" applyNumberFormat="1" applyFont="1" applyFill="1" applyBorder="0" applyAlignment="1">
      <x:alignment horizontal="center" wrapText="1"/>
    </x:xf>
    <x:xf numFmtId="200" fontId="0" fillId="30" xfId="0" applyNumberFormat="1" applyFont="1" applyFill="1" applyBorder="0" applyAlignment="1">
      <x:alignment horizontal="center" wrapText="1"/>
    </x:xf>
    <x:xf numFmtId="0" fontId="1" fillId="30" xfId="0" applyNumberFormat="1" applyFont="1" applyFill="1" applyBorder="0" applyAlignment="1">
      <x:alignment wrapText="1"/>
    </x:xf>
    <x:xf numFmtId="201" fontId="1" fillId="30" xfId="0" applyNumberFormat="1" applyFont="1" applyFill="1" applyBorder="0" applyAlignment="1">
      <x:alignment horizontal="center" wrapText="1"/>
    </x:xf>
    <x:xf numFmtId="200" fontId="1" fillId="30" xfId="0" applyNumberFormat="1" applyFont="1" applyFill="1" applyBorder="0" applyAlignment="1">
      <x:alignment horizontal="center" wrapText="1"/>
    </x:xf>
    <x:xf numFmtId="201" fontId="0" fillId="31" xfId="0" applyNumberFormat="1" applyFont="1" applyFill="1" applyBorder="0" applyAlignment="1">
      <x:alignment horizontal="center" wrapText="1"/>
    </x:xf>
    <x:xf numFmtId="200" fontId="0" fillId="31" xfId="0" applyNumberFormat="1" applyFont="1" applyFill="1" applyBorder="0" applyAlignment="1">
      <x:alignment horizontal="center" wrapText="1"/>
    </x:xf>
    <x:xf numFmtId="201" fontId="0" fillId="31" xfId="0" applyNumberFormat="1" applyFont="1" applyFill="1" applyBorder="0" applyAlignment="1">
      <x:alignment wrapText="1"/>
    </x:xf>
    <x:xf numFmtId="200" fontId="0" fillId="31" xfId="0" applyNumberFormat="1" applyFont="1" applyFill="1" applyBorder="0" applyAlignment="1">
      <x:alignment wrapText="1"/>
    </x:xf>
    <x:xf numFmtId="0" fontId="0" fillId="8" xfId="0" applyNumberFormat="1" applyFont="1" applyFill="1" applyBorder="0" applyAlignment="1">
      <x:alignment horizontal="center" wrapText="1"/>
    </x:xf>
    <x:xf numFmtId="0" fontId="1" fillId="27" borderId="0" xfId="0" applyNumberFormat="1" applyFont="1" applyFill="1" applyBorder="1"/>
    <x:xf numFmtId="0" fontId="0" fillId="7" xfId="0" applyNumberFormat="1" applyFont="1" applyFill="1" applyBorder="0" applyAlignment="1">
      <x:alignment wrapText="1"/>
    </x:xf>
    <x:xf numFmtId="201" fontId="0" fillId="7" xfId="0" applyNumberFormat="1" applyFont="1" applyFill="1" applyBorder="0" applyAlignment="1">
      <x:alignment horizontal="center" wrapText="1"/>
    </x:xf>
    <x:xf numFmtId="200" fontId="0" fillId="7" xfId="0" applyNumberFormat="1" applyFont="1" applyFill="1" applyBorder="0" applyAlignment="1">
      <x:alignment horizontal="center" wrapText="1"/>
    </x:xf>
    <x:xf numFmtId="0" fontId="1" fillId="7" xfId="0" applyNumberFormat="1" applyFont="1" applyFill="1" applyBorder="0" applyAlignment="1">
      <x:alignment wrapText="1"/>
    </x:xf>
    <x:xf numFmtId="201" fontId="1" fillId="7" xfId="0" applyNumberFormat="1" applyFont="1" applyFill="1" applyBorder="0" applyAlignment="1">
      <x:alignment horizontal="center" wrapText="1"/>
    </x:xf>
    <x:xf numFmtId="200" fontId="1" fillId="7" xfId="0" applyNumberFormat="1" applyFont="1" applyFill="1" applyBorder="0" applyAlignment="1">
      <x:alignment horizontal="center" wrapText="1"/>
    </x:xf>
    <x:xf numFmtId="0" fontId="0" fillId="35" borderId="0" xfId="0" applyNumberFormat="1" applyFont="1" applyFill="1" applyBorder="1"/>
    <x:xf numFmtId="0" fontId="2" fillId="35" borderId="0" xfId="0" applyNumberFormat="1" applyFont="1" applyFill="1" applyBorder="1"/>
    <x:xf numFmtId="0" fontId="2" fillId="35" borderId="0" xfId="0" applyNumberFormat="1" applyFont="1" applyFill="1" applyBorder="1" applyAlignment="1">
      <x:alignment horizontal="center"/>
    </x:xf>
    <x:xf numFmtId="0" fontId="2" fillId="35" borderId="0" xfId="0" applyNumberFormat="1" applyFont="1" applyFill="1" applyBorder="1" applyAlignment="1">
      <x:alignment horizontal="center" vertical="center"/>
    </x:xf>
    <x:xf numFmtId="0" fontId="0" fillId="36" borderId="0" xfId="0" applyNumberFormat="1" applyFont="1" applyFill="1" applyBorder="1"/>
    <x:xf numFmtId="0" fontId="8" fillId="36" borderId="0" xfId="0" applyNumberFormat="1" applyFont="1" applyFill="1" applyBorder="1"/>
    <x:xf numFmtId="0" fontId="8" fillId="36" borderId="0" xfId="0" applyNumberFormat="1" applyFont="1" applyFill="1" applyBorder="1" applyAlignment="1">
      <x:alignment wrapText="1"/>
    </x:xf>
    <x:xf numFmtId="0" fontId="8" fillId="36" borderId="0" xfId="0" applyNumberFormat="1" applyFont="1" applyFill="1" applyBorder="1" applyAlignment="1">
      <x:alignment vertical="center" wrapText="1"/>
    </x:xf>
    <x:xf numFmtId="0" fontId="0" fillId="37" borderId="0" xfId="0" applyNumberFormat="1" applyFont="1" applyFill="1" applyBorder="1"/>
    <x:xf numFmtId="0" fontId="1" fillId="37" borderId="0" xfId="0" applyNumberFormat="1" applyFont="1" applyFill="1" applyBorder="1"/>
    <x:xf numFmtId="0" fontId="1" fillId="37" borderId="0" xfId="0" applyNumberFormat="1" applyFont="1" applyFill="1" applyBorder="1" applyAlignment="1">
      <x:alignment wrapText="1"/>
    </x:xf>
    <x:xf numFmtId="0" fontId="1" fillId="37" borderId="0" xfId="0" applyNumberFormat="1" applyFont="1" applyFill="1" applyBorder="1" applyAlignment="1">
      <x:alignment horizontal="center" wrapText="1"/>
    </x:xf>
    <x:xf numFmtId="0" fontId="1" fillId="37" borderId="0" xfId="0" applyNumberFormat="1" applyFont="1" applyFill="1" applyBorder="1" applyAlignment="1">
      <x:alignment horizontal="center" vertical="center" wrapText="1"/>
    </x:xf>
    <x:xf numFmtId="0" fontId="0" fillId="38" xfId="0" applyNumberFormat="1" applyFont="1" applyFill="1" applyBorder="0" applyAlignment="1">
      <x:alignment vertical="center" wrapText="1"/>
    </x:xf>
    <x:xf numFmtId="0" fontId="0" fillId="39" xfId="0" applyNumberFormat="1" applyFont="1" applyFill="1" applyBorder="0" applyAlignment="1">
      <x:alignment vertical="center" wrapText="1"/>
    </x:xf>
    <x:xf numFmtId="0" fontId="0" fillId="40" xfId="0" applyNumberFormat="1" applyFont="1" applyFill="1" applyBorder="0" applyAlignment="1">
      <x:alignment vertical="center" wrapText="1"/>
    </x:xf>
    <x:xf numFmtId="0" fontId="0" fillId="41" xfId="0" applyNumberFormat="1" applyFont="1" applyFill="1" applyBorder="0" applyAlignment="1">
      <x:alignment vertical="center" wrapText="1"/>
    </x:xf>
    <x:xf numFmtId="0" fontId="0" fillId="42" xfId="0" applyNumberFormat="1" applyFont="1" applyFill="1" applyBorder="0" applyAlignment="1">
      <x:alignment vertical="center" wrapText="1"/>
    </x:xf>
    <x:xf numFmtId="0" fontId="0" fillId="43" xfId="0" applyNumberFormat="1" applyFont="1" applyFill="1" applyBorder="0" applyAlignment="1">
      <x:alignment vertical="center" wrapText="1"/>
    </x:xf>
    <x:xf numFmtId="0" fontId="0" fillId="44" xfId="0" applyNumberFormat="1" applyFont="1" applyFill="1" applyBorder="0" applyAlignment="1">
      <x:alignment vertical="center" wrapText="1"/>
    </x:xf>
    <x:xf numFmtId="0" fontId="0" fillId="45" xfId="0" applyNumberFormat="1" applyFont="1" applyFill="1" applyBorder="0" applyAlignment="1">
      <x:alignment vertical="center" wrapText="1"/>
    </x:xf>
    <x:xf numFmtId="0" fontId="0" fillId="46" xfId="0" applyNumberFormat="1" applyFont="1" applyFill="1" applyBorder="0" applyAlignment="1">
      <x:alignment vertical="center" wrapText="1"/>
    </x:xf>
    <x:xf numFmtId="0" fontId="0" fillId="47" xfId="0" applyNumberFormat="1" applyFont="1" applyFill="1" applyBorder="0" applyAlignment="1">
      <x:alignment vertical="center" wrapText="1"/>
    </x:xf>
    <x:xf numFmtId="0" fontId="0" fillId="48" xfId="0" applyNumberFormat="1" applyFont="1" applyFill="1" applyBorder="0" applyAlignment="1">
      <x:alignment vertical="center" wrapText="1"/>
    </x:xf>
    <x:xf numFmtId="0" fontId="0" fillId="48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49" xfId="0" applyNumberFormat="1" applyFont="1" applyFill="1" applyBorder="0" applyAlignment="1">
      <x:alignment vertical="center" wrapText="1"/>
    </x:xf>
    <x:xf numFmtId="0" fontId="0" fillId="50" xfId="0" applyNumberFormat="1" applyFont="1" applyFill="1" applyBorder="0" applyAlignment="1">
      <x:alignment vertical="center" wrapText="1"/>
    </x:xf>
    <x:xf numFmtId="0" fontId="0" fillId="51" xfId="0" applyNumberFormat="1" applyFont="1" applyFill="1" applyBorder="0" applyAlignment="1">
      <x:alignment vertical="center" wrapText="1"/>
    </x:xf>
    <x:xf numFmtId="0" fontId="0" fillId="52" xfId="0" applyNumberFormat="1" applyFont="1" applyFill="1" applyBorder="0" applyAlignment="1">
      <x:alignment vertical="center" wrapText="1"/>
    </x:xf>
    <x:xf numFmtId="0" fontId="0" fillId="53" xfId="0" applyNumberFormat="1" applyFont="1" applyFill="1" applyBorder="0" applyAlignment="1">
      <x:alignment vertical="center" wrapText="1"/>
    </x:xf>
    <x:xf numFmtId="0" fontId="0" fillId="54" xfId="0" applyNumberFormat="1" applyFont="1" applyFill="1" applyBorder="0" applyAlignment="1">
      <x:alignment vertical="center" wrapText="1"/>
    </x:xf>
    <x:xf numFmtId="0" fontId="0" fillId="55" borderId="0" xfId="0" applyNumberFormat="1" applyFont="1" applyFill="1" applyBorder="1"/>
    <x:xf numFmtId="0" fontId="1" fillId="55" borderId="0" xfId="0" applyNumberFormat="1" applyFont="1" applyFill="1" applyBorder="1"/>
    <x:xf numFmtId="0" fontId="1" fillId="55" borderId="0" xfId="0" applyNumberFormat="1" applyFont="1" applyFill="1" applyBorder="1" applyAlignment="1">
      <x:alignment wrapText="1"/>
    </x:xf>
    <x:xf numFmtId="0" fontId="1" fillId="55" borderId="0" xfId="0" applyNumberFormat="1" applyFont="1" applyFill="1" applyBorder="1" applyAlignment="1">
      <x:alignment horizontal="center" wrapText="1"/>
    </x:xf>
    <x:xf numFmtId="0" fontId="1" fillId="55" borderId="0" xfId="0" applyNumberFormat="1" applyFont="1" applyFill="1" applyBorder="1" applyAlignment="1">
      <x:alignment horizontal="center" vertical="center" wrapText="1"/>
    </x:xf>
    <x:xf numFmtId="0" fontId="0" fillId="56" borderId="0" xfId="0" applyNumberFormat="1" applyFont="1" applyFill="1" applyBorder="1"/>
    <x:xf numFmtId="0" fontId="2" fillId="56" borderId="0" xfId="0" applyNumberFormat="1" applyFont="1" applyFill="1" applyBorder="1"/>
    <x:xf numFmtId="0" fontId="2" fillId="56" borderId="0" xfId="0" applyNumberFormat="1" applyFont="1" applyFill="1" applyBorder="1" applyAlignment="1">
      <x:alignment horizontal="center"/>
    </x:xf>
    <x:xf numFmtId="0" fontId="2" fillId="56" borderId="0" xfId="0" applyNumberFormat="1" applyFont="1" applyFill="1" applyBorder="1" applyAlignment="1">
      <x:alignment horizontal="center" vertical="center"/>
    </x:xf>
    <x:xf numFmtId="0" fontId="0" fillId="57" borderId="0" xfId="0" applyNumberFormat="1" applyFont="1" applyFill="1" applyBorder="1"/>
    <x:xf numFmtId="0" fontId="1" fillId="57" borderId="0" xfId="0" applyNumberFormat="1" applyFont="1" applyFill="1" applyBorder="1"/>
    <x:xf numFmtId="0" fontId="0" fillId="54" borderId="0" xfId="0" applyNumberFormat="1" applyFont="1" applyFill="1" applyBorder="1"/>
    <x:xf numFmtId="0" fontId="0" fillId="54" xfId="0" applyNumberFormat="1" applyFont="1" applyFill="1" applyBorder="0"/>
    <x:xf numFmtId="0" fontId="0" fillId="54" xfId="0" applyNumberFormat="1" applyFont="1" applyFill="1" applyBorder="0" applyAlignment="1">
      <x:alignment wrapText="1"/>
    </x:xf>
    <x:xf numFmtId="0" fontId="0" fillId="54" xfId="0" applyNumberFormat="1" applyFont="1" applyFill="1" applyBorder="0" applyAlignment="1">
      <x:alignment horizontal="center" wrapText="1"/>
    </x:xf>
    <x:xf numFmtId="0" fontId="1" fillId="57" borderId="0" xfId="0" applyNumberFormat="1" applyFont="1" applyFill="1" applyBorder="1" applyAlignment="1">
      <x:alignment wrapText="1"/>
    </x:xf>
    <x:xf numFmtId="0" fontId="1" fillId="57" borderId="0" xfId="0" applyNumberFormat="1" applyFont="1" applyFill="1" applyBorder="1" applyAlignment="1">
      <x:alignment horizontal="center" wrapText="1"/>
    </x:xf>
    <x:xf numFmtId="0" fontId="1" fillId="57" borderId="0" xfId="0" applyNumberFormat="1" applyFont="1" applyFill="1" applyBorder="1" applyAlignment="1">
      <x:alignment horizontal="center" vertical="center" wrapText="1"/>
    </x:xf>
    <x:xf numFmtId="0" fontId="0" fillId="8" xfId="0" applyNumberFormat="1" applyFont="1" applyFill="1" applyBorder="0" applyAlignment="1">
      <x:alignment vertical="center" wrapText="1"/>
    </x:xf>
    <x:xf numFmtId="0" fontId="1" fillId="27" borderId="0" xfId="0" applyNumberFormat="1" applyFont="1" applyFill="1" applyBorder="1" applyAlignment="1">
      <x:alignment wrapText="1"/>
    </x:xf>
    <x:xf numFmtId="0" fontId="1" fillId="27" borderId="0" xfId="0" applyNumberFormat="1" applyFont="1" applyFill="1" applyBorder="1" applyAlignment="1">
      <x:alignment horizontal="center" wrapText="1"/>
    </x:xf>
    <x:xf numFmtId="0" fontId="1" fillId="27" borderId="0" xfId="0" applyNumberFormat="1" applyFont="1" applyFill="1" applyBorder="1" applyAlignment="1">
      <x:alignment horizontal="center" vertical="center" wrapText="1"/>
    </x:xf>
    <x:xf numFmtId="0" fontId="0" fillId="48" xfId="0" applyNumberFormat="1" applyFont="1" applyFill="1" applyBorder="0"/>
    <x:xf numFmtId="0" fontId="0" fillId="48" xfId="0" applyNumberFormat="1" applyFont="1" applyFill="1" applyBorder="0" applyAlignment="1">
      <x:alignment wrapText="1"/>
    </x:xf>
    <x:xf numFmtId="0" fontId="0" fillId="58" xfId="0" applyNumberFormat="1" applyFont="1" applyFill="1" applyBorder="0" applyAlignment="1">
      <x:alignment vertical="center" wrapText="1"/>
    </x:xf>
    <x:xf numFmtId="0" fontId="0" fillId="59" xfId="0" applyNumberFormat="1" applyFont="1" applyFill="1" applyBorder="0" applyAlignment="1">
      <x:alignment vertical="center" wrapText="1"/>
    </x:xf>
    <x:xf numFmtId="0" fontId="0" fillId="60" xfId="0" applyNumberFormat="1" applyFont="1" applyFill="1" applyBorder="0" applyAlignment="1">
      <x:alignment vertical="center" wrapText="1"/>
    </x:xf>
    <x:xf numFmtId="0" fontId="0" fillId="61" xfId="0" applyNumberFormat="1" applyFont="1" applyFill="1" applyBorder="0" applyAlignment="1">
      <x:alignment vertical="center" wrapText="1"/>
    </x:xf>
    <x:xf numFmtId="0" fontId="0" fillId="62" xfId="0" applyNumberFormat="1" applyFont="1" applyFill="1" applyBorder="0" applyAlignment="1">
      <x:alignment vertical="center" wrapText="1"/>
    </x:xf>
    <x:xf numFmtId="0" fontId="0" fillId="63" xfId="0" applyNumberFormat="1" applyFont="1" applyFill="1" applyBorder="0" applyAlignment="1">
      <x:alignment vertical="center" wrapText="1"/>
    </x:xf>
    <x:xf numFmtId="0" fontId="8" fillId="64" borderId="0" xfId="0" applyNumberFormat="1" applyFont="1" applyFill="1" applyBorder="1" applyAlignment="1">
      <x:alignment vertical="center" wrapText="1"/>
    </x:xf>
    <x:xf numFmtId="0" fontId="0" fillId="64" borderId="0" xfId="0" applyNumberFormat="1" applyFont="1" applyFill="1" applyBorder="1"/>
    <x:xf numFmtId="0" fontId="9" fillId="64" borderId="0" xfId="0" applyNumberFormat="1" applyFont="1" applyFill="1" applyBorder="1" applyAlignment="1">
      <x:alignment vertical="center" wrapText="1"/>
    </x:xf>
    <x:xf numFmtId="0" fontId="9" fillId="64" borderId="0" xfId="0" applyNumberFormat="1" applyFont="1" applyFill="1" applyBorder="1"/>
    <x:xf numFmtId="0" fontId="9" fillId="64" borderId="0" xfId="0" applyNumberFormat="1" applyFont="1" applyFill="1" applyBorder="1" applyAlignment="1">
      <x:alignment wrapText="1"/>
    </x:xf>
    <x:xf numFmtId="0" fontId="0" fillId="65" xfId="0" applyNumberFormat="1" applyFont="1" applyFill="1" applyBorder="0" applyAlignment="1">
      <x:alignment vertical="center" wrapText="1"/>
    </x:xf>
    <x:xf numFmtId="0" fontId="0" fillId="66" xfId="0" applyNumberFormat="1" applyFont="1" applyFill="1" applyBorder="0" applyAlignment="1">
      <x:alignment vertical="center" wrapText="1"/>
    </x:xf>
    <x:xf numFmtId="0" fontId="0" fillId="67" xfId="0" applyNumberFormat="1" applyFont="1" applyFill="1" applyBorder="0" applyAlignment="1">
      <x:alignment vertical="center" wrapText="1"/>
    </x:xf>
    <x:xf numFmtId="0" fontId="0" fillId="68" xfId="0" applyNumberFormat="1" applyFont="1" applyFill="1" applyBorder="0" applyAlignment="1">
      <x:alignment vertical="center" wrapText="1"/>
    </x:xf>
    <x:xf numFmtId="0" fontId="0" fillId="69" xfId="0" applyNumberFormat="1" applyFont="1" applyFill="1" applyBorder="0" applyAlignment="1">
      <x:alignment vertical="center" wrapText="1"/>
    </x:xf>
    <x:xf numFmtId="0" fontId="0" fillId="70" xfId="0" applyNumberFormat="1" applyFont="1" applyFill="1" applyBorder="0" applyAlignment="1">
      <x:alignment vertical="center" wrapText="1"/>
    </x:xf>
    <x:xf numFmtId="0" fontId="0" fillId="71" xfId="0" applyNumberFormat="1" applyFont="1" applyFill="1" applyBorder="0" applyAlignment="1">
      <x:alignment vertical="center" wrapText="1"/>
    </x:xf>
    <x:xf numFmtId="0" fontId="0" fillId="72" xfId="0" applyNumberFormat="1" applyFont="1" applyFill="1" applyBorder="0" applyAlignment="1">
      <x:alignment vertical="center" wrapText="1"/>
    </x:xf>
    <x:xf numFmtId="0" fontId="10" fillId="71" xfId="0" applyNumberFormat="1" applyFont="1" applyFill="1" applyBorder="0" applyAlignment="1">
      <x:alignment vertical="center" wrapText="1"/>
    </x:xf>
    <x:xf numFmtId="0" fontId="0" fillId="73" borderId="0" xfId="0" applyNumberFormat="1" applyFont="1" applyFill="1" applyBorder="1"/>
    <x:xf numFmtId="0" fontId="2" fillId="73" borderId="0" xfId="0" applyNumberFormat="1" applyFont="1" applyFill="1" applyBorder="1"/>
    <x:xf numFmtId="0" fontId="2" fillId="73" borderId="0" xfId="0" applyNumberFormat="1" applyFont="1" applyFill="1" applyBorder="1" applyAlignment="1">
      <x:alignment horizontal="center"/>
    </x:xf>
    <x:xf numFmtId="0" fontId="2" fillId="73" borderId="0" xfId="0" applyNumberFormat="1" applyFont="1" applyFill="1" applyBorder="1" applyAlignment="1">
      <x:alignment horizontal="center" vertical="center"/>
    </x:xf>
    <x:xf numFmtId="0" fontId="0" fillId="74" borderId="0" xfId="0" applyNumberFormat="1" applyFont="1" applyFill="1" applyBorder="1"/>
    <x:xf numFmtId="0" fontId="8" fillId="74" borderId="0" xfId="0" applyNumberFormat="1" applyFont="1" applyFill="1" applyBorder="1"/>
    <x:xf numFmtId="0" fontId="8" fillId="74" borderId="0" xfId="0" applyNumberFormat="1" applyFont="1" applyFill="1" applyBorder="1" applyAlignment="1">
      <x:alignment wrapText="1"/>
    </x:xf>
    <x:xf numFmtId="0" fontId="8" fillId="74" borderId="0" xfId="0" applyNumberFormat="1" applyFont="1" applyFill="1" applyBorder="1" applyAlignment="1">
      <x:alignment vertical="center" wrapText="1"/>
    </x:xf>
    <x:xf numFmtId="0" fontId="0" fillId="75" borderId="0" xfId="0" applyNumberFormat="1" applyFont="1" applyFill="1" applyBorder="1"/>
    <x:xf numFmtId="0" fontId="1" fillId="75" borderId="0" xfId="0" applyNumberFormat="1" applyFont="1" applyFill="1" applyBorder="1"/>
    <x:xf numFmtId="0" fontId="1" fillId="75" borderId="0" xfId="0" applyNumberFormat="1" applyFont="1" applyFill="1" applyBorder="1" applyAlignment="1">
      <x:alignment wrapText="1"/>
    </x:xf>
    <x:xf numFmtId="0" fontId="1" fillId="75" borderId="0" xfId="0" applyNumberFormat="1" applyFont="1" applyFill="1" applyBorder="1" applyAlignment="1">
      <x:alignment horizontal="center" wrapText="1"/>
    </x:xf>
    <x:xf numFmtId="0" fontId="1" fillId="75" borderId="0" xfId="0" applyNumberFormat="1" applyFont="1" applyFill="1" applyBorder="1" applyAlignment="1">
      <x:alignment horizontal="center" vertical="center" wrapText="1"/>
    </x:xf>
    <x:xf numFmtId="0" fontId="0" fillId="76" borderId="0" xfId="0" applyNumberFormat="1" applyFont="1" applyFill="1" applyBorder="1"/>
    <x:xf numFmtId="0" fontId="0" fillId="76" xfId="0" applyNumberFormat="1" applyFont="1" applyFill="1" applyBorder="0"/>
    <x:xf numFmtId="0" fontId="0" fillId="76" xfId="0" applyNumberFormat="1" applyFont="1" applyFill="1" applyBorder="0" applyAlignment="1">
      <x:alignment wrapText="1"/>
    </x:xf>
    <x:xf numFmtId="0" fontId="0" fillId="76" xfId="0" applyNumberFormat="1" applyFont="1" applyFill="1" applyBorder="0" applyAlignment="1">
      <x:alignment horizontal="center" wrapText="1"/>
    </x:xf>
    <x:xf numFmtId="0" fontId="0" fillId="77" borderId="0" xfId="0" applyNumberFormat="1" applyFont="1" applyFill="1" applyBorder="1"/>
    <x:xf numFmtId="0" fontId="1" fillId="77" borderId="0" xfId="0" applyNumberFormat="1" applyFont="1" applyFill="1" applyBorder="1"/>
    <x:xf numFmtId="0" fontId="0" fillId="64" xfId="0" applyNumberFormat="1" applyFont="1" applyFill="1" applyBorder="0"/>
    <x:xf numFmtId="0" fontId="0" fillId="64" xfId="0" applyNumberFormat="1" applyFont="1" applyFill="1" applyBorder="0" applyAlignment="1">
      <x:alignment wrapText="1"/>
    </x:xf>
    <x:xf numFmtId="0" fontId="0" fillId="64" xfId="0" applyNumberFormat="1" applyFont="1" applyFill="1" applyBorder="0" applyAlignment="1">
      <x:alignment vertical="center" wrapText="1"/>
    </x:xf>
    <x:xf numFmtId="0" fontId="8" fillId="23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9" fillId="23" borderId="0" xfId="0" applyNumberFormat="1" applyFont="1" applyFill="1" applyBorder="1" applyAlignment="1">
      <x:alignment vertical="center" wrapText="1"/>
    </x:xf>
    <x:xf numFmtId="0" fontId="9" fillId="23" borderId="0" xfId="0" applyNumberFormat="1" applyFont="1" applyFill="1" applyBorder="1"/>
    <x:xf numFmtId="0" fontId="9" fillId="23" borderId="0" xfId="0" applyNumberFormat="1" applyFont="1" applyFill="1" applyBorder="1" applyAlignment="1">
      <x:alignment wrapText="1"/>
    </x:xf>
    <x:xf numFmtId="0" fontId="10" fillId="41" xfId="0" applyNumberFormat="1" applyFont="1" applyFill="1" applyBorder="0" applyAlignment="1">
      <x:alignment vertical="center" wrapText="1"/>
    </x:xf>
    <x:xf numFmtId="0" fontId="0" fillId="23" xfId="0" applyNumberFormat="1" applyFont="1" applyFill="1" applyBorder="0"/>
    <x:xf numFmtId="0" fontId="0" fillId="23" xfId="0" applyNumberFormat="1" applyFont="1" applyFill="1" applyBorder="0" applyAlignment="1">
      <x:alignment wrapText="1"/>
    </x:xf>
    <x:xf numFmtId="0" fontId="0" fillId="78" xfId="0" applyNumberFormat="1" applyFont="1" applyFill="1" applyBorder="0" applyAlignment="1">
      <x:alignment vertical="center" wrapText="1"/>
    </x:xf>
    <x:xf numFmtId="0" fontId="0" fillId="79" xfId="0" applyNumberFormat="1" applyFont="1" applyFill="1" applyBorder="0" applyAlignment="1">
      <x:alignment vertical="center" wrapText="1"/>
    </x:xf>
    <x:xf numFmtId="0" fontId="0" fillId="80" xfId="0" applyNumberFormat="1" applyFont="1" applyFill="1" applyBorder="0" applyAlignment="1">
      <x:alignment vertical="center" wrapText="1"/>
    </x:xf>
    <x:xf numFmtId="0" fontId="0" fillId="81" xfId="0" applyNumberFormat="1" applyFont="1" applyFill="1" applyBorder="0" applyAlignment="1">
      <x:alignment vertical="center" wrapText="1"/>
    </x:xf>
    <x:xf numFmtId="0" fontId="0" fillId="82" xfId="0" applyNumberFormat="1" applyFont="1" applyFill="1" applyBorder="0" applyAlignment="1">
      <x:alignment vertical="center" wrapText="1"/>
    </x:xf>
    <x:xf numFmtId="0" fontId="0" fillId="83" xfId="0" applyNumberFormat="1" applyFont="1" applyFill="1" applyBorder="0" applyAlignment="1">
      <x:alignment vertical="center" wrapText="1"/>
    </x:xf>
    <x:xf numFmtId="0" fontId="0" fillId="84" borderId="0" xfId="0" applyNumberFormat="1" applyFont="1" applyFill="1" applyBorder="1"/>
    <x:xf numFmtId="0" fontId="2" fillId="84" borderId="0" xfId="0" applyNumberFormat="1" applyFont="1" applyFill="1" applyBorder="1"/>
    <x:xf numFmtId="0" fontId="2" fillId="84" borderId="0" xfId="0" applyNumberFormat="1" applyFont="1" applyFill="1" applyBorder="1" applyAlignment="1">
      <x:alignment horizontal="center"/>
    </x:xf>
    <x:xf numFmtId="0" fontId="2" fillId="84" borderId="0" xfId="0" applyNumberFormat="1" applyFont="1" applyFill="1" applyBorder="1" applyAlignment="1">
      <x:alignment horizontal="center" vertical="center"/>
    </x:xf>
    <x:xf numFmtId="0" fontId="0" fillId="85" borderId="0" xfId="0" applyNumberFormat="1" applyFont="1" applyFill="1" applyBorder="1"/>
    <x:xf numFmtId="0" fontId="1" fillId="85" borderId="0" xfId="0" applyNumberFormat="1" applyFont="1" applyFill="1" applyBorder="1"/>
    <x:xf numFmtId="0" fontId="1" fillId="85" borderId="0" xfId="0" applyNumberFormat="1" applyFont="1" applyFill="1" applyBorder="1" applyAlignment="1">
      <x:alignment wrapText="1"/>
    </x:xf>
    <x:xf numFmtId="0" fontId="1" fillId="85" borderId="0" xfId="0" applyNumberFormat="1" applyFont="1" applyFill="1" applyBorder="1" applyAlignment="1">
      <x:alignment horizontal="center" wrapText="1"/>
    </x:xf>
    <x:xf numFmtId="0" fontId="1" fillId="85" borderId="0" xfId="0" applyNumberFormat="1" applyFont="1" applyFill="1" applyBorder="1" applyAlignment="1">
      <x:alignment horizontal="center" vertical="center" wrapText="1"/>
    </x:xf>
    <x:xf numFmtId="0" fontId="0" fillId="86" borderId="0" xfId="0" applyNumberFormat="1" applyFont="1" applyFill="1" applyBorder="1"/>
    <x:xf numFmtId="0" fontId="0" fillId="86" xfId="0" applyNumberFormat="1" applyFont="1" applyFill="1" applyBorder="0"/>
    <x:xf numFmtId="0" fontId="0" fillId="86" xfId="0" applyNumberFormat="1" applyFont="1" applyFill="1" applyBorder="0" applyAlignment="1">
      <x:alignment wrapText="1"/>
    </x:xf>
    <x:xf numFmtId="0" fontId="0" fillId="86" xfId="0" applyNumberFormat="1" applyFont="1" applyFill="1" applyBorder="0" applyAlignment="1">
      <x:alignment horizontal="center" wrapText="1"/>
    </x:xf>
    <x:xf numFmtId="0" fontId="0" fillId="87" borderId="0" xfId="0" applyNumberFormat="1" applyFont="1" applyFill="1" applyBorder="1"/>
    <x:xf numFmtId="0" fontId="1" fillId="87" borderId="0" xfId="0" applyNumberFormat="1" applyFont="1" applyFill="1" applyBorder="1"/>
    <x:xf numFmtId="0" fontId="0" fillId="88" xfId="0" applyNumberFormat="1" applyFont="1" applyFill="1" applyBorder="0" applyAlignment="1">
      <x:alignment vertical="center" wrapText="1"/>
    </x:xf>
    <x:xf numFmtId="0" fontId="0" fillId="89" xfId="0" applyNumberFormat="1" applyFont="1" applyFill="1" applyBorder="0" applyAlignment="1">
      <x:alignment vertical="center" wrapText="1"/>
    </x:xf>
    <x:xf numFmtId="0" fontId="0" fillId="90" xfId="0" applyNumberFormat="1" applyFont="1" applyFill="1" applyBorder="0" applyAlignment="1">
      <x:alignment vertical="center" wrapText="1"/>
    </x:xf>
    <x:xf numFmtId="0" fontId="0" fillId="91" xfId="0" applyNumberFormat="1" applyFont="1" applyFill="1" applyBorder="0" applyAlignment="1">
      <x:alignment vertical="center" wrapText="1"/>
    </x:xf>
    <x:xf numFmtId="0" fontId="0" fillId="92" xfId="0" applyNumberFormat="1" applyFont="1" applyFill="1" applyBorder="0" applyAlignment="1">
      <x:alignment vertical="center" wrapText="1"/>
    </x:xf>
    <x:xf numFmtId="0" fontId="0" fillId="93" borderId="0" xfId="0" applyNumberFormat="1" applyFont="1" applyFill="1" applyBorder="1"/>
    <x:xf numFmtId="0" fontId="2" fillId="93" borderId="0" xfId="0" applyNumberFormat="1" applyFont="1" applyFill="1" applyBorder="1"/>
    <x:xf numFmtId="0" fontId="2" fillId="93" borderId="0" xfId="0" applyNumberFormat="1" applyFont="1" applyFill="1" applyBorder="1" applyAlignment="1">
      <x:alignment horizontal="center"/>
    </x:xf>
    <x:xf numFmtId="0" fontId="2" fillId="93" borderId="0" xfId="0" applyNumberFormat="1" applyFont="1" applyFill="1" applyBorder="1" applyAlignment="1">
      <x:alignment horizontal="center" vertical="center"/>
    </x:xf>
    <x:xf numFmtId="0" fontId="0" fillId="94" borderId="0" xfId="0" applyNumberFormat="1" applyFont="1" applyFill="1" applyBorder="1"/>
    <x:xf numFmtId="0" fontId="8" fillId="94" borderId="0" xfId="0" applyNumberFormat="1" applyFont="1" applyFill="1" applyBorder="1"/>
    <x:xf numFmtId="0" fontId="8" fillId="94" borderId="0" xfId="0" applyNumberFormat="1" applyFont="1" applyFill="1" applyBorder="1" applyAlignment="1">
      <x:alignment wrapText="1"/>
    </x:xf>
    <x:xf numFmtId="0" fontId="8" fillId="94" borderId="0" xfId="0" applyNumberFormat="1" applyFont="1" applyFill="1" applyBorder="1" applyAlignment="1">
      <x:alignment vertical="center" wrapText="1"/>
    </x:xf>
    <x:xf numFmtId="0" fontId="0" fillId="95" borderId="0" xfId="0" applyNumberFormat="1" applyFont="1" applyFill="1" applyBorder="1"/>
    <x:xf numFmtId="0" fontId="1" fillId="95" borderId="0" xfId="0" applyNumberFormat="1" applyFont="1" applyFill="1" applyBorder="1"/>
    <x:xf numFmtId="0" fontId="1" fillId="95" borderId="0" xfId="0" applyNumberFormat="1" applyFont="1" applyFill="1" applyBorder="1" applyAlignment="1">
      <x:alignment wrapText="1"/>
    </x:xf>
    <x:xf numFmtId="0" fontId="1" fillId="95" borderId="0" xfId="0" applyNumberFormat="1" applyFont="1" applyFill="1" applyBorder="1" applyAlignment="1">
      <x:alignment horizontal="center" wrapText="1"/>
    </x:xf>
    <x:xf numFmtId="0" fontId="1" fillId="95" borderId="0" xfId="0" applyNumberFormat="1" applyFont="1" applyFill="1" applyBorder="1" applyAlignment="1">
      <x:alignment horizontal="center" vertical="center" wrapText="1"/>
    </x:xf>
    <x:xf numFmtId="0" fontId="0" fillId="96" borderId="0" xfId="0" applyNumberFormat="1" applyFont="1" applyFill="1" applyBorder="1"/>
    <x:xf numFmtId="0" fontId="0" fillId="96" xfId="0" applyNumberFormat="1" applyFont="1" applyFill="1" applyBorder="0"/>
    <x:xf numFmtId="0" fontId="0" fillId="96" xfId="0" applyNumberFormat="1" applyFont="1" applyFill="1" applyBorder="0" applyAlignment="1">
      <x:alignment wrapText="1"/>
    </x:xf>
    <x:xf numFmtId="0" fontId="0" fillId="96" xfId="0" applyNumberFormat="1" applyFont="1" applyFill="1" applyBorder="0" applyAlignment="1">
      <x:alignment horizontal="center" wrapText="1"/>
    </x:xf>
    <x:xf numFmtId="0" fontId="0" fillId="97" borderId="0" xfId="0" applyNumberFormat="1" applyFont="1" applyFill="1" applyBorder="1"/>
    <x:xf numFmtId="0" fontId="1" fillId="97" borderId="0" xfId="0" applyNumberFormat="1" applyFont="1" applyFill="1" applyBorder="1"/>
    <x:xf numFmtId="0" fontId="0" fillId="98" xfId="0" applyNumberFormat="1" applyFont="1" applyFill="1" applyBorder="0" applyAlignment="1">
      <x:alignment vertical="center" wrapText="1"/>
    </x:xf>
    <x:xf numFmtId="0" fontId="0" fillId="99" xfId="0" applyNumberFormat="1" applyFont="1" applyFill="1" applyBorder="0" applyAlignment="1">
      <x:alignment vertical="center" wrapText="1"/>
    </x:xf>
    <x:xf numFmtId="0" fontId="0" fillId="100" xfId="0" applyNumberFormat="1" applyFont="1" applyFill="1" applyBorder="0" applyAlignment="1">
      <x:alignment vertical="center" wrapText="1"/>
    </x:xf>
    <x:xf numFmtId="0" fontId="0" fillId="101" xfId="0" applyNumberFormat="1" applyFont="1" applyFill="1" applyBorder="0" applyAlignment="1">
      <x:alignment vertical="center" wrapText="1"/>
    </x:xf>
    <x:xf numFmtId="0" fontId="0" fillId="102" xfId="0" applyNumberFormat="1" applyFont="1" applyFill="1" applyBorder="0" applyAlignment="1">
      <x:alignment vertical="center" wrapText="1"/>
    </x:xf>
    <x:xf numFmtId="0" fontId="0" fillId="103" xfId="0" applyNumberFormat="1" applyFont="1" applyFill="1" applyBorder="0" applyAlignment="1">
      <x:alignment vertical="center" wrapText="1"/>
    </x:xf>
    <x:xf numFmtId="0" fontId="0" fillId="104" xfId="0" applyNumberFormat="1" applyFont="1" applyFill="1" applyBorder="0" applyAlignment="1">
      <x:alignment vertical="center" wrapText="1"/>
    </x:xf>
    <x:xf numFmtId="0" fontId="0" fillId="105" xfId="0" applyNumberFormat="1" applyFont="1" applyFill="1" applyBorder="0" applyAlignment="1">
      <x:alignment vertical="center" wrapText="1"/>
    </x:xf>
    <x:xf numFmtId="0" fontId="0" fillId="106" xfId="0" applyNumberFormat="1" applyFont="1" applyFill="1" applyBorder="0" applyAlignment="1">
      <x:alignment vertical="center" wrapText="1"/>
    </x:xf>
    <x:xf numFmtId="0" fontId="0" fillId="107" xfId="0" applyNumberFormat="1" applyFont="1" applyFill="1" applyBorder="0" applyAlignment="1">
      <x:alignment vertical="center" wrapText="1"/>
    </x:xf>
    <x:xf numFmtId="0" fontId="0" fillId="108" xfId="0" applyNumberFormat="1" applyFont="1" applyFill="1" applyBorder="0" applyAlignment="1">
      <x:alignment vertical="center" wrapText="1"/>
    </x:xf>
    <x:xf numFmtId="0" fontId="0" fillId="109" xfId="0" applyNumberFormat="1" applyFont="1" applyFill="1" applyBorder="0" applyAlignment="1">
      <x:alignment vertical="center" wrapText="1"/>
    </x:xf>
    <x:xf numFmtId="0" fontId="0" fillId="110" borderId="0" xfId="0" applyNumberFormat="1" applyFont="1" applyFill="1" applyBorder="1"/>
    <x:xf numFmtId="0" fontId="2" fillId="110" borderId="0" xfId="0" applyNumberFormat="1" applyFont="1" applyFill="1" applyBorder="1"/>
    <x:xf numFmtId="0" fontId="2" fillId="110" borderId="0" xfId="0" applyNumberFormat="1" applyFont="1" applyFill="1" applyBorder="1" applyAlignment="1">
      <x:alignment horizontal="center"/>
    </x:xf>
    <x:xf numFmtId="0" fontId="2" fillId="110" borderId="0" xfId="0" applyNumberFormat="1" applyFont="1" applyFill="1" applyBorder="1" applyAlignment="1">
      <x:alignment horizontal="center" vertical="center"/>
    </x:xf>
    <x:xf numFmtId="0" fontId="0" fillId="111" borderId="0" xfId="0" applyNumberFormat="1" applyFont="1" applyFill="1" applyBorder="1"/>
    <x:xf numFmtId="0" fontId="8" fillId="111" borderId="0" xfId="0" applyNumberFormat="1" applyFont="1" applyFill="1" applyBorder="1"/>
    <x:xf numFmtId="0" fontId="8" fillId="111" borderId="0" xfId="0" applyNumberFormat="1" applyFont="1" applyFill="1" applyBorder="1" applyAlignment="1">
      <x:alignment wrapText="1"/>
    </x:xf>
    <x:xf numFmtId="0" fontId="8" fillId="111" borderId="0" xfId="0" applyNumberFormat="1" applyFont="1" applyFill="1" applyBorder="1" applyAlignment="1">
      <x:alignment vertical="center" wrapText="1"/>
    </x:xf>
    <x:xf numFmtId="0" fontId="0" fillId="112" borderId="0" xfId="0" applyNumberFormat="1" applyFont="1" applyFill="1" applyBorder="1"/>
    <x:xf numFmtId="0" fontId="1" fillId="112" borderId="0" xfId="0" applyNumberFormat="1" applyFont="1" applyFill="1" applyBorder="1"/>
    <x:xf numFmtId="0" fontId="1" fillId="112" borderId="0" xfId="0" applyNumberFormat="1" applyFont="1" applyFill="1" applyBorder="1" applyAlignment="1">
      <x:alignment wrapText="1"/>
    </x:xf>
    <x:xf numFmtId="0" fontId="1" fillId="112" borderId="0" xfId="0" applyNumberFormat="1" applyFont="1" applyFill="1" applyBorder="1" applyAlignment="1">
      <x:alignment horizontal="center" wrapText="1"/>
    </x:xf>
    <x:xf numFmtId="0" fontId="1" fillId="112" borderId="0" xfId="0" applyNumberFormat="1" applyFont="1" applyFill="1" applyBorder="1" applyAlignment="1">
      <x:alignment horizontal="center" vertical="center" wrapText="1"/>
    </x:xf>
    <x:xf numFmtId="0" fontId="0" fillId="113" borderId="0" xfId="0" applyNumberFormat="1" applyFont="1" applyFill="1" applyBorder="1"/>
    <x:xf numFmtId="0" fontId="0" fillId="113" xfId="0" applyNumberFormat="1" applyFont="1" applyFill="1" applyBorder="0"/>
    <x:xf numFmtId="0" fontId="0" fillId="113" xfId="0" applyNumberFormat="1" applyFont="1" applyFill="1" applyBorder="0" applyAlignment="1">
      <x:alignment wrapText="1"/>
    </x:xf>
    <x:xf numFmtId="0" fontId="0" fillId="113" xfId="0" applyNumberFormat="1" applyFont="1" applyFill="1" applyBorder="0" applyAlignment="1">
      <x:alignment horizontal="center" wrapText="1"/>
    </x:xf>
    <x:xf numFmtId="0" fontId="0" fillId="114" borderId="0" xfId="0" applyNumberFormat="1" applyFont="1" applyFill="1" applyBorder="1"/>
    <x:xf numFmtId="0" fontId="1" fillId="114" borderId="0" xfId="0" applyNumberFormat="1" applyFont="1" applyFill="1" applyBorder="1"/>
    <x:xf numFmtId="0" fontId="0" fillId="115" xfId="0" applyNumberFormat="1" applyFont="1" applyFill="1" applyBorder="0" applyAlignment="1">
      <x:alignment vertical="center" wrapText="1"/>
    </x:xf>
    <x:xf numFmtId="0" fontId="0" fillId="116" xfId="0" applyNumberFormat="1" applyFont="1" applyFill="1" applyBorder="0" applyAlignment="1">
      <x:alignment vertical="center" wrapText="1"/>
    </x:xf>
    <x:xf numFmtId="0" fontId="0" fillId="117" xfId="0" applyNumberFormat="1" applyFont="1" applyFill="1" applyBorder="0" applyAlignment="1">
      <x:alignment vertical="center" wrapText="1"/>
    </x:xf>
    <x:xf numFmtId="0" fontId="0" fillId="118" xfId="0" applyNumberFormat="1" applyFont="1" applyFill="1" applyBorder="0" applyAlignment="1">
      <x:alignment vertical="center" wrapText="1"/>
    </x:xf>
    <x:xf numFmtId="0" fontId="0" fillId="119" xfId="0" applyNumberFormat="1" applyFont="1" applyFill="1" applyBorder="0" applyAlignment="1">
      <x:alignment vertical="center" wrapText="1"/>
    </x:xf>
    <x:xf numFmtId="0" fontId="0" fillId="120" xfId="0" applyNumberFormat="1" applyFont="1" applyFill="1" applyBorder="0" applyAlignment="1">
      <x:alignment vertical="center" wrapText="1"/>
    </x:xf>
    <x:xf numFmtId="0" fontId="0" fillId="121" xfId="0" applyNumberFormat="1" applyFont="1" applyFill="1" applyBorder="0" applyAlignment="1">
      <x:alignment vertical="center" wrapText="1"/>
    </x:xf>
    <x:xf numFmtId="0" fontId="0" fillId="122" xfId="0" applyNumberFormat="1" applyFont="1" applyFill="1" applyBorder="0" applyAlignment="1">
      <x:alignment vertical="center" wrapText="1"/>
    </x:xf>
    <x:xf numFmtId="0" fontId="0" fillId="123" xfId="0" applyNumberFormat="1" applyFont="1" applyFill="1" applyBorder="0" applyAlignment="1">
      <x:alignment vertical="center" wrapText="1"/>
    </x:xf>
    <x:xf numFmtId="0" fontId="0" fillId="124" xfId="0" applyNumberFormat="1" applyFont="1" applyFill="1" applyBorder="0" applyAlignment="1">
      <x:alignment vertical="center" wrapText="1"/>
    </x:xf>
    <x:xf numFmtId="0" fontId="0" fillId="125" xfId="0" applyNumberFormat="1" applyFont="1" applyFill="1" applyBorder="0" applyAlignment="1">
      <x:alignment vertical="center" wrapText="1"/>
    </x:xf>
    <x:xf numFmtId="0" fontId="0" fillId="126" xfId="0" applyNumberFormat="1" applyFont="1" applyFill="1" applyBorder="0" applyAlignment="1">
      <x:alignment vertical="center" wrapText="1"/>
    </x:xf>
    <x:xf numFmtId="0" fontId="0" fillId="127" xfId="0" applyNumberFormat="1" applyFont="1" applyFill="1" applyBorder="0" applyAlignment="1">
      <x:alignment vertical="center" wrapText="1"/>
    </x:xf>
    <x:xf numFmtId="0" fontId="0" fillId="128" xfId="0" applyNumberFormat="1" applyFont="1" applyFill="1" applyBorder="0" applyAlignment="1">
      <x:alignment vertical="center" wrapText="1"/>
    </x:xf>
    <x:xf numFmtId="0" fontId="0" fillId="129" borderId="0" xfId="0" applyNumberFormat="1" applyFont="1" applyFill="1" applyBorder="1"/>
    <x:xf numFmtId="0" fontId="2" fillId="129" borderId="0" xfId="0" applyNumberFormat="1" applyFont="1" applyFill="1" applyBorder="1"/>
    <x:xf numFmtId="0" fontId="2" fillId="129" borderId="0" xfId="0" applyNumberFormat="1" applyFont="1" applyFill="1" applyBorder="1" applyAlignment="1">
      <x:alignment horizontal="center"/>
    </x:xf>
    <x:xf numFmtId="0" fontId="2" fillId="129" borderId="0" xfId="0" applyNumberFormat="1" applyFont="1" applyFill="1" applyBorder="1" applyAlignment="1">
      <x:alignment horizontal="center" vertical="center"/>
    </x:xf>
    <x:xf numFmtId="0" fontId="0" fillId="130" borderId="0" xfId="0" applyNumberFormat="1" applyFont="1" applyFill="1" applyBorder="1"/>
    <x:xf numFmtId="0" fontId="8" fillId="130" borderId="0" xfId="0" applyNumberFormat="1" applyFont="1" applyFill="1" applyBorder="1"/>
    <x:xf numFmtId="0" fontId="8" fillId="130" borderId="0" xfId="0" applyNumberFormat="1" applyFont="1" applyFill="1" applyBorder="1" applyAlignment="1">
      <x:alignment wrapText="1"/>
    </x:xf>
    <x:xf numFmtId="0" fontId="0" fillId="131" borderId="0" xfId="0" applyNumberFormat="1" applyFont="1" applyFill="1" applyBorder="1"/>
    <x:xf numFmtId="0" fontId="1" fillId="131" borderId="0" xfId="0" applyNumberFormat="1" applyFont="1" applyFill="1" applyBorder="1"/>
    <x:xf numFmtId="0" fontId="1" fillId="131" borderId="0" xfId="0" applyNumberFormat="1" applyFont="1" applyFill="1" applyBorder="1" applyAlignment="1">
      <x:alignment wrapText="1"/>
    </x:xf>
    <x:xf numFmtId="0" fontId="1" fillId="131" borderId="0" xfId="0" applyNumberFormat="1" applyFont="1" applyFill="1" applyBorder="1" applyAlignment="1">
      <x:alignment horizontal="center" wrapText="1"/>
    </x:xf>
    <x:xf numFmtId="0" fontId="1" fillId="131" borderId="0" xfId="0" applyNumberFormat="1" applyFont="1" applyFill="1" applyBorder="1" applyAlignment="1">
      <x:alignment horizontal="center" vertical="center" wrapText="1"/>
    </x:xf>
    <x:xf numFmtId="0" fontId="0" fillId="120" borderId="0" xfId="0" applyNumberFormat="1" applyFont="1" applyFill="1" applyBorder="1"/>
    <x:xf numFmtId="0" fontId="0" fillId="120" xfId="0" applyNumberFormat="1" applyFont="1" applyFill="1" applyBorder="0"/>
    <x:xf numFmtId="0" fontId="0" fillId="120" xfId="0" applyNumberFormat="1" applyFont="1" applyFill="1" applyBorder="0" applyAlignment="1">
      <x:alignment wrapText="1"/>
    </x:xf>
    <x:xf numFmtId="0" fontId="0" fillId="120" xfId="0" applyNumberFormat="1" applyFont="1" applyFill="1" applyBorder="0" applyAlignment="1">
      <x:alignment horizontal="center" wrapText="1"/>
    </x:xf>
    <x:xf numFmtId="0" fontId="0" fillId="132" borderId="0" xfId="0" applyNumberFormat="1" applyFont="1" applyFill="1" applyBorder="1"/>
    <x:xf numFmtId="0" fontId="1" fillId="132" borderId="0" xfId="0" applyNumberFormat="1" applyFont="1" applyFill="1" applyBorder="1"/>
    <x:xf numFmtId="0" fontId="0" fillId="133" xfId="0" applyNumberFormat="1" applyFont="1" applyFill="1" applyBorder="0" applyAlignment="1">
      <x:alignment vertical="center" wrapText="1"/>
    </x:xf>
    <x:xf numFmtId="0" fontId="0" fillId="134" xfId="0" applyNumberFormat="1" applyFont="1" applyFill="1" applyBorder="0" applyAlignment="1">
      <x:alignment vertical="center" wrapText="1"/>
    </x:xf>
    <x:xf numFmtId="0" fontId="0" fillId="135" xfId="0" applyNumberFormat="1" applyFont="1" applyFill="1" applyBorder="0" applyAlignment="1">
      <x:alignment vertical="center" wrapText="1"/>
    </x:xf>
    <x:xf numFmtId="0" fontId="0" fillId="136" xfId="0" applyNumberFormat="1" applyFont="1" applyFill="1" applyBorder="0" applyAlignment="1">
      <x:alignment vertical="center" wrapText="1"/>
    </x:xf>
    <x:xf numFmtId="0" fontId="0" fillId="137" xfId="0" applyNumberFormat="1" applyFont="1" applyFill="1" applyBorder="0" applyAlignment="1">
      <x:alignment vertical="center" wrapText="1"/>
    </x:xf>
    <x:xf numFmtId="0" fontId="0" fillId="138" xfId="0" applyNumberFormat="1" applyFont="1" applyFill="1" applyBorder="0" applyAlignment="1">
      <x:alignment vertical="center" wrapText="1"/>
    </x:xf>
    <x:xf numFmtId="0" fontId="0" fillId="139" xfId="0" applyNumberFormat="1" applyFont="1" applyFill="1" applyBorder="0" applyAlignment="1">
      <x:alignment vertical="center" wrapText="1"/>
    </x:xf>
    <x:xf numFmtId="0" fontId="0" fillId="140" xfId="0" applyNumberFormat="1" applyFont="1" applyFill="1" applyBorder="0" applyAlignment="1">
      <x:alignment vertical="center" wrapText="1"/>
    </x:xf>
    <x:xf numFmtId="0" fontId="0" fillId="141" xfId="0" applyNumberFormat="1" applyFont="1" applyFill="1" applyBorder="0" applyAlignment="1">
      <x:alignment vertical="center" wrapText="1"/>
    </x:xf>
    <x:xf numFmtId="0" fontId="0" fillId="142" xfId="0" applyNumberFormat="1" applyFont="1" applyFill="1" applyBorder="0" applyAlignment="1">
      <x:alignment vertical="center" wrapText="1"/>
    </x:xf>
    <x:xf numFmtId="0" fontId="0" fillId="143" xfId="0" applyNumberFormat="1" applyFont="1" applyFill="1" applyBorder="0" applyAlignment="1">
      <x:alignment vertical="center" wrapText="1"/>
    </x:xf>
    <x:xf numFmtId="0" fontId="0" fillId="144" borderId="0" xfId="0" applyNumberFormat="1" applyFont="1" applyFill="1" applyBorder="1"/>
    <x:xf numFmtId="0" fontId="2" fillId="144" borderId="0" xfId="0" applyNumberFormat="1" applyFont="1" applyFill="1" applyBorder="1"/>
    <x:xf numFmtId="0" fontId="2" fillId="144" borderId="0" xfId="0" applyNumberFormat="1" applyFont="1" applyFill="1" applyBorder="1" applyAlignment="1">
      <x:alignment horizontal="center"/>
    </x:xf>
    <x:xf numFmtId="0" fontId="2" fillId="144" borderId="0" xfId="0" applyNumberFormat="1" applyFont="1" applyFill="1" applyBorder="1" applyAlignment="1">
      <x:alignment horizontal="center" vertical="center"/>
    </x:xf>
    <x:xf numFmtId="0" fontId="0" fillId="145" borderId="0" xfId="0" applyNumberFormat="1" applyFont="1" applyFill="1" applyBorder="1"/>
    <x:xf numFmtId="0" fontId="8" fillId="145" borderId="0" xfId="0" applyNumberFormat="1" applyFont="1" applyFill="1" applyBorder="1"/>
    <x:xf numFmtId="0" fontId="8" fillId="145" borderId="0" xfId="0" applyNumberFormat="1" applyFont="1" applyFill="1" applyBorder="1" applyAlignment="1">
      <x:alignment wrapText="1"/>
    </x:xf>
    <x:xf numFmtId="0" fontId="0" fillId="146" borderId="0" xfId="0" applyNumberFormat="1" applyFont="1" applyFill="1" applyBorder="1"/>
    <x:xf numFmtId="0" fontId="1" fillId="146" borderId="0" xfId="0" applyNumberFormat="1" applyFont="1" applyFill="1" applyBorder="1"/>
    <x:xf numFmtId="0" fontId="1" fillId="146" borderId="0" xfId="0" applyNumberFormat="1" applyFont="1" applyFill="1" applyBorder="1" applyAlignment="1">
      <x:alignment wrapText="1"/>
    </x:xf>
    <x:xf numFmtId="0" fontId="1" fillId="146" borderId="0" xfId="0" applyNumberFormat="1" applyFont="1" applyFill="1" applyBorder="1" applyAlignment="1">
      <x:alignment horizontal="center" wrapText="1"/>
    </x:xf>
    <x:xf numFmtId="0" fontId="1" fillId="146" borderId="0" xfId="0" applyNumberFormat="1" applyFont="1" applyFill="1" applyBorder="1" applyAlignment="1">
      <x:alignment horizontal="center" vertical="center" wrapText="1"/>
    </x:xf>
    <x:xf numFmtId="0" fontId="0" fillId="147" borderId="0" xfId="0" applyNumberFormat="1" applyFont="1" applyFill="1" applyBorder="1"/>
    <x:xf numFmtId="0" fontId="0" fillId="147" xfId="0" applyNumberFormat="1" applyFont="1" applyFill="1" applyBorder="0"/>
    <x:xf numFmtId="0" fontId="0" fillId="147" xfId="0" applyNumberFormat="1" applyFont="1" applyFill="1" applyBorder="0" applyAlignment="1">
      <x:alignment wrapText="1"/>
    </x:xf>
    <x:xf numFmtId="0" fontId="0" fillId="147" xfId="0" applyNumberFormat="1" applyFont="1" applyFill="1" applyBorder="0" applyAlignment="1">
      <x:alignment horizontal="center" wrapText="1"/>
    </x:xf>
    <x:xf numFmtId="0" fontId="0" fillId="148" borderId="0" xfId="0" applyNumberFormat="1" applyFont="1" applyFill="1" applyBorder="1"/>
    <x:xf numFmtId="0" fontId="1" fillId="148" borderId="0" xfId="0" applyNumberFormat="1" applyFont="1" applyFill="1" applyBorder="1"/>
    <x:xf numFmtId="0" fontId="0" fillId="149" xfId="0" applyNumberFormat="1" applyFont="1" applyFill="1" applyBorder="0" applyAlignment="1">
      <x:alignment vertical="center" wrapText="1"/>
    </x:xf>
    <x:xf numFmtId="0" fontId="0" fillId="150" xfId="0" applyNumberFormat="1" applyFont="1" applyFill="1" applyBorder="0" applyAlignment="1">
      <x:alignment vertical="center" wrapText="1"/>
    </x:xf>
    <x:xf numFmtId="0" fontId="0" fillId="151" xfId="0" applyNumberFormat="1" applyFont="1" applyFill="1" applyBorder="0" applyAlignment="1">
      <x:alignment vertical="center" wrapText="1"/>
    </x:xf>
    <x:xf numFmtId="0" fontId="0" fillId="152" xfId="0" applyNumberFormat="1" applyFont="1" applyFill="1" applyBorder="0" applyAlignment="1">
      <x:alignment vertical="center" wrapText="1"/>
    </x:xf>
    <x:xf numFmtId="0" fontId="0" fillId="153" xfId="0" applyNumberFormat="1" applyFont="1" applyFill="1" applyBorder="0" applyAlignment="1">
      <x:alignment vertical="center" wrapText="1"/>
    </x:xf>
    <x:xf numFmtId="0" fontId="0" fillId="154" xfId="0" applyNumberFormat="1" applyFont="1" applyFill="1" applyBorder="0" applyAlignment="1">
      <x:alignment vertical="center" wrapText="1"/>
    </x:xf>
    <x:xf numFmtId="0" fontId="0" fillId="155" borderId="0" xfId="0" applyNumberFormat="1" applyFont="1" applyFill="1" applyBorder="1"/>
    <x:xf numFmtId="0" fontId="2" fillId="155" borderId="0" xfId="0" applyNumberFormat="1" applyFont="1" applyFill="1" applyBorder="1"/>
    <x:xf numFmtId="0" fontId="2" fillId="155" borderId="0" xfId="0" applyNumberFormat="1" applyFont="1" applyFill="1" applyBorder="1" applyAlignment="1">
      <x:alignment horizontal="center"/>
    </x:xf>
    <x:xf numFmtId="0" fontId="2" fillId="155" borderId="0" xfId="0" applyNumberFormat="1" applyFont="1" applyFill="1" applyBorder="1" applyAlignment="1">
      <x:alignment horizontal="center" vertical="center"/>
    </x:xf>
    <x:xf numFmtId="0" fontId="0" fillId="156" borderId="0" xfId="0" applyNumberFormat="1" applyFont="1" applyFill="1" applyBorder="1"/>
    <x:xf numFmtId="0" fontId="8" fillId="156" borderId="0" xfId="0" applyNumberFormat="1" applyFont="1" applyFill="1" applyBorder="1"/>
    <x:xf numFmtId="0" fontId="8" fillId="156" borderId="0" xfId="0" applyNumberFormat="1" applyFont="1" applyFill="1" applyBorder="1" applyAlignment="1">
      <x:alignment wrapText="1"/>
    </x:xf>
    <x:xf numFmtId="0" fontId="0" fillId="157" borderId="0" xfId="0" applyNumberFormat="1" applyFont="1" applyFill="1" applyBorder="1"/>
    <x:xf numFmtId="0" fontId="1" fillId="157" borderId="0" xfId="0" applyNumberFormat="1" applyFont="1" applyFill="1" applyBorder="1"/>
    <x:xf numFmtId="0" fontId="1" fillId="157" borderId="0" xfId="0" applyNumberFormat="1" applyFont="1" applyFill="1" applyBorder="1" applyAlignment="1">
      <x:alignment wrapText="1"/>
    </x:xf>
    <x:xf numFmtId="0" fontId="1" fillId="157" borderId="0" xfId="0" applyNumberFormat="1" applyFont="1" applyFill="1" applyBorder="1" applyAlignment="1">
      <x:alignment horizontal="center" wrapText="1"/>
    </x:xf>
    <x:xf numFmtId="0" fontId="1" fillId="157" borderId="0" xfId="0" applyNumberFormat="1" applyFont="1" applyFill="1" applyBorder="1" applyAlignment="1">
      <x:alignment horizontal="center" vertical="center" wrapText="1"/>
    </x:xf>
    <x:xf numFmtId="0" fontId="0" fillId="158" borderId="0" xfId="0" applyNumberFormat="1" applyFont="1" applyFill="1" applyBorder="1"/>
    <x:xf numFmtId="0" fontId="0" fillId="158" xfId="0" applyNumberFormat="1" applyFont="1" applyFill="1" applyBorder="0"/>
    <x:xf numFmtId="0" fontId="0" fillId="158" xfId="0" applyNumberFormat="1" applyFont="1" applyFill="1" applyBorder="0" applyAlignment="1">
      <x:alignment wrapText="1"/>
    </x:xf>
    <x:xf numFmtId="0" fontId="0" fillId="158" xfId="0" applyNumberFormat="1" applyFont="1" applyFill="1" applyBorder="0" applyAlignment="1">
      <x:alignment horizontal="center" wrapText="1"/>
    </x:xf>
    <x:xf numFmtId="0" fontId="0" fillId="159" borderId="0" xfId="0" applyNumberFormat="1" applyFont="1" applyFill="1" applyBorder="1"/>
    <x:xf numFmtId="0" fontId="1" fillId="159" borderId="0" xfId="0" applyNumberFormat="1" applyFont="1" applyFill="1" applyBorder="1"/>
    <x:xf numFmtId="0" fontId="0" fillId="160" xfId="0" applyNumberFormat="1" applyFont="1" applyFill="1" applyBorder="0" applyAlignment="1">
      <x:alignment vertical="center" wrapText="1"/>
    </x:xf>
    <x:xf numFmtId="0" fontId="0" fillId="161" xfId="0" applyNumberFormat="1" applyFont="1" applyFill="1" applyBorder="0" applyAlignment="1">
      <x:alignment vertical="center" wrapText="1"/>
    </x:xf>
    <x:xf numFmtId="0" fontId="0" fillId="162" xfId="0" applyNumberFormat="1" applyFont="1" applyFill="1" applyBorder="0" applyAlignment="1">
      <x:alignment vertical="center" wrapText="1"/>
    </x:xf>
    <x:xf numFmtId="0" fontId="0" fillId="163" xfId="0" applyNumberFormat="1" applyFont="1" applyFill="1" applyBorder="0" applyAlignment="1">
      <x:alignment vertical="center" wrapText="1"/>
    </x:xf>
    <x:xf numFmtId="0" fontId="0" fillId="164" xfId="0" applyNumberFormat="1" applyFont="1" applyFill="1" applyBorder="0" applyAlignment="1">
      <x:alignment vertical="center" wrapText="1"/>
    </x:xf>
    <x:xf numFmtId="0" fontId="0" fillId="165" xfId="0" applyNumberFormat="1" applyFont="1" applyFill="1" applyBorder="0" applyAlignment="1">
      <x:alignment vertical="center" wrapText="1"/>
    </x:xf>
    <x:xf numFmtId="0" fontId="0" fillId="166" xfId="0" applyNumberFormat="1" applyFont="1" applyFill="1" applyBorder="0" applyAlignment="1">
      <x:alignment vertical="center" wrapText="1"/>
    </x:xf>
    <x:xf numFmtId="0" fontId="0" fillId="167" xfId="0" applyNumberFormat="1" applyFont="1" applyFill="1" applyBorder="0" applyAlignment="1">
      <x:alignment vertical="center" wrapText="1"/>
    </x:xf>
    <x:xf numFmtId="0" fontId="0" fillId="168" xfId="0" applyNumberFormat="1" applyFont="1" applyFill="1" applyBorder="0" applyAlignment="1">
      <x:alignment vertical="center" wrapText="1"/>
    </x:xf>
    <x:xf numFmtId="0" fontId="0" fillId="169" xfId="0" applyNumberFormat="1" applyFont="1" applyFill="1" applyBorder="0" applyAlignment="1">
      <x:alignment vertical="center" wrapText="1"/>
    </x:xf>
    <x:xf numFmtId="0" fontId="0" fillId="170" xfId="0" applyNumberFormat="1" applyFont="1" applyFill="1" applyBorder="0" applyAlignment="1">
      <x:alignment vertical="center" wrapText="1"/>
    </x:xf>
    <x:xf numFmtId="0" fontId="0" fillId="171" xfId="0" applyNumberFormat="1" applyFont="1" applyFill="1" applyBorder="0" applyAlignment="1">
      <x:alignment vertical="center" wrapText="1"/>
    </x:xf>
    <x:xf numFmtId="0" fontId="0" fillId="172" xfId="0" applyNumberFormat="1" applyFont="1" applyFill="1" applyBorder="0" applyAlignment="1">
      <x:alignment vertical="center" wrapText="1"/>
    </x:xf>
    <x:xf numFmtId="0" fontId="0" fillId="173" xfId="0" applyNumberFormat="1" applyFont="1" applyFill="1" applyBorder="0" applyAlignment="1">
      <x:alignment vertical="center" wrapText="1"/>
    </x:xf>
    <x:xf numFmtId="0" fontId="0" fillId="174" borderId="0" xfId="0" applyNumberFormat="1" applyFont="1" applyFill="1" applyBorder="1"/>
    <x:xf numFmtId="0" fontId="2" fillId="174" borderId="0" xfId="0" applyNumberFormat="1" applyFont="1" applyFill="1" applyBorder="1"/>
    <x:xf numFmtId="0" fontId="2" fillId="174" borderId="0" xfId="0" applyNumberFormat="1" applyFont="1" applyFill="1" applyBorder="1" applyAlignment="1">
      <x:alignment horizontal="center"/>
    </x:xf>
    <x:xf numFmtId="0" fontId="2" fillId="174" borderId="0" xfId="0" applyNumberFormat="1" applyFont="1" applyFill="1" applyBorder="1" applyAlignment="1">
      <x:alignment horizontal="center" vertical="center"/>
    </x:xf>
    <x:xf numFmtId="0" fontId="0" fillId="175" borderId="0" xfId="0" applyNumberFormat="1" applyFont="1" applyFill="1" applyBorder="1"/>
    <x:xf numFmtId="0" fontId="8" fillId="175" borderId="0" xfId="0" applyNumberFormat="1" applyFont="1" applyFill="1" applyBorder="1"/>
    <x:xf numFmtId="0" fontId="8" fillId="175" borderId="0" xfId="0" applyNumberFormat="1" applyFont="1" applyFill="1" applyBorder="1" applyAlignment="1">
      <x:alignment wrapText="1"/>
    </x:xf>
    <x:xf numFmtId="0" fontId="0" fillId="176" borderId="0" xfId="0" applyNumberFormat="1" applyFont="1" applyFill="1" applyBorder="1"/>
    <x:xf numFmtId="0" fontId="1" fillId="176" borderId="0" xfId="0" applyNumberFormat="1" applyFont="1" applyFill="1" applyBorder="1"/>
    <x:xf numFmtId="0" fontId="1" fillId="176" borderId="0" xfId="0" applyNumberFormat="1" applyFont="1" applyFill="1" applyBorder="1" applyAlignment="1">
      <x:alignment wrapText="1"/>
    </x:xf>
    <x:xf numFmtId="0" fontId="1" fillId="176" borderId="0" xfId="0" applyNumberFormat="1" applyFont="1" applyFill="1" applyBorder="1" applyAlignment="1">
      <x:alignment horizontal="center" wrapText="1"/>
    </x:xf>
    <x:xf numFmtId="0" fontId="1" fillId="176" borderId="0" xfId="0" applyNumberFormat="1" applyFont="1" applyFill="1" applyBorder="1" applyAlignment="1">
      <x:alignment horizontal="center" vertical="center" wrapText="1"/>
    </x:xf>
    <x:xf numFmtId="0" fontId="0" fillId="177" borderId="0" xfId="0" applyNumberFormat="1" applyFont="1" applyFill="1" applyBorder="1"/>
    <x:xf numFmtId="0" fontId="0" fillId="177" xfId="0" applyNumberFormat="1" applyFont="1" applyFill="1" applyBorder="0"/>
    <x:xf numFmtId="0" fontId="0" fillId="177" xfId="0" applyNumberFormat="1" applyFont="1" applyFill="1" applyBorder="0" applyAlignment="1">
      <x:alignment wrapText="1"/>
    </x:xf>
    <x:xf numFmtId="0" fontId="0" fillId="177" xfId="0" applyNumberFormat="1" applyFont="1" applyFill="1" applyBorder="0" applyAlignment="1">
      <x:alignment horizontal="center" wrapText="1"/>
    </x:xf>
    <x:xf numFmtId="0" fontId="0" fillId="178" borderId="0" xfId="0" applyNumberFormat="1" applyFont="1" applyFill="1" applyBorder="1"/>
    <x:xf numFmtId="0" fontId="1" fillId="178" borderId="0" xfId="0" applyNumberFormat="1" applyFont="1" applyFill="1" applyBorder="1"/>
    <x:xf numFmtId="0" fontId="0" fillId="179" xfId="0" applyNumberFormat="1" applyFont="1" applyFill="1" applyBorder="0" applyAlignment="1">
      <x:alignment vertical="center" wrapText="1"/>
    </x:xf>
    <x:xf numFmtId="0" fontId="0" fillId="180" xfId="0" applyNumberFormat="1" applyFont="1" applyFill="1" applyBorder="0" applyAlignment="1">
      <x:alignment vertical="center" wrapText="1"/>
    </x:xf>
    <x:xf numFmtId="0" fontId="0" fillId="181" xfId="0" applyNumberFormat="1" applyFont="1" applyFill="1" applyBorder="0" applyAlignment="1">
      <x:alignment vertical="center" wrapText="1"/>
    </x:xf>
    <x:xf numFmtId="0" fontId="0" fillId="182" xfId="0" applyNumberFormat="1" applyFont="1" applyFill="1" applyBorder="0" applyAlignment="1">
      <x:alignment vertical="center" wrapText="1"/>
    </x:xf>
    <x:xf numFmtId="0" fontId="0" fillId="183" xfId="0" applyNumberFormat="1" applyFont="1" applyFill="1" applyBorder="0" applyAlignment="1">
      <x:alignment vertical="center" wrapText="1"/>
    </x:xf>
    <x:xf numFmtId="0" fontId="0" fillId="184" xfId="0" applyNumberFormat="1" applyFont="1" applyFill="1" applyBorder="0" applyAlignment="1">
      <x:alignment vertical="center" wrapText="1"/>
    </x:xf>
    <x:xf numFmtId="0" fontId="0" fillId="185" xfId="0" applyNumberFormat="1" applyFont="1" applyFill="1" applyBorder="0" applyAlignment="1">
      <x:alignment vertical="center" wrapText="1"/>
    </x:xf>
    <x:xf numFmtId="0" fontId="0" fillId="186" xfId="0" applyNumberFormat="1" applyFont="1" applyFill="1" applyBorder="0" applyAlignment="1">
      <x:alignment vertical="center" wrapText="1"/>
    </x:xf>
    <x:xf numFmtId="0" fontId="0" fillId="187" xfId="0" applyNumberFormat="1" applyFont="1" applyFill="1" applyBorder="0" applyAlignment="1">
      <x:alignment vertical="center" wrapText="1"/>
    </x:xf>
    <x:xf numFmtId="0" fontId="0" fillId="188" xfId="0" applyNumberFormat="1" applyFont="1" applyFill="1" applyBorder="0" applyAlignment="1">
      <x:alignment vertical="center" wrapText="1"/>
    </x:xf>
    <x:xf numFmtId="0" fontId="0" fillId="189" xfId="0" applyNumberFormat="1" applyFont="1" applyFill="1" applyBorder="0" applyAlignment="1">
      <x:alignment vertical="center" wrapText="1"/>
    </x:xf>
    <x:xf numFmtId="0" fontId="0" fillId="190" borderId="0" xfId="0" applyNumberFormat="1" applyFont="1" applyFill="1" applyBorder="1"/>
    <x:xf numFmtId="0" fontId="2" fillId="190" borderId="0" xfId="0" applyNumberFormat="1" applyFont="1" applyFill="1" applyBorder="1"/>
    <x:xf numFmtId="0" fontId="2" fillId="190" borderId="0" xfId="0" applyNumberFormat="1" applyFont="1" applyFill="1" applyBorder="1" applyAlignment="1">
      <x:alignment horizontal="center"/>
    </x:xf>
    <x:xf numFmtId="0" fontId="2" fillId="190" borderId="0" xfId="0" applyNumberFormat="1" applyFont="1" applyFill="1" applyBorder="1" applyAlignment="1">
      <x:alignment horizontal="center" vertical="center"/>
    </x:xf>
    <x:xf numFmtId="0" fontId="0" fillId="191" borderId="0" xfId="0" applyNumberFormat="1" applyFont="1" applyFill="1" applyBorder="1"/>
    <x:xf numFmtId="0" fontId="8" fillId="191" borderId="0" xfId="0" applyNumberFormat="1" applyFont="1" applyFill="1" applyBorder="1"/>
    <x:xf numFmtId="0" fontId="8" fillId="191" borderId="0" xfId="0" applyNumberFormat="1" applyFont="1" applyFill="1" applyBorder="1" applyAlignment="1">
      <x:alignment wrapText="1"/>
    </x:xf>
    <x:xf numFmtId="0" fontId="0" fillId="192" borderId="0" xfId="0" applyNumberFormat="1" applyFont="1" applyFill="1" applyBorder="1"/>
    <x:xf numFmtId="0" fontId="1" fillId="192" borderId="0" xfId="0" applyNumberFormat="1" applyFont="1" applyFill="1" applyBorder="1"/>
    <x:xf numFmtId="0" fontId="1" fillId="192" borderId="0" xfId="0" applyNumberFormat="1" applyFont="1" applyFill="1" applyBorder="1" applyAlignment="1">
      <x:alignment wrapText="1"/>
    </x:xf>
    <x:xf numFmtId="0" fontId="1" fillId="192" borderId="0" xfId="0" applyNumberFormat="1" applyFont="1" applyFill="1" applyBorder="1" applyAlignment="1">
      <x:alignment horizontal="center" wrapText="1"/>
    </x:xf>
    <x:xf numFmtId="0" fontId="1" fillId="192" borderId="0" xfId="0" applyNumberFormat="1" applyFont="1" applyFill="1" applyBorder="1" applyAlignment="1">
      <x:alignment horizontal="center" vertical="center" wrapText="1"/>
    </x:xf>
    <x:xf numFmtId="0" fontId="0" fillId="193" borderId="0" xfId="0" applyNumberFormat="1" applyFont="1" applyFill="1" applyBorder="1"/>
    <x:xf numFmtId="0" fontId="0" fillId="193" xfId="0" applyNumberFormat="1" applyFont="1" applyFill="1" applyBorder="0"/>
    <x:xf numFmtId="0" fontId="0" fillId="193" xfId="0" applyNumberFormat="1" applyFont="1" applyFill="1" applyBorder="0" applyAlignment="1">
      <x:alignment wrapText="1"/>
    </x:xf>
    <x:xf numFmtId="0" fontId="0" fillId="193" xfId="0" applyNumberFormat="1" applyFont="1" applyFill="1" applyBorder="0" applyAlignment="1">
      <x:alignment horizontal="center" wrapText="1"/>
    </x:xf>
    <x:xf numFmtId="0" fontId="0" fillId="194" borderId="0" xfId="0" applyNumberFormat="1" applyFont="1" applyFill="1" applyBorder="1"/>
    <x:xf numFmtId="0" fontId="1" fillId="194" borderId="0" xfId="0" applyNumberFormat="1" applyFont="1" applyFill="1" applyBorder="1"/>
    <x:xf numFmtId="0" fontId="0" fillId="195" xfId="0" applyNumberFormat="1" applyFont="1" applyFill="1" applyBorder="0" applyAlignment="1">
      <x:alignment vertical="center" wrapText="1"/>
    </x:xf>
    <x:xf numFmtId="0" fontId="0" fillId="196" xfId="0" applyNumberFormat="1" applyFont="1" applyFill="1" applyBorder="0" applyAlignment="1">
      <x:alignment vertical="center" wrapText="1"/>
    </x:xf>
    <x:xf numFmtId="0" fontId="0" fillId="197" xfId="0" applyNumberFormat="1" applyFont="1" applyFill="1" applyBorder="0" applyAlignment="1">
      <x:alignment vertical="center" wrapText="1"/>
    </x:xf>
    <x:xf numFmtId="0" fontId="0" fillId="198" xfId="0" applyNumberFormat="1" applyFont="1" applyFill="1" applyBorder="0" applyAlignment="1">
      <x:alignment vertical="center" wrapText="1"/>
    </x:xf>
    <x:xf numFmtId="0" fontId="0" fillId="199" borderId="0" xfId="0" applyNumberFormat="1" applyFont="1" applyFill="1" applyBorder="1"/>
    <x:xf numFmtId="0" fontId="2" fillId="199" borderId="0" xfId="0" applyNumberFormat="1" applyFont="1" applyFill="1" applyBorder="1"/>
    <x:xf numFmtId="0" fontId="2" fillId="199" borderId="0" xfId="0" applyNumberFormat="1" applyFont="1" applyFill="1" applyBorder="1" applyAlignment="1">
      <x:alignment horizontal="center"/>
    </x:xf>
    <x:xf numFmtId="0" fontId="2" fillId="199" borderId="0" xfId="0" applyNumberFormat="1" applyFont="1" applyFill="1" applyBorder="1" applyAlignment="1">
      <x:alignment horizontal="center" vertical="center"/>
    </x:xf>
    <x:xf numFmtId="0" fontId="0" fillId="200" borderId="0" xfId="0" applyNumberFormat="1" applyFont="1" applyFill="1" applyBorder="1"/>
    <x:xf numFmtId="0" fontId="8" fillId="200" borderId="0" xfId="0" applyNumberFormat="1" applyFont="1" applyFill="1" applyBorder="1"/>
    <x:xf numFmtId="0" fontId="8" fillId="200" borderId="0" xfId="0" applyNumberFormat="1" applyFont="1" applyFill="1" applyBorder="1" applyAlignment="1">
      <x:alignment wrapText="1"/>
    </x:xf>
    <x:xf numFmtId="0" fontId="0" fillId="201" borderId="0" xfId="0" applyNumberFormat="1" applyFont="1" applyFill="1" applyBorder="1"/>
    <x:xf numFmtId="0" fontId="1" fillId="201" borderId="0" xfId="0" applyNumberFormat="1" applyFont="1" applyFill="1" applyBorder="1"/>
    <x:xf numFmtId="0" fontId="1" fillId="201" borderId="0" xfId="0" applyNumberFormat="1" applyFont="1" applyFill="1" applyBorder="1" applyAlignment="1">
      <x:alignment wrapText="1"/>
    </x:xf>
    <x:xf numFmtId="0" fontId="1" fillId="201" borderId="0" xfId="0" applyNumberFormat="1" applyFont="1" applyFill="1" applyBorder="1" applyAlignment="1">
      <x:alignment horizontal="center" wrapText="1"/>
    </x:xf>
    <x:xf numFmtId="0" fontId="1" fillId="201" borderId="0" xfId="0" applyNumberFormat="1" applyFont="1" applyFill="1" applyBorder="1" applyAlignment="1">
      <x:alignment horizontal="center" vertical="center" wrapText="1"/>
    </x:xf>
    <x:xf numFmtId="0" fontId="0" fillId="202" borderId="0" xfId="0" applyNumberFormat="1" applyFont="1" applyFill="1" applyBorder="1"/>
    <x:xf numFmtId="0" fontId="0" fillId="202" xfId="0" applyNumberFormat="1" applyFont="1" applyFill="1" applyBorder="0"/>
    <x:xf numFmtId="0" fontId="0" fillId="202" xfId="0" applyNumberFormat="1" applyFont="1" applyFill="1" applyBorder="0" applyAlignment="1">
      <x:alignment wrapText="1"/>
    </x:xf>
    <x:xf numFmtId="0" fontId="0" fillId="202" xfId="0" applyNumberFormat="1" applyFont="1" applyFill="1" applyBorder="0" applyAlignment="1">
      <x:alignment horizontal="center" wrapText="1"/>
    </x:xf>
    <x:xf numFmtId="0" fontId="0" fillId="203" borderId="0" xfId="0" applyNumberFormat="1" applyFont="1" applyFill="1" applyBorder="1"/>
    <x:xf numFmtId="0" fontId="1" fillId="203" borderId="0" xfId="0" applyNumberFormat="1" applyFont="1" applyFill="1" applyBorder="1"/>
    <x:xf numFmtId="0" fontId="0" fillId="204" xfId="0" applyNumberFormat="1" applyFont="1" applyFill="1" applyBorder="0" applyAlignment="1">
      <x:alignment vertical="center" wrapText="1"/>
    </x:xf>
    <x:xf numFmtId="0" fontId="0" fillId="205" xfId="0" applyNumberFormat="1" applyFont="1" applyFill="1" applyBorder="0" applyAlignment="1">
      <x:alignment vertical="center" wrapText="1"/>
    </x:xf>
    <x:xf numFmtId="0" fontId="0" fillId="206" xfId="0" applyNumberFormat="1" applyFont="1" applyFill="1" applyBorder="0" applyAlignment="1">
      <x:alignment vertical="center" wrapText="1"/>
    </x:xf>
    <x:xf numFmtId="0" fontId="0" fillId="207" borderId="0" xfId="0" applyNumberFormat="1" applyFont="1" applyFill="1" applyBorder="1"/>
    <x:xf numFmtId="0" fontId="2" fillId="207" borderId="0" xfId="0" applyNumberFormat="1" applyFont="1" applyFill="1" applyBorder="1"/>
    <x:xf numFmtId="0" fontId="2" fillId="207" borderId="0" xfId="0" applyNumberFormat="1" applyFont="1" applyFill="1" applyBorder="1" applyAlignment="1">
      <x:alignment horizontal="center"/>
    </x:xf>
    <x:xf numFmtId="0" fontId="2" fillId="207" borderId="0" xfId="0" applyNumberFormat="1" applyFont="1" applyFill="1" applyBorder="1" applyAlignment="1">
      <x:alignment horizontal="center" vertical="center"/>
    </x:xf>
    <x:xf numFmtId="0" fontId="0" fillId="208" borderId="0" xfId="0" applyNumberFormat="1" applyFont="1" applyFill="1" applyBorder="1"/>
    <x:xf numFmtId="0" fontId="8" fillId="208" borderId="0" xfId="0" applyNumberFormat="1" applyFont="1" applyFill="1" applyBorder="1"/>
    <x:xf numFmtId="0" fontId="8" fillId="208" borderId="0" xfId="0" applyNumberFormat="1" applyFont="1" applyFill="1" applyBorder="1" applyAlignment="1">
      <x:alignment wrapText="1"/>
    </x:xf>
    <x:xf numFmtId="0" fontId="0" fillId="209" borderId="0" xfId="0" applyNumberFormat="1" applyFont="1" applyFill="1" applyBorder="1"/>
    <x:xf numFmtId="0" fontId="1" fillId="209" borderId="0" xfId="0" applyNumberFormat="1" applyFont="1" applyFill="1" applyBorder="1"/>
    <x:xf numFmtId="0" fontId="1" fillId="209" borderId="0" xfId="0" applyNumberFormat="1" applyFont="1" applyFill="1" applyBorder="1" applyAlignment="1">
      <x:alignment wrapText="1"/>
    </x:xf>
    <x:xf numFmtId="0" fontId="1" fillId="209" borderId="0" xfId="0" applyNumberFormat="1" applyFont="1" applyFill="1" applyBorder="1" applyAlignment="1">
      <x:alignment horizontal="center" wrapText="1"/>
    </x:xf>
    <x:xf numFmtId="0" fontId="1" fillId="209" borderId="0" xfId="0" applyNumberFormat="1" applyFont="1" applyFill="1" applyBorder="1" applyAlignment="1">
      <x:alignment horizontal="center" vertical="center" wrapText="1"/>
    </x:xf>
    <x:xf numFmtId="0" fontId="1" fillId="209" borderId="0" xfId="0" applyNumberFormat="1" applyFont="1" applyFill="1" applyBorder="1" applyAlignment="1">
      <x:alignment horizontal="center"/>
    </x:xf>
    <x:xf numFmtId="0" fontId="1" fillId="209" borderId="0" xfId="0" applyNumberFormat="1" applyFont="1" applyFill="1" applyBorder="1" applyAlignment="1">
      <x:alignment horizontal="center" vertical="center"/>
    </x:xf>
    <x:xf numFmtId="0" fontId="1" fillId="210" borderId="0" xfId="0" applyNumberFormat="1" applyFont="1" applyFill="1" applyBorder="1" applyAlignment="1">
      <x:alignment horizontal="center" vertical="center"/>
    </x:xf>
    <x:xf numFmtId="0" fontId="11" fillId="210" borderId="0" xfId="0" applyNumberFormat="1" applyFont="1" applyFill="1" applyBorder="1" applyAlignment="1">
      <x:alignment horizontal="center" vertical="center"/>
    </x:xf>
    <x:xf numFmtId="202" fontId="1" fillId="209" borderId="0" xfId="0" applyNumberFormat="1" applyFont="1" applyFill="1" applyBorder="1" applyAlignment="1">
      <x:alignment horizontal="center" vertical="center"/>
    </x:xf>
    <x:xf numFmtId="203" fontId="0" fillId="0" xfId="0" applyNumberFormat="1" applyFont="1" applyFill="1" applyBorder="0" applyAlignment="1">
      <x:alignment vertical="center" wrapText="1"/>
    </x:xf>
    <x:xf numFmtId="204" fontId="0" fillId="0" xfId="0" applyNumberFormat="1" applyFont="1" applyFill="1" applyBorder="0" applyAlignment="1">
      <x:alignment vertical="center" wrapText="1"/>
    </x:xf>
    <x:xf numFmtId="202" fontId="0" fillId="0" xfId="0" applyNumberFormat="1" applyFont="1" applyFill="1" applyBorder="0" applyAlignment="1">
      <x:alignment horizontal="center" vertical="center" wrapText="1"/>
    </x:xf>
    <x:xf numFmtId="0" fontId="0" fillId="210" borderId="0" xfId="0" applyNumberFormat="1" applyFont="1" applyFill="1" applyBorder="1"/>
    <x:xf numFmtId="0" fontId="0" fillId="210" xfId="0" applyNumberFormat="1" applyFont="1" applyFill="1" applyBorder="0"/>
    <x:xf numFmtId="0" fontId="0" fillId="210" xfId="0" applyNumberFormat="1" applyFont="1" applyFill="1" applyBorder="0" applyAlignment="1">
      <x:alignment wrapText="1"/>
    </x:xf>
    <x:xf numFmtId="0" fontId="0" fillId="210" xfId="0" applyNumberFormat="1" applyFont="1" applyFill="1" applyBorder="0" applyAlignment="1">
      <x:alignment horizontal="center" wrapText="1"/>
    </x:xf>
    <x:xf numFmtId="0" fontId="0" fillId="211" borderId="0" xfId="0" applyNumberFormat="1" applyFont="1" applyFill="1" applyBorder="1"/>
    <x:xf numFmtId="0" fontId="1" fillId="211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11" fillId="8" borderId="0" xfId="0" applyNumberFormat="1" applyFont="1" applyFill="1" applyBorder="1" applyAlignment="1">
      <x:alignment horizontal="center" vertical="center"/>
    </x:xf>
    <x:xf numFmtId="202" fontId="1" fillId="7" borderId="0" xfId="0" applyNumberFormat="1" applyFont="1" applyFill="1" applyBorder="1" applyAlignment="1">
      <x:alignment horizontal="center" vertical="center"/>
    </x:xf>
    <x:xf numFmtId="0" fontId="0" fillId="212" xfId="0" applyNumberFormat="1" applyFont="1" applyFill="1" applyBorder="0" applyAlignment="1">
      <x:alignment vertical="center" wrapText="1"/>
    </x:xf>
    <x:xf numFmtId="0" fontId="0" fillId="213" xfId="0" applyNumberFormat="1" applyFont="1" applyFill="1" applyBorder="0" applyAlignment="1">
      <x:alignment vertical="center" wrapText="1"/>
    </x:xf>
    <x:xf numFmtId="0" fontId="0" fillId="214" xfId="0" applyNumberFormat="1" applyFont="1" applyFill="1" applyBorder="0" applyAlignment="1">
      <x:alignment vertical="center" wrapText="1"/>
    </x:xf>
    <x:xf numFmtId="0" fontId="0" fillId="215" xfId="0" applyNumberFormat="1" applyFont="1" applyFill="1" applyBorder="0" applyAlignment="1">
      <x:alignment vertical="center" wrapText="1"/>
    </x:xf>
    <x:xf numFmtId="0" fontId="0" fillId="216" xfId="0" applyNumberFormat="1" applyFont="1" applyFill="1" applyBorder="0" applyAlignment="1">
      <x:alignment vertical="center" wrapText="1"/>
    </x:xf>
    <x:xf numFmtId="0" fontId="0" fillId="217" xfId="0" applyNumberFormat="1" applyFont="1" applyFill="1" applyBorder="0" applyAlignment="1">
      <x:alignment vertical="center" wrapText="1"/>
    </x:xf>
    <x:xf numFmtId="0" fontId="0" fillId="218" borderId="0" xfId="0" applyNumberFormat="1" applyFont="1" applyFill="1" applyBorder="1"/>
    <x:xf numFmtId="0" fontId="2" fillId="218" borderId="0" xfId="0" applyNumberFormat="1" applyFont="1" applyFill="1" applyBorder="1"/>
    <x:xf numFmtId="0" fontId="2" fillId="218" borderId="0" xfId="0" applyNumberFormat="1" applyFont="1" applyFill="1" applyBorder="1" applyAlignment="1">
      <x:alignment horizontal="center"/>
    </x:xf>
    <x:xf numFmtId="0" fontId="2" fillId="218" borderId="0" xfId="0" applyNumberFormat="1" applyFont="1" applyFill="1" applyBorder="1" applyAlignment="1">
      <x:alignment horizontal="center" vertical="center"/>
    </x:xf>
    <x:xf numFmtId="0" fontId="0" fillId="219" borderId="0" xfId="0" applyNumberFormat="1" applyFont="1" applyFill="1" applyBorder="1"/>
    <x:xf numFmtId="0" fontId="8" fillId="219" borderId="0" xfId="0" applyNumberFormat="1" applyFont="1" applyFill="1" applyBorder="1"/>
    <x:xf numFmtId="0" fontId="8" fillId="219" borderId="0" xfId="0" applyNumberFormat="1" applyFont="1" applyFill="1" applyBorder="1" applyAlignment="1">
      <x:alignment wrapText="1"/>
    </x:xf>
    <x:xf numFmtId="0" fontId="0" fillId="220" borderId="0" xfId="0" applyNumberFormat="1" applyFont="1" applyFill="1" applyBorder="1"/>
    <x:xf numFmtId="0" fontId="1" fillId="220" borderId="0" xfId="0" applyNumberFormat="1" applyFont="1" applyFill="1" applyBorder="1"/>
    <x:xf numFmtId="0" fontId="1" fillId="220" borderId="0" xfId="0" applyNumberFormat="1" applyFont="1" applyFill="1" applyBorder="1" applyAlignment="1">
      <x:alignment wrapText="1"/>
    </x:xf>
    <x:xf numFmtId="0" fontId="1" fillId="220" borderId="0" xfId="0" applyNumberFormat="1" applyFont="1" applyFill="1" applyBorder="1" applyAlignment="1">
      <x:alignment horizontal="center" wrapText="1"/>
    </x:xf>
    <x:xf numFmtId="0" fontId="1" fillId="220" borderId="0" xfId="0" applyNumberFormat="1" applyFont="1" applyFill="1" applyBorder="1" applyAlignment="1">
      <x:alignment horizontal="center" vertical="center" wrapText="1"/>
    </x:xf>
    <x:xf numFmtId="0" fontId="0" fillId="221" borderId="0" xfId="0" applyNumberFormat="1" applyFont="1" applyFill="1" applyBorder="1"/>
    <x:xf numFmtId="0" fontId="12" fillId="221" borderId="0" xfId="0" applyNumberFormat="1" applyFont="1" applyFill="1" applyBorder="1"/>
    <x:xf numFmtId="0" fontId="12" fillId="221" borderId="0" xfId="0" applyNumberFormat="1" applyFont="1" applyFill="1" applyBorder="1" applyAlignment="1">
      <x:alignment horizontal="center"/>
    </x:xf>
    <x:xf numFmtId="0" fontId="12" fillId="221" borderId="0" xfId="0" applyNumberFormat="1" applyFont="1" applyFill="1" applyBorder="1" applyAlignment="1">
      <x:alignment horizontal="center" vertical="center"/>
    </x:xf>
    <x:xf numFmtId="0" fontId="0" fillId="222" borderId="0" xfId="0" applyNumberFormat="1" applyFont="1" applyFill="1" applyBorder="1"/>
    <x:xf numFmtId="0" fontId="0" fillId="222" xfId="0" applyNumberFormat="1" applyFont="1" applyFill="1" applyBorder="0"/>
    <x:xf numFmtId="0" fontId="0" fillId="222" xfId="0" applyNumberFormat="1" applyFont="1" applyFill="1" applyBorder="0" applyAlignment="1">
      <x:alignment wrapText="1"/>
    </x:xf>
    <x:xf numFmtId="0" fontId="0" fillId="222" xfId="0" applyNumberFormat="1" applyFont="1" applyFill="1" applyBorder="0" applyAlignment="1">
      <x:alignment horizontal="center" wrapText="1"/>
    </x:xf>
    <x:xf numFmtId="0" fontId="1" fillId="221" borderId="0" xfId="0" applyNumberFormat="1" applyFont="1" applyFill="1" applyBorder="1"/>
    <x:xf numFmtId="0" fontId="12" fillId="27" borderId="0" xfId="0" applyNumberFormat="1" applyFont="1" applyFill="1" applyBorder="1"/>
    <x:xf numFmtId="0" fontId="12" fillId="27" borderId="0" xfId="0" applyNumberFormat="1" applyFont="1" applyFill="1" applyBorder="1" applyAlignment="1">
      <x:alignment horizontal="center"/>
    </x:xf>
    <x:xf numFmtId="0" fontId="12" fillId="27" borderId="0" xfId="0" applyNumberFormat="1" applyFont="1" applyFill="1" applyBorder="1" applyAlignment="1">
      <x:alignment horizontal="center" vertical="center"/>
    </x:xf>
    <x:xf numFmtId="0" fontId="0" fillId="223" xfId="0" applyNumberFormat="1" applyFont="1" applyFill="1" applyBorder="0" applyAlignment="1">
      <x:alignment vertical="center" wrapText="1"/>
    </x:xf>
    <x:xf numFmtId="0" fontId="0" fillId="224" xfId="0" applyNumberFormat="1" applyFont="1" applyFill="1" applyBorder="0" applyAlignment="1">
      <x:alignment vertical="center" wrapText="1"/>
    </x:xf>
    <x:xf numFmtId="0" fontId="0" fillId="225" xfId="0" applyNumberFormat="1" applyFont="1" applyFill="1" applyBorder="0" applyAlignment="1">
      <x:alignment vertical="center" wrapText="1"/>
    </x:xf>
    <x:xf numFmtId="0" fontId="0" fillId="226" borderId="0" xfId="0" applyNumberFormat="1" applyFont="1" applyFill="1" applyBorder="1"/>
    <x:xf numFmtId="0" fontId="2" fillId="226" borderId="0" xfId="0" applyNumberFormat="1" applyFont="1" applyFill="1" applyBorder="1"/>
    <x:xf numFmtId="0" fontId="2" fillId="226" borderId="0" xfId="0" applyNumberFormat="1" applyFont="1" applyFill="1" applyBorder="1" applyAlignment="1">
      <x:alignment horizontal="center"/>
    </x:xf>
    <x:xf numFmtId="0" fontId="2" fillId="226" borderId="0" xfId="0" applyNumberFormat="1" applyFont="1" applyFill="1" applyBorder="1" applyAlignment="1">
      <x:alignment horizontal="center" vertical="center"/>
    </x:xf>
    <x:xf numFmtId="0" fontId="0" fillId="227" borderId="0" xfId="0" applyNumberFormat="1" applyFont="1" applyFill="1" applyBorder="1"/>
    <x:xf numFmtId="0" fontId="13" fillId="227" borderId="0" xfId="0" applyNumberFormat="1" applyFont="1" applyFill="1" applyBorder="1"/>
    <x:xf numFmtId="0" fontId="13" fillId="227" borderId="0" xfId="0" applyNumberFormat="1" applyFont="1" applyFill="1" applyBorder="1" applyAlignment="1">
      <x:alignment wrapText="1"/>
    </x:xf>
    <x:xf numFmtId="0" fontId="0" fillId="228" borderId="0" xfId="0" applyNumberFormat="1" applyFont="1" applyFill="1" applyBorder="1"/>
    <x:xf numFmtId="0" fontId="1" fillId="228" borderId="0" xfId="0" applyNumberFormat="1" applyFont="1" applyFill="1" applyBorder="1"/>
    <x:xf numFmtId="0" fontId="0" fillId="229" borderId="0" xfId="0" applyNumberFormat="1" applyFont="1" applyFill="1" applyBorder="1"/>
    <x:xf numFmtId="0" fontId="0" fillId="229" xfId="0" applyNumberFormat="1" applyFont="1" applyFill="1" applyBorder="0"/>
    <x:xf numFmtId="0" fontId="0" fillId="229" xfId="0" applyNumberFormat="1" applyFont="1" applyFill="1" applyBorder="0" applyAlignment="1">
      <x:alignment wrapText="1"/>
    </x:xf>
    <x:xf numFmtId="0" fontId="1" fillId="228" borderId="0" xfId="0" applyNumberFormat="1" applyFont="1" applyFill="1" applyBorder="1" applyAlignment="1">
      <x:alignment horizontal="center"/>
    </x:xf>
    <x:xf numFmtId="0" fontId="1" fillId="229" borderId="0" xfId="0" applyNumberFormat="1" applyFont="1" applyFill="1" applyBorder="1" applyAlignment="1">
      <x:alignment horizontal="center"/>
    </x:xf>
    <x:xf numFmtId="0" fontId="11" fillId="229" borderId="0" xfId="0" applyNumberFormat="1" applyFont="1" applyFill="1" applyBorder="1" applyAlignment="1">
      <x:alignment horizontal="center"/>
    </x:xf>
    <x:xf numFmtId="0" fontId="1" fillId="228" borderId="0" xfId="0" applyNumberFormat="1" applyFont="1" applyFill="1" applyBorder="1" applyAlignment="1">
      <x:alignment wrapText="1"/>
    </x:xf>
    <x:xf numFmtId="0" fontId="1" fillId="228" borderId="0" xfId="0" applyNumberFormat="1" applyFont="1" applyFill="1" applyBorder="1" applyAlignment="1">
      <x:alignment horizontal="center" wrapText="1"/>
    </x:xf>
    <x:xf numFmtId="0" fontId="1" fillId="228" borderId="0" xfId="0" applyNumberFormat="1" applyFont="1" applyFill="1" applyBorder="1" applyAlignment="1">
      <x:alignment horizontal="center" vertical="center" wrapText="1"/>
    </x:xf>
    <x:xf numFmtId="0" fontId="0" fillId="230" borderId="0" xfId="0" applyNumberFormat="1" applyFont="1" applyFill="1" applyBorder="1"/>
    <x:xf numFmtId="0" fontId="8" fillId="230" borderId="0" xfId="0" applyNumberFormat="1" applyFont="1" applyFill="1" applyBorder="1"/>
    <x:xf numFmtId="0" fontId="8" fillId="230" borderId="0" xfId="0" applyNumberFormat="1" applyFont="1" applyFill="1" applyBorder="1" applyAlignment="1">
      <x:alignment wrapText="1"/>
    </x:xf>
    <x:xf numFmtId="0" fontId="0" fillId="231" borderId="0" xfId="0" applyNumberFormat="1" applyFont="1" applyFill="1" applyBorder="1"/>
    <x:xf numFmtId="0" fontId="5" fillId="231" borderId="0" xfId="0" applyNumberFormat="1" applyFont="1" applyFill="1" applyBorder="1"/>
    <x:xf numFmtId="0" fontId="5" fillId="231" borderId="0" xfId="0" applyNumberFormat="1" applyFont="1" applyFill="1" applyBorder="1" applyAlignment="1">
      <x:alignment horizontal="center"/>
    </x:xf>
    <x:xf numFmtId="0" fontId="1" fillId="228" borderId="0" xfId="0" applyNumberFormat="1" applyFont="1" applyFill="1" applyBorder="1" applyAlignment="1">
      <x:alignment vertical="center"/>
    </x:xf>
    <x:xf numFmtId="0" fontId="0" fillId="229" xfId="0" applyNumberFormat="1" applyFont="1" applyFill="1" applyBorder="0" applyAlignment="1">
      <x:alignment vertical="center" wrapText="1"/>
    </x:xf>
    <x:xf numFmtId="0" fontId="0" fillId="232" borderId="0" xfId="0" applyNumberFormat="1" applyFont="1" applyFill="1" applyBorder="1"/>
    <x:xf numFmtId="0" fontId="1" fillId="232" borderId="0" xfId="0" applyNumberFormat="1" applyFont="1" applyFill="1" applyBorder="1"/>
    <x:xf numFmtId="0" fontId="1" fillId="232" borderId="0" xfId="0" applyNumberFormat="1" applyFont="1" applyFill="1" applyBorder="1" applyAlignment="1">
      <x:alignment wrapText="1"/>
    </x:xf>
    <x:xf numFmtId="0" fontId="1" fillId="232" borderId="0" xfId="0" applyNumberFormat="1" applyFont="1" applyFill="1" applyBorder="1" applyAlignment="1">
      <x:alignment horizontal="center" wrapText="1"/>
    </x:xf>
    <x:xf numFmtId="0" fontId="0" fillId="229" xfId="0" applyNumberFormat="1" applyFont="1" applyFill="1" applyBorder="0" applyAlignment="1">
      <x:alignment horizontal="center" wrapText="1"/>
    </x:xf>
    <x:xf numFmtId="0" fontId="0" fillId="128" borderId="0" xfId="0" applyNumberFormat="1" applyFont="1" applyFill="1" applyBorder="1"/>
    <x:xf numFmtId="0" fontId="13" fillId="128" borderId="0" xfId="0" applyNumberFormat="1" applyFont="1" applyFill="1" applyBorder="1"/>
    <x:xf numFmtId="0" fontId="13" fillId="12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/>
    </x:xf>
    <x:xf numFmtId="0" fontId="11" fillId="8" borderId="0" xfId="0" applyNumberFormat="1" applyFont="1" applyFill="1" applyBorder="1" applyAlignment="1">
      <x:alignment horizontal="center"/>
    </x:xf>
    <x:xf numFmtId="0" fontId="5" fillId="23" borderId="0" xfId="0" applyNumberFormat="1" applyFont="1" applyFill="1" applyBorder="1"/>
    <x:xf numFmtId="0" fontId="5" fillId="23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vertical="center"/>
    </x:xf>
    <x:xf numFmtId="0" fontId="0" fillId="233" xfId="0" applyNumberFormat="1" applyFont="1" applyFill="1" applyBorder="0" applyAlignment="1">
      <x:alignment vertical="center" wrapText="1"/>
    </x:xf>
    <x:xf numFmtId="0" fontId="0" fillId="234" xfId="0" applyNumberFormat="1" applyFont="1" applyFill="1" applyBorder="0" applyAlignment="1">
      <x:alignment vertical="center" wrapText="1"/>
    </x:xf>
    <x:xf numFmtId="0" fontId="0" fillId="235" xfId="0" applyNumberFormat="1" applyFont="1" applyFill="1" applyBorder="0" applyAlignment="1">
      <x:alignment vertical="center" wrapText="1"/>
    </x:xf>
    <x:xf numFmtId="0" fontId="0" fillId="236" xfId="0" applyNumberFormat="1" applyFont="1" applyFill="1" applyBorder="0" applyAlignment="1">
      <x:alignment vertical="center" wrapText="1"/>
    </x:xf>
    <x:xf numFmtId="0" fontId="0" fillId="237" xfId="0" applyNumberFormat="1" applyFont="1" applyFill="1" applyBorder="0" applyAlignment="1">
      <x:alignment vertical="center" wrapText="1"/>
    </x:xf>
    <x:xf numFmtId="0" fontId="0" fillId="238" xfId="0" applyNumberFormat="1" applyFont="1" applyFill="1" applyBorder="0" applyAlignment="1">
      <x:alignment vertical="center" wrapText="1"/>
    </x:xf>
    <x:xf numFmtId="0" fontId="0" fillId="239" xfId="0" applyNumberFormat="1" applyFont="1" applyFill="1" applyBorder="0" applyAlignment="1">
      <x:alignment vertical="center" wrapText="1"/>
    </x:xf>
    <x:xf numFmtId="0" fontId="0" fillId="240" xfId="0" applyNumberFormat="1" applyFont="1" applyFill="1" applyBorder="0" applyAlignment="1">
      <x:alignment vertical="center" wrapText="1"/>
    </x:xf>
    <x:xf numFmtId="0" fontId="0" fillId="241" xfId="0" applyNumberFormat="1" applyFont="1" applyFill="1" applyBorder="0" applyAlignment="1">
      <x:alignment vertical="center" wrapText="1"/>
    </x:xf>
    <x:xf numFmtId="0" fontId="0" fillId="242" borderId="0" xfId="0" applyNumberFormat="1" applyFont="1" applyFill="1" applyBorder="1"/>
    <x:xf numFmtId="0" fontId="2" fillId="242" borderId="0" xfId="0" applyNumberFormat="1" applyFont="1" applyFill="1" applyBorder="1"/>
    <x:xf numFmtId="0" fontId="2" fillId="242" borderId="0" xfId="0" applyNumberFormat="1" applyFont="1" applyFill="1" applyBorder="1" applyAlignment="1">
      <x:alignment horizontal="center"/>
    </x:xf>
    <x:xf numFmtId="0" fontId="2" fillId="242" borderId="0" xfId="0" applyNumberFormat="1" applyFont="1" applyFill="1" applyBorder="1" applyAlignment="1">
      <x:alignment horizontal="center" vertical="center"/>
    </x:xf>
    <x:xf numFmtId="0" fontId="0" fillId="243" borderId="0" xfId="0" applyNumberFormat="1" applyFont="1" applyFill="1" applyBorder="1"/>
    <x:xf numFmtId="0" fontId="13" fillId="243" borderId="0" xfId="0" applyNumberFormat="1" applyFont="1" applyFill="1" applyBorder="1"/>
    <x:xf numFmtId="0" fontId="13" fillId="243" borderId="0" xfId="0" applyNumberFormat="1" applyFont="1" applyFill="1" applyBorder="1" applyAlignment="1">
      <x:alignment wrapText="1"/>
    </x:xf>
    <x:xf numFmtId="0" fontId="0" fillId="244" borderId="0" xfId="0" applyNumberFormat="1" applyFont="1" applyFill="1" applyBorder="1"/>
    <x:xf numFmtId="0" fontId="1" fillId="244" borderId="0" xfId="0" applyNumberFormat="1" applyFont="1" applyFill="1" applyBorder="1"/>
    <x:xf numFmtId="0" fontId="0" fillId="245" borderId="0" xfId="0" applyNumberFormat="1" applyFont="1" applyFill="1" applyBorder="1"/>
    <x:xf numFmtId="0" fontId="0" fillId="245" xfId="0" applyNumberFormat="1" applyFont="1" applyFill="1" applyBorder="0"/>
    <x:xf numFmtId="0" fontId="0" fillId="245" xfId="0" applyNumberFormat="1" applyFont="1" applyFill="1" applyBorder="0" applyAlignment="1">
      <x:alignment wrapText="1"/>
    </x:xf>
    <x:xf numFmtId="0" fontId="1" fillId="244" borderId="0" xfId="0" applyNumberFormat="1" applyFont="1" applyFill="1" applyBorder="1" applyAlignment="1">
      <x:alignment horizontal="center"/>
    </x:xf>
    <x:xf numFmtId="0" fontId="1" fillId="244" borderId="0" xfId="0" applyNumberFormat="1" applyFont="1" applyFill="1" applyBorder="1" applyAlignment="1">
      <x:alignment horizontal="center" vertical="center"/>
    </x:xf>
    <x:xf numFmtId="0" fontId="1" fillId="245" borderId="0" xfId="0" applyNumberFormat="1" applyFont="1" applyFill="1" applyBorder="1" applyAlignment="1">
      <x:alignment horizontal="center" vertical="center"/>
    </x:xf>
    <x:xf numFmtId="0" fontId="11" fillId="245" borderId="0" xfId="0" applyNumberFormat="1" applyFont="1" applyFill="1" applyBorder="1" applyAlignment="1">
      <x:alignment horizontal="center" vertical="center"/>
    </x:xf>
    <x:xf numFmtId="201" fontId="11" fillId="245" borderId="0" xfId="0" applyNumberFormat="1" applyFont="1" applyFill="1" applyBorder="1" applyAlignment="1">
      <x:alignment horizontal="center" vertical="center"/>
    </x:xf>
    <x:xf numFmtId="0" fontId="0" fillId="246" borderId="0" xfId="0" applyNumberFormat="1" applyFont="1" applyFill="1" applyBorder="1"/>
    <x:xf numFmtId="0" fontId="1" fillId="246" borderId="0" xfId="0" applyNumberFormat="1" applyFont="1" applyFill="1" applyBorder="1"/>
    <x:xf numFmtId="0" fontId="0" fillId="247" borderId="0" xfId="0" applyNumberFormat="1" applyFont="1" applyFill="1" applyBorder="1"/>
    <x:xf numFmtId="0" fontId="14" fillId="247" borderId="0" xfId="0" applyNumberFormat="1" applyFont="1" applyFill="1" applyBorder="1"/>
    <x:xf numFmtId="0" fontId="14" fillId="247" xfId="0" applyNumberFormat="1" applyFont="1" applyFill="1" applyBorder="0"/>
    <x:xf numFmtId="0" fontId="14" fillId="247" xfId="0" applyNumberFormat="1" applyFont="1" applyFill="1" applyBorder="0" applyAlignment="1">
      <x:alignment wrapText="1"/>
    </x:xf>
    <x:xf numFmtId="0" fontId="14" fillId="247" xfId="0" applyNumberFormat="1" applyFont="1" applyFill="1" applyBorder="0" applyAlignment="1">
      <x:alignment vertical="center" wrapText="1"/>
    </x:xf>
    <x:xf numFmtId="0" fontId="1" fillId="244" borderId="0" xfId="0" applyNumberFormat="1" applyFont="1" applyFill="1" applyBorder="1" applyAlignment="1">
      <x:alignment wrapText="1"/>
    </x:xf>
    <x:xf numFmtId="0" fontId="1" fillId="244" borderId="0" xfId="0" applyNumberFormat="1" applyFont="1" applyFill="1" applyBorder="1" applyAlignment="1">
      <x:alignment horizontal="center" wrapText="1"/>
    </x:xf>
    <x:xf numFmtId="0" fontId="1" fillId="244" borderId="0" xfId="0" applyNumberFormat="1" applyFont="1" applyFill="1" applyBorder="1" applyAlignment="1">
      <x:alignment horizontal="center" vertical="center" wrapText="1"/>
    </x:xf>
    <x:xf numFmtId="0" fontId="0" fillId="248" borderId="0" xfId="0" applyNumberFormat="1" applyFont="1" applyFill="1" applyBorder="1"/>
    <x:xf numFmtId="0" fontId="8" fillId="248" borderId="0" xfId="0" applyNumberFormat="1" applyFont="1" applyFill="1" applyBorder="1"/>
    <x:xf numFmtId="0" fontId="8" fillId="248" borderId="0" xfId="0" applyNumberFormat="1" applyFont="1" applyFill="1" applyBorder="1" applyAlignment="1">
      <x:alignment wrapText="1"/>
    </x:xf>
    <x:xf numFmtId="0" fontId="1" fillId="245" borderId="0" xfId="0" applyNumberFormat="1" applyFont="1" applyFill="1" applyBorder="1" applyAlignment="1">
      <x:alignment horizontal="center"/>
    </x:xf>
    <x:xf numFmtId="0" fontId="11" fillId="245" borderId="0" xfId="0" applyNumberFormat="1" applyFont="1" applyFill="1" applyBorder="1" applyAlignment="1">
      <x:alignment horizontal="center"/>
    </x:xf>
    <x:xf numFmtId="0" fontId="1" fillId="246" borderId="0" xfId="0" applyNumberFormat="1" applyFont="1" applyFill="1" applyBorder="1" applyAlignment="1">
      <x:alignment horizontal="center" wrapText="1"/>
    </x:xf>
    <x:xf numFmtId="0" fontId="0" fillId="245" xfId="0" applyNumberFormat="1" applyFont="1" applyFill="1" applyBorder="0" applyAlignment="1">
      <x:alignment horizontal="center" wrapText="1"/>
    </x:xf>
    <x:xf numFmtId="201" fontId="11" fillId="8" borderId="0" xfId="0" applyNumberFormat="1" applyFont="1" applyFill="1" applyBorder="1" applyAlignment="1">
      <x:alignment horizontal="center" vertical="center"/>
    </x:xf>
    <x:xf numFmtId="0" fontId="0" fillId="249" xfId="0" applyNumberFormat="1" applyFont="1" applyFill="1" applyBorder="0" applyAlignment="1">
      <x:alignment vertical="center" wrapText="1"/>
    </x:xf>
    <x:xf numFmtId="0" fontId="0" fillId="250" xfId="0" applyNumberFormat="1" applyFont="1" applyFill="1" applyBorder="0" applyAlignment="1">
      <x:alignment vertical="center" wrapText="1"/>
    </x:xf>
    <x:xf numFmtId="0" fontId="0" fillId="251" xfId="0" applyNumberFormat="1" applyFont="1" applyFill="1" applyBorder="0" applyAlignment="1">
      <x:alignment vertical="center" wrapText="1"/>
    </x:xf>
    <x:xf numFmtId="0" fontId="0" fillId="252" xfId="0" applyNumberFormat="1" applyFont="1" applyFill="1" applyBorder="0" applyAlignment="1">
      <x:alignment vertical="center" wrapText="1"/>
    </x:xf>
    <x:xf numFmtId="0" fontId="0" fillId="253" xfId="0" applyNumberFormat="1" applyFont="1" applyFill="1" applyBorder="0" applyAlignment="1">
      <x:alignment vertical="center" wrapText="1"/>
    </x:xf>
    <x:xf numFmtId="0" fontId="0" fillId="254" borderId="0" xfId="0" applyNumberFormat="1" applyFont="1" applyFill="1" applyBorder="1"/>
    <x:xf numFmtId="0" fontId="2" fillId="254" borderId="0" xfId="0" applyNumberFormat="1" applyFont="1" applyFill="1" applyBorder="1"/>
    <x:xf numFmtId="0" fontId="2" fillId="254" borderId="0" xfId="0" applyNumberFormat="1" applyFont="1" applyFill="1" applyBorder="1" applyAlignment="1">
      <x:alignment horizontal="center"/>
    </x:xf>
    <x:xf numFmtId="0" fontId="2" fillId="254" borderId="0" xfId="0" applyNumberFormat="1" applyFont="1" applyFill="1" applyBorder="1" applyAlignment="1">
      <x:alignment horizontal="center" vertical="center"/>
    </x:xf>
    <x:xf numFmtId="0" fontId="0" fillId="252" borderId="0" xfId="0" applyNumberFormat="1" applyFont="1" applyFill="1" applyBorder="1"/>
    <x:xf numFmtId="0" fontId="13" fillId="252" borderId="0" xfId="0" applyNumberFormat="1" applyFont="1" applyFill="1" applyBorder="1"/>
    <x:xf numFmtId="0" fontId="13" fillId="252" borderId="0" xfId="0" applyNumberFormat="1" applyFont="1" applyFill="1" applyBorder="1" applyAlignment="1">
      <x:alignment wrapText="1"/>
    </x:xf>
    <x:xf numFmtId="0" fontId="0" fillId="255" borderId="0" xfId="0" applyNumberFormat="1" applyFont="1" applyFill="1" applyBorder="1"/>
    <x:xf numFmtId="0" fontId="1" fillId="255" borderId="0" xfId="0" applyNumberFormat="1" applyFont="1" applyFill="1" applyBorder="1"/>
    <x:xf numFmtId="0" fontId="1" fillId="255" borderId="0" xfId="0" applyNumberFormat="1" applyFont="1" applyFill="1" applyBorder="1" applyAlignment="1">
      <x:alignment horizontal="center"/>
    </x:xf>
    <x:xf numFmtId="0" fontId="1" fillId="255" borderId="0" xfId="0" applyNumberFormat="1" applyFont="1" applyFill="1" applyBorder="1" applyAlignment="1">
      <x:alignment horizontal="center" vertical="center"/>
    </x:xf>
    <x:xf numFmtId="0" fontId="1" fillId="256" borderId="0" xfId="0" applyNumberFormat="1" applyFont="1" applyFill="1" applyBorder="1" applyAlignment="1">
      <x:alignment horizontal="center" vertical="center"/>
    </x:xf>
    <x:xf numFmtId="0" fontId="11" fillId="256" borderId="0" xfId="0" applyNumberFormat="1" applyFont="1" applyFill="1" applyBorder="1" applyAlignment="1">
      <x:alignment horizontal="center" vertical="center"/>
    </x:xf>
    <x:xf numFmtId="202" fontId="11" fillId="256" borderId="0" xfId="0" applyNumberFormat="1" applyFont="1" applyFill="1" applyBorder="1" applyAlignment="1">
      <x:alignment horizontal="center" vertical="center"/>
    </x:xf>
    <x:xf numFmtId="202" fontId="1" fillId="255" borderId="0" xfId="0" applyNumberFormat="1" applyFont="1" applyFill="1" applyBorder="1" applyAlignment="1">
      <x:alignment horizontal="center" vertical="center"/>
    </x:xf>
    <x:xf numFmtId="0" fontId="0" fillId="257" borderId="0" xfId="0" applyNumberFormat="1" applyFont="1" applyFill="1" applyBorder="1"/>
    <x:xf numFmtId="0" fontId="1" fillId="257" borderId="0" xfId="0" applyNumberFormat="1" applyFont="1" applyFill="1" applyBorder="1"/>
    <x:xf numFmtId="0" fontId="0" fillId="256" borderId="0" xfId="0" applyNumberFormat="1" applyFont="1" applyFill="1" applyBorder="1"/>
    <x:xf numFmtId="0" fontId="0" fillId="256" xfId="0" applyNumberFormat="1" applyFont="1" applyFill="1" applyBorder="0"/>
    <x:xf numFmtId="0" fontId="0" fillId="256" xfId="0" applyNumberFormat="1" applyFont="1" applyFill="1" applyBorder="0" applyAlignment="1">
      <x:alignment wrapText="1"/>
    </x:xf>
    <x:xf numFmtId="0" fontId="0" fillId="258" borderId="0" xfId="0" applyNumberFormat="1" applyFont="1" applyFill="1" applyBorder="1"/>
    <x:xf numFmtId="0" fontId="1" fillId="258" borderId="0" xfId="0" applyNumberFormat="1" applyFont="1" applyFill="1" applyBorder="1"/>
    <x:xf numFmtId="0" fontId="1" fillId="258" borderId="0" xfId="0" applyNumberFormat="1" applyFont="1" applyFill="1" applyBorder="1" applyAlignment="1">
      <x:alignment horizontal="center"/>
    </x:xf>
    <x:xf numFmtId="0" fontId="0" fillId="259" borderId="0" xfId="0" applyNumberFormat="1" applyFont="1" applyFill="1" applyBorder="1"/>
    <x:xf numFmtId="0" fontId="15" fillId="259" borderId="0" xfId="0" applyNumberFormat="1" applyFont="1" applyFill="1" applyBorder="1"/>
    <x:xf numFmtId="0" fontId="15" fillId="259" xfId="0" applyNumberFormat="1" applyFont="1" applyFill="1" applyBorder="0"/>
    <x:xf numFmtId="0" fontId="15" fillId="259" xfId="0" applyNumberFormat="1" applyFont="1" applyFill="1" applyBorder="0" applyAlignment="1">
      <x:alignment wrapText="1"/>
    </x:xf>
    <x:xf numFmtId="0" fontId="1" fillId="255" borderId="0" xfId="0" applyNumberFormat="1" applyFont="1" applyFill="1" applyBorder="1" applyAlignment="1">
      <x:alignment wrapText="1"/>
    </x:xf>
    <x:xf numFmtId="0" fontId="1" fillId="255" borderId="0" xfId="0" applyNumberFormat="1" applyFont="1" applyFill="1" applyBorder="1" applyAlignment="1">
      <x:alignment horizontal="center" wrapText="1"/>
    </x:xf>
    <x:xf numFmtId="0" fontId="1" fillId="255" borderId="0" xfId="0" applyNumberFormat="1" applyFont="1" applyFill="1" applyBorder="1" applyAlignment="1">
      <x:alignment horizontal="center" vertical="center" wrapText="1"/>
    </x:xf>
    <x:xf numFmtId="205" fontId="0" fillId="0" xfId="0" applyNumberFormat="1" applyFont="1" applyFill="1" applyBorder="0" applyAlignment="1">
      <x:alignment vertical="center" wrapText="1"/>
    </x:xf>
    <x:xf numFmtId="202" fontId="0" fillId="0" xfId="0" applyNumberFormat="1" applyFont="1" applyFill="1" applyBorder="0" applyAlignment="1">
      <x:alignment vertical="center" wrapText="1"/>
    </x:xf>
    <x:xf numFmtId="0" fontId="16" fillId="257" borderId="0" xfId="0" applyNumberFormat="1" applyFont="1" applyFill="1" applyBorder="1"/>
    <x:xf numFmtId="0" fontId="16" fillId="257" borderId="0" xfId="0" applyNumberFormat="1" applyFont="1" applyFill="1" applyBorder="1" applyAlignment="1">
      <x:alignment horizontal="center"/>
    </x:xf>
    <x:xf numFmtId="0" fontId="0" fillId="260" borderId="0" xfId="0" applyNumberFormat="1" applyFont="1" applyFill="1" applyBorder="1"/>
    <x:xf numFmtId="0" fontId="8" fillId="260" borderId="0" xfId="0" applyNumberFormat="1" applyFont="1" applyFill="1" applyBorder="1"/>
    <x:xf numFmtId="0" fontId="8" fillId="260" borderId="0" xfId="0" applyNumberFormat="1" applyFont="1" applyFill="1" applyBorder="1" applyAlignment="1">
      <x:alignment wrapText="1"/>
    </x:xf>
    <x:xf numFmtId="201" fontId="0" fillId="0" xfId="0" applyNumberFormat="1" applyFont="1" applyFill="1" applyBorder="0" applyAlignment="1">
      <x:alignment vertical="center" wrapText="1"/>
    </x:xf>
    <x:xf numFmtId="0" fontId="1" fillId="256" borderId="0" xfId="0" applyNumberFormat="1" applyFont="1" applyFill="1" applyBorder="1" applyAlignment="1">
      <x:alignment horizontal="center"/>
    </x:xf>
    <x:xf numFmtId="0" fontId="11" fillId="256" borderId="0" xfId="0" applyNumberFormat="1" applyFont="1" applyFill="1" applyBorder="1" applyAlignment="1">
      <x:alignment horizontal="center"/>
    </x:xf>
    <x:xf numFmtId="202" fontId="11" fillId="256" borderId="0" xfId="0" applyNumberFormat="1" applyFont="1" applyFill="1" applyBorder="1" applyAlignment="1">
      <x:alignment horizontal="center"/>
    </x:xf>
    <x:xf numFmtId="0" fontId="16" fillId="258" borderId="0" xfId="0" applyNumberFormat="1" applyFont="1" applyFill="1" applyBorder="1"/>
    <x:xf numFmtId="0" fontId="16" fillId="258" borderId="0" xfId="0" applyNumberFormat="1" applyFont="1" applyFill="1" applyBorder="1" applyAlignment="1">
      <x:alignment horizontal="center"/>
    </x:xf>
    <x:xf numFmtId="0" fontId="1" fillId="257" borderId="0" xfId="0" applyNumberFormat="1" applyFont="1" applyFill="1" applyBorder="1" applyAlignment="1">
      <x:alignment horizontal="center" wrapText="1"/>
    </x:xf>
    <x:xf numFmtId="0" fontId="0" fillId="256" xfId="0" applyNumberFormat="1" applyFont="1" applyFill="1" applyBorder="0" applyAlignment="1">
      <x:alignment horizontal="center" wrapText="1"/>
    </x:xf>
    <x:xf numFmtId="202" fontId="11" fillId="8" borderId="0" xfId="0" applyNumberFormat="1" applyFont="1" applyFill="1" applyBorder="1" applyAlignment="1">
      <x:alignment horizontal="center" vertical="center"/>
    </x:xf>
    <x:xf numFmtId="0" fontId="16" fillId="27" borderId="0" xfId="0" applyNumberFormat="1" applyFont="1" applyFill="1" applyBorder="1"/>
    <x:xf numFmtId="0" fontId="16" fillId="27" borderId="0" xfId="0" applyNumberFormat="1" applyFont="1" applyFill="1" applyBorder="1" applyAlignment="1">
      <x:alignment horizontal="center"/>
    </x:xf>
    <x:xf numFmtId="202" fontId="11" fillId="8" borderId="0" xfId="0" applyNumberFormat="1" applyFont="1" applyFill="1" applyBorder="1" applyAlignment="1">
      <x:alignment horizontal="center"/>
    </x:xf>
    <x:xf numFmtId="0" fontId="0" fillId="261" xfId="0" applyNumberFormat="1" applyFont="1" applyFill="1" applyBorder="0" applyAlignment="1">
      <x:alignment vertical="center" wrapText="1"/>
    </x:xf>
    <x:xf numFmtId="0" fontId="0" fillId="262" xfId="0" applyNumberFormat="1" applyFont="1" applyFill="1" applyBorder="0" applyAlignment="1">
      <x:alignment vertical="center" wrapText="1"/>
    </x:xf>
    <x:xf numFmtId="0" fontId="0" fillId="263" xfId="0" applyNumberFormat="1" applyFont="1" applyFill="1" applyBorder="0" applyAlignment="1">
      <x:alignment vertical="center" wrapText="1"/>
    </x:xf>
    <x:xf numFmtId="0" fontId="0" fillId="264" xfId="0" applyNumberFormat="1" applyFont="1" applyFill="1" applyBorder="0" applyAlignment="1">
      <x:alignment vertical="center" wrapText="1"/>
    </x:xf>
    <x:xf numFmtId="0" fontId="0" fillId="265" xfId="0" applyNumberFormat="1" applyFont="1" applyFill="1" applyBorder="0" applyAlignment="1">
      <x:alignment vertical="center" wrapText="1"/>
    </x:xf>
    <x:xf numFmtId="0" fontId="0" fillId="266" xfId="0" applyNumberFormat="1" applyFont="1" applyFill="1" applyBorder="0" applyAlignment="1">
      <x:alignment vertical="center" wrapText="1"/>
    </x:xf>
    <x:xf numFmtId="0" fontId="0" fillId="267" borderId="0" xfId="0" applyNumberFormat="1" applyFont="1" applyFill="1" applyBorder="1"/>
    <x:xf numFmtId="0" fontId="2" fillId="267" borderId="0" xfId="0" applyNumberFormat="1" applyFont="1" applyFill="1" applyBorder="1"/>
    <x:xf numFmtId="0" fontId="2" fillId="267" borderId="0" xfId="0" applyNumberFormat="1" applyFont="1" applyFill="1" applyBorder="1" applyAlignment="1">
      <x:alignment horizontal="center"/>
    </x:xf>
    <x:xf numFmtId="0" fontId="2" fillId="267" borderId="0" xfId="0" applyNumberFormat="1" applyFont="1" applyFill="1" applyBorder="1" applyAlignment="1">
      <x:alignment horizontal="center" vertical="center"/>
    </x:xf>
    <x:xf numFmtId="0" fontId="0" fillId="268" borderId="0" xfId="0" applyNumberFormat="1" applyFont="1" applyFill="1" applyBorder="1"/>
    <x:xf numFmtId="0" fontId="8" fillId="268" borderId="0" xfId="0" applyNumberFormat="1" applyFont="1" applyFill="1" applyBorder="1"/>
    <x:xf numFmtId="0" fontId="8" fillId="268" borderId="0" xfId="0" applyNumberFormat="1" applyFont="1" applyFill="1" applyBorder="1" applyAlignment="1">
      <x:alignment wrapText="1"/>
    </x:xf>
    <x:xf numFmtId="0" fontId="0" fillId="269" borderId="0" xfId="0" applyNumberFormat="1" applyFont="1" applyFill="1" applyBorder="1"/>
    <x:xf numFmtId="0" fontId="1" fillId="269" borderId="0" xfId="0" applyNumberFormat="1" applyFont="1" applyFill="1" applyBorder="1"/>
    <x:xf numFmtId="0" fontId="1" fillId="269" borderId="0" xfId="0" applyNumberFormat="1" applyFont="1" applyFill="1" applyBorder="1" applyAlignment="1">
      <x:alignment horizontal="center"/>
    </x:xf>
    <x:xf numFmtId="0" fontId="1" fillId="270" borderId="0" xfId="0" applyNumberFormat="1" applyFont="1" applyFill="1" applyBorder="1" applyAlignment="1">
      <x:alignment horizontal="center"/>
    </x:xf>
    <x:xf numFmtId="0" fontId="11" fillId="270" borderId="0" xfId="0" applyNumberFormat="1" applyFont="1" applyFill="1" applyBorder="1" applyAlignment="1">
      <x:alignment horizontal="center"/>
    </x:xf>
    <x:xf numFmtId="202" fontId="1" fillId="269" borderId="0" xfId="0" applyNumberFormat="1" applyFont="1" applyFill="1" applyBorder="1" applyAlignment="1">
      <x:alignment horizontal="center"/>
    </x:xf>
    <x:xf numFmtId="0" fontId="0" fillId="270" borderId="0" xfId="0" applyNumberFormat="1" applyFont="1" applyFill="1" applyBorder="1"/>
    <x:xf numFmtId="0" fontId="11" fillId="270" borderId="0" xfId="0" applyNumberFormat="1" applyFont="1" applyFill="1" applyBorder="1"/>
    <x:xf numFmtId="0" fontId="11" fillId="270" borderId="0" xfId="0" applyNumberFormat="1" applyFont="1" applyFill="1" applyBorder="1" applyAlignment="1">
      <x:alignment horizontal="center" vertical="center"/>
    </x:xf>
    <x:xf numFmtId="0" fontId="0" fillId="271" borderId="0" xfId="0" applyNumberFormat="1" applyFont="1" applyFill="1" applyBorder="1"/>
    <x:xf numFmtId="0" fontId="1" fillId="271" borderId="0" xfId="0" applyNumberFormat="1" applyFont="1" applyFill="1" applyBorder="1"/>
    <x:xf numFmtId="0" fontId="0" fillId="270" xfId="0" applyNumberFormat="1" applyFont="1" applyFill="1" applyBorder="0"/>
    <x:xf numFmtId="0" fontId="0" fillId="270" xfId="0" applyNumberFormat="1" applyFont="1" applyFill="1" applyBorder="0" applyAlignment="1">
      <x:alignment wrapText="1"/>
    </x:xf>
    <x:xf numFmtId="0" fontId="1" fillId="271" borderId="0" xfId="0" applyNumberFormat="1" applyFont="1" applyFill="1" applyBorder="1" applyAlignment="1">
      <x:alignment horizontal="center"/>
    </x:xf>
    <x:xf numFmtId="0" fontId="1" fillId="269" borderId="0" xfId="0" applyNumberFormat="1" applyFont="1" applyFill="1" applyBorder="1" applyAlignment="1">
      <x:alignment wrapText="1"/>
    </x:xf>
    <x:xf numFmtId="0" fontId="1" fillId="269" borderId="0" xfId="0" applyNumberFormat="1" applyFont="1" applyFill="1" applyBorder="1" applyAlignment="1">
      <x:alignment horizontal="center" wrapText="1"/>
    </x:xf>
    <x:xf numFmtId="0" fontId="1" fillId="269" borderId="0" xfId="0" applyNumberFormat="1" applyFont="1" applyFill="1" applyBorder="1" applyAlignment="1">
      <x:alignment horizontal="center" vertical="center" wrapText="1"/>
    </x:xf>
    <x:xf numFmtId="0" fontId="16" fillId="271" borderId="0" xfId="0" applyNumberFormat="1" applyFont="1" applyFill="1" applyBorder="1"/>
    <x:xf numFmtId="0" fontId="16" fillId="271" borderId="0" xfId="0" applyNumberFormat="1" applyFont="1" applyFill="1" applyBorder="1" applyAlignment="1">
      <x:alignment horizontal="center"/>
    </x:xf>
    <x:xf numFmtId="0" fontId="11" fillId="269" borderId="0" xfId="0" applyNumberFormat="1" applyFont="1" applyFill="1" applyBorder="1" applyAlignment="1">
      <x:alignment horizontal="center" vertical="center"/>
    </x:xf>
    <x:xf numFmtId="0" fontId="1" fillId="269" borderId="0" xfId="0" applyNumberFormat="1" applyFont="1" applyFill="1" applyBorder="1" applyAlignment="1">
      <x:alignment horizontal="center" vertical="center"/>
    </x:xf>
    <x:xf numFmtId="0" fontId="1" fillId="271" borderId="0" xfId="0" applyNumberFormat="1" applyFont="1" applyFill="1" applyBorder="1" applyAlignment="1">
      <x:alignment horizontal="center" wrapText="1"/>
    </x:xf>
    <x:xf numFmtId="0" fontId="0" fillId="270" xfId="0" applyNumberFormat="1" applyFont="1" applyFill="1" applyBorder="0" applyAlignment="1">
      <x:alignment horizontal="center" wrapText="1"/>
    </x:xf>
    <x:xf numFmtId="202" fontId="1" fillId="7" borderId="0" xfId="0" applyNumberFormat="1" applyFont="1" applyFill="1" applyBorder="1" applyAlignment="1">
      <x:alignment horizontal="center"/>
    </x:xf>
    <x:xf numFmtId="0" fontId="11" fillId="8" borderId="0" xfId="0" applyNumberFormat="1" applyFont="1" applyFill="1" applyBorder="1"/>
    <x:xf numFmtId="0" fontId="1" fillId="27" borderId="0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 vertical="center"/>
    </x:xf>
    <x:xf numFmtId="0" fontId="0" fillId="272" xfId="0" applyNumberFormat="1" applyFont="1" applyFill="1" applyBorder="0" applyAlignment="1">
      <x:alignment vertical="center" wrapText="1"/>
    </x:xf>
    <x:xf numFmtId="0" fontId="0" fillId="273" xfId="0" applyNumberFormat="1" applyFont="1" applyFill="1" applyBorder="0" applyAlignment="1">
      <x:alignment vertical="center" wrapText="1"/>
    </x:xf>
    <x:xf numFmtId="0" fontId="0" fillId="274" xfId="0" applyNumberFormat="1" applyFont="1" applyFill="1" applyBorder="0" applyAlignment="1">
      <x:alignment vertical="center" wrapText="1"/>
    </x:xf>
    <x:xf numFmtId="0" fontId="0" fillId="275" xfId="0" applyNumberFormat="1" applyFont="1" applyFill="1" applyBorder="0" applyAlignment="1">
      <x:alignment vertical="center" wrapText="1"/>
    </x:xf>
    <x:xf numFmtId="0" fontId="0" fillId="276" xfId="0" applyNumberFormat="1" applyFont="1" applyFill="1" applyBorder="0" applyAlignment="1">
      <x:alignment vertical="center" wrapText="1"/>
    </x:xf>
    <x:xf numFmtId="0" fontId="0" fillId="277" xfId="0" applyNumberFormat="1" applyFont="1" applyFill="1" applyBorder="0" applyAlignment="1">
      <x:alignment vertical="center" wrapText="1"/>
    </x:xf>
    <x:xf numFmtId="0" fontId="0" fillId="278" borderId="0" xfId="0" applyNumberFormat="1" applyFont="1" applyFill="1" applyBorder="1"/>
    <x:xf numFmtId="0" fontId="2" fillId="278" borderId="0" xfId="0" applyNumberFormat="1" applyFont="1" applyFill="1" applyBorder="1"/>
    <x:xf numFmtId="0" fontId="2" fillId="278" borderId="0" xfId="0" applyNumberFormat="1" applyFont="1" applyFill="1" applyBorder="1" applyAlignment="1">
      <x:alignment horizontal="center"/>
    </x:xf>
    <x:xf numFmtId="0" fontId="2" fillId="278" borderId="0" xfId="0" applyNumberFormat="1" applyFont="1" applyFill="1" applyBorder="1" applyAlignment="1">
      <x:alignment horizontal="center" vertical="center"/>
    </x:xf>
    <x:xf numFmtId="0" fontId="0" fillId="279" borderId="0" xfId="0" applyNumberFormat="1" applyFont="1" applyFill="1" applyBorder="1"/>
    <x:xf numFmtId="0" fontId="8" fillId="279" borderId="0" xfId="0" applyNumberFormat="1" applyFont="1" applyFill="1" applyBorder="1"/>
    <x:xf numFmtId="0" fontId="8" fillId="279" borderId="0" xfId="0" applyNumberFormat="1" applyFont="1" applyFill="1" applyBorder="1" applyAlignment="1">
      <x:alignment wrapText="1"/>
    </x:xf>
    <x:xf numFmtId="0" fontId="0" fillId="280" borderId="0" xfId="0" applyNumberFormat="1" applyFont="1" applyFill="1" applyBorder="1"/>
    <x:xf numFmtId="0" fontId="1" fillId="280" borderId="0" xfId="0" applyNumberFormat="1" applyFont="1" applyFill="1" applyBorder="1"/>
    <x:xf numFmtId="0" fontId="1" fillId="280" borderId="0" xfId="0" applyNumberFormat="1" applyFont="1" applyFill="1" applyBorder="1" applyAlignment="1">
      <x:alignment horizontal="center"/>
    </x:xf>
    <x:xf numFmtId="0" fontId="1" fillId="281" borderId="0" xfId="0" applyNumberFormat="1" applyFont="1" applyFill="1" applyBorder="1" applyAlignment="1">
      <x:alignment horizontal="center"/>
    </x:xf>
    <x:xf numFmtId="0" fontId="11" fillId="281" borderId="0" xfId="0" applyNumberFormat="1" applyFont="1" applyFill="1" applyBorder="1" applyAlignment="1">
      <x:alignment horizontal="center"/>
    </x:xf>
    <x:xf numFmtId="202" fontId="1" fillId="280" borderId="0" xfId="0" applyNumberFormat="1" applyFont="1" applyFill="1" applyBorder="1" applyAlignment="1">
      <x:alignment horizontal="center"/>
    </x:xf>
    <x:xf numFmtId="0" fontId="0" fillId="281" borderId="0" xfId="0" applyNumberFormat="1" applyFont="1" applyFill="1" applyBorder="1"/>
    <x:xf numFmtId="0" fontId="11" fillId="281" borderId="0" xfId="0" applyNumberFormat="1" applyFont="1" applyFill="1" applyBorder="1"/>
    <x:xf numFmtId="0" fontId="0" fillId="282" borderId="0" xfId="0" applyNumberFormat="1" applyFont="1" applyFill="1" applyBorder="1"/>
    <x:xf numFmtId="0" fontId="1" fillId="282" borderId="0" xfId="0" applyNumberFormat="1" applyFont="1" applyFill="1" applyBorder="1"/>
    <x:xf numFmtId="0" fontId="0" fillId="281" xfId="0" applyNumberFormat="1" applyFont="1" applyFill="1" applyBorder="0"/>
    <x:xf numFmtId="0" fontId="0" fillId="281" xfId="0" applyNumberFormat="1" applyFont="1" applyFill="1" applyBorder="0" applyAlignment="1">
      <x:alignment wrapText="1"/>
    </x:xf>
    <x:xf numFmtId="0" fontId="1" fillId="282" borderId="0" xfId="0" applyNumberFormat="1" applyFont="1" applyFill="1" applyBorder="1" applyAlignment="1">
      <x:alignment horizontal="center"/>
    </x:xf>
    <x:xf numFmtId="0" fontId="1" fillId="280" borderId="0" xfId="0" applyNumberFormat="1" applyFont="1" applyFill="1" applyBorder="1" applyAlignment="1">
      <x:alignment wrapText="1"/>
    </x:xf>
    <x:xf numFmtId="0" fontId="1" fillId="280" borderId="0" xfId="0" applyNumberFormat="1" applyFont="1" applyFill="1" applyBorder="1" applyAlignment="1">
      <x:alignment horizontal="center" wrapText="1"/>
    </x:xf>
    <x:xf numFmtId="0" fontId="1" fillId="280" borderId="0" xfId="0" applyNumberFormat="1" applyFont="1" applyFill="1" applyBorder="1" applyAlignment="1">
      <x:alignment horizontal="center" vertical="center" wrapText="1"/>
    </x:xf>
    <x:xf numFmtId="0" fontId="16" fillId="282" borderId="0" xfId="0" applyNumberFormat="1" applyFont="1" applyFill="1" applyBorder="1"/>
    <x:xf numFmtId="0" fontId="16" fillId="282" borderId="0" xfId="0" applyNumberFormat="1" applyFont="1" applyFill="1" applyBorder="1" applyAlignment="1">
      <x:alignment horizontal="center"/>
    </x:xf>
    <x:xf numFmtId="0" fontId="1" fillId="282" borderId="0" xfId="0" applyNumberFormat="1" applyFont="1" applyFill="1" applyBorder="1" applyAlignment="1">
      <x:alignment horizontal="center" wrapText="1"/>
    </x:xf>
    <x:xf numFmtId="0" fontId="0" fillId="281" xfId="0" applyNumberFormat="1" applyFont="1" applyFill="1" applyBorder="0" applyAlignment="1">
      <x:alignment horizontal="center" wrapText="1"/>
    </x:xf>
  </x:cellXfs>
  <x:cellStyles count="1">
    <x:cellStyle name="Normal" xfId="0"/>
  </x:cellStyles>
  <x:dxfs count="190">
    <x:dxf>
      <x:font>
        <x:b/>
        <x:color rgb="FF991B1B"/>
      </x:font>
      <x:fill>
        <x:patternFill>
          <x:bgColor rgb="FFFECACA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9D174D"/>
      </x:font>
      <x:fill>
        <x:patternFill>
          <x:bgColor rgb="FFFCE7F3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D174D"/>
      </x:font>
      <x:fill>
        <x:patternFill>
          <x:bgColor rgb="FFFCE7F3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D174D"/>
      </x:font>
      <x:fill>
        <x:patternFill>
          <x:bgColor rgb="FFFCE7F3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D174D"/>
      </x:font>
      <x:fill>
        <x:patternFill>
          <x:bgColor rgb="FFFCE7F3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D174D"/>
      </x:font>
      <x:fill>
        <x:patternFill>
          <x:bgColor rgb="FFFCE7F3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6B21A8"/>
      </x:font>
      <x:fill>
        <x:patternFill>
          <x:bgColor rgb="FFF3E8FF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6B21A8"/>
      </x:font>
      <x:fill>
        <x:patternFill>
          <x:bgColor rgb="FFF3E8FF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3F6212"/>
      </x:font>
      <x:fill>
        <x:patternFill>
          <x:bgColor rgb="FFD9F99D"/>
        </x:patternFill>
      </x:fill>
    </x:dxf>
    <x:dxf>
      <x:font>
        <x:b/>
        <x:color rgb="FF3730A3"/>
      </x:font>
      <x:fill>
        <x:patternFill>
          <x:bgColor rgb="FFE0E7FF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6B21A8"/>
      </x:font>
      <x:fill>
        <x:patternFill>
          <x:bgColor rgb="FFF3E8FF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6B21A8"/>
      </x:font>
      <x:fill>
        <x:patternFill>
          <x:bgColor rgb="FFF3E8FF"/>
        </x:patternFill>
      </x:fill>
    </x:dxf>
    <x:dxf>
      <x:font>
        <x:b/>
        <x:color rgb="FF3730A3"/>
      </x:font>
      <x:fill>
        <x:patternFill>
          <x:bgColor rgb="FFE0E7FF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6B21A8"/>
      </x:font>
      <x:fill>
        <x:patternFill>
          <x:bgColor rgb="FFF3E8FF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6B7280"/>
      </x:font>
      <x:fill>
        <x:patternFill>
          <x:bgColor rgb="FFF3F4F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color rgb="FF6B7280"/>
      </x:font>
      <x:fill>
        <x:patternFill patternType="solid">
          <x:bgColor rgb="FFF3F4F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1E3A8A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8dd9f860464805" /><Relationship Type="http://schemas.openxmlformats.org/officeDocument/2006/relationships/theme" Target="/xl/theme/theme1.xml" Id="R586f1031e79a4ef1" /><Relationship Type="http://schemas.openxmlformats.org/officeDocument/2006/relationships/sharedStrings" Target="/xl/sharedStrings.xml" Id="R2a41178506284de7" /><Relationship Type="http://schemas.openxmlformats.org/officeDocument/2006/relationships/worksheet" Target="/xl/worksheets/sheet1.xml" Id="R846e7fd1890e4a05" /><Relationship Type="http://schemas.openxmlformats.org/officeDocument/2006/relationships/worksheet" Target="/xl/worksheets/sheet2.xml" Id="R1a4e97d8aae241cb" /><Relationship Type="http://schemas.openxmlformats.org/officeDocument/2006/relationships/worksheet" Target="/xl/worksheets/sheet3.xml" Id="R0578ffc6443c41eb" /><Relationship Type="http://schemas.openxmlformats.org/officeDocument/2006/relationships/worksheet" Target="/xl/worksheets/sheet4.xml" Id="Ra396efd2400c4ec6" /><Relationship Type="http://schemas.openxmlformats.org/officeDocument/2006/relationships/worksheet" Target="/xl/worksheets/sheet5.xml" Id="R2b51534a4e2d4497" /><Relationship Type="http://schemas.openxmlformats.org/officeDocument/2006/relationships/worksheet" Target="/xl/worksheets/sheet6.xml" Id="Red71ba06138148f9" /><Relationship Type="http://schemas.openxmlformats.org/officeDocument/2006/relationships/worksheet" Target="/xl/worksheets/sheet7.xml" Id="R4272ecc97f304a35" /><Relationship Type="http://schemas.openxmlformats.org/officeDocument/2006/relationships/worksheet" Target="/xl/worksheets/sheet8.xml" Id="Rb6b4384ee2384878" /><Relationship Type="http://schemas.openxmlformats.org/officeDocument/2006/relationships/worksheet" Target="/xl/worksheets/sheet9.xml" Id="R8e39c67302b242ce" /><Relationship Type="http://schemas.openxmlformats.org/officeDocument/2006/relationships/worksheet" Target="/xl/worksheets/sheet10.xml" Id="Rbe4722d8a2ad40fd" /><Relationship Type="http://schemas.openxmlformats.org/officeDocument/2006/relationships/worksheet" Target="/xl/worksheets/sheet11.xml" Id="Rfc98005c3a1c4905" /><Relationship Type="http://schemas.openxmlformats.org/officeDocument/2006/relationships/worksheet" Target="/xl/worksheets/sheet12.xml" Id="Rb9c17eb5fe784493" /><Relationship Type="http://schemas.openxmlformats.org/officeDocument/2006/relationships/worksheet" Target="/xl/worksheets/sheet13.xml" Id="Rf863c6f655ac4dc9" /><Relationship Type="http://schemas.openxmlformats.org/officeDocument/2006/relationships/worksheet" Target="/xl/worksheets/sheet14.xml" Id="R68d0971d21054273" /><Relationship Type="http://schemas.openxmlformats.org/officeDocument/2006/relationships/worksheet" Target="/xl/worksheets/sheet15.xml" Id="R91465c14b2bb4d8d" /><Relationship Type="http://schemas.openxmlformats.org/officeDocument/2006/relationships/worksheet" Target="/xl/worksheets/sheet16.xml" Id="R520eb611f3084825" /><Relationship Type="http://schemas.openxmlformats.org/officeDocument/2006/relationships/worksheet" Target="/xl/worksheets/sheet17.xml" Id="R80ce713e33b14e93" /><Relationship Type="http://schemas.openxmlformats.org/officeDocument/2006/relationships/worksheet" Target="/xl/worksheets/sheet18.xml" Id="Re743d61ad22b49b5" /><Relationship Type="http://schemas.openxmlformats.org/officeDocument/2006/relationships/worksheet" Target="/xl/worksheets/sheet19.xml" Id="R0675653176dd4ebe" /><Relationship Type="http://schemas.openxmlformats.org/officeDocument/2006/relationships/worksheet" Target="/xl/worksheets/sheet20.xml" Id="Rd2119ceca6e74abf" /><Relationship Type="http://schemas.openxmlformats.org/officeDocument/2006/relationships/worksheet" Target="/xl/worksheets/sheet21.xml" Id="Rda1310f70f914171" /><Relationship Type="http://schemas.openxmlformats.org/officeDocument/2006/relationships/worksheet" Target="/xl/worksheets/sheet22.xml" Id="R288cc5ebdf65449b" /><Relationship Type="http://schemas.openxmlformats.org/officeDocument/2006/relationships/worksheet" Target="/xl/worksheets/sheet23.xml" Id="R61337df5cf204f46" /><Relationship Type="http://schemas.openxmlformats.org/officeDocument/2006/relationships/worksheet" Target="/xl/worksheets/sheet24.xml" Id="Rb556877d676442f7" /><Relationship Type="http://schemas.openxmlformats.org/officeDocument/2006/relationships/worksheet" Target="/xl/worksheets/sheet25.xml" Id="R69d7d6290c9a4c21" /><Relationship Type="http://schemas.openxmlformats.org/officeDocument/2006/relationships/worksheet" Target="/xl/worksheets/sheet26.xml" Id="R9d5e44dd635b4912" /><Relationship Type="http://schemas.openxmlformats.org/officeDocument/2006/relationships/worksheet" Target="/xl/worksheets/sheet27.xml" Id="Redf1da18a7c7400a" /><Relationship Type="http://schemas.openxmlformats.org/officeDocument/2006/relationships/worksheet" Target="/xl/worksheets/sheet28.xml" Id="R4cd9e6bdc8744855" /><Relationship Type="http://schemas.openxmlformats.org/officeDocument/2006/relationships/worksheet" Target="/xl/worksheets/sheet29.xml" Id="R75b22c41f8784866" /><Relationship Type="http://schemas.openxmlformats.org/officeDocument/2006/relationships/worksheet" Target="/xl/worksheets/sheet30.xml" Id="R5fe0190e64b7470c" /><Relationship Type="http://schemas.openxmlformats.org/officeDocument/2006/relationships/worksheet" Target="/xl/worksheets/sheet31.xml" Id="R0dcfd7b103b34567" /><Relationship Type="http://schemas.openxmlformats.org/officeDocument/2006/relationships/worksheet" Target="/xl/worksheets/sheet32.xml" Id="R1c68bd6f375848a3" /><Relationship Type="http://schemas.openxmlformats.org/officeDocument/2006/relationships/worksheet" Target="/xl/worksheets/sheet33.xml" Id="R30916d4cec494c7e" /><Relationship Type="http://schemas.openxmlformats.org/officeDocument/2006/relationships/worksheet" Target="/xl/worksheets/sheet34.xml" Id="R1a3d78e96d58447a" /><Relationship Type="http://schemas.openxmlformats.org/officeDocument/2006/relationships/worksheet" Target="/xl/worksheets/sheet35.xml" Id="Rb169dae1e30b430a" /><Relationship Type="http://schemas.openxmlformats.org/officeDocument/2006/relationships/worksheet" Target="/xl/worksheets/sheet36.xml" Id="R175f950ade444f67" /><Relationship Type="http://schemas.openxmlformats.org/officeDocument/2006/relationships/worksheet" Target="/xl/worksheets/sheet37.xml" Id="R6a7404eeb1f9461d" /><Relationship Type="http://schemas.openxmlformats.org/officeDocument/2006/relationships/worksheet" Target="/xl/worksheets/sheet38.xml" Id="R5a9c1d9930e043ec" /><Relationship Type="http://schemas.openxmlformats.org/officeDocument/2006/relationships/worksheet" Target="/xl/worksheets/sheet39.xml" Id="Rc3803870621549c0" /><Relationship Type="http://schemas.openxmlformats.org/officeDocument/2006/relationships/worksheet" Target="/xl/worksheets/sheet40.xml" Id="R2fb69ea2de084fa2" /><Relationship Type="http://schemas.openxmlformats.org/officeDocument/2006/relationships/worksheet" Target="/xl/worksheets/sheet41.xml" Id="Rd03de98a6f0c4d5f" /><Relationship Type="http://schemas.openxmlformats.org/officeDocument/2006/relationships/worksheet" Target="/xl/worksheets/sheet42.xml" Id="Rb2ab6bbbeaac4c7a" /><Relationship Type="http://schemas.openxmlformats.org/officeDocument/2006/relationships/worksheet" Target="/xl/worksheets/sheet43.xml" Id="Re6b21fd405014567" /><Relationship Type="http://schemas.openxmlformats.org/officeDocument/2006/relationships/worksheet" Target="/xl/worksheets/sheet44.xml" Id="Re09bd5f78f1f430b" /><Relationship Type="http://schemas.openxmlformats.org/officeDocument/2006/relationships/worksheet" Target="/xl/worksheets/sheet45.xml" Id="Rf7ab0cc8f3314fa0" /><Relationship Type="http://schemas.openxmlformats.org/officeDocument/2006/relationships/worksheet" Target="/xl/worksheets/sheet46.xml" Id="R3463131bbaf34b91" /><Relationship Type="http://schemas.openxmlformats.org/officeDocument/2006/relationships/worksheet" Target="/xl/worksheets/sheet47.xml" Id="R502ac814536e4c57" /><Relationship Type="http://schemas.openxmlformats.org/officeDocument/2006/relationships/worksheet" Target="/xl/worksheets/sheet48.xml" Id="R6f921481baac402e" /><Relationship Type="http://schemas.openxmlformats.org/officeDocument/2006/relationships/worksheet" Target="/xl/worksheets/sheet49.xml" Id="R840e25b4a76445e9" /><Relationship Type="http://schemas.openxmlformats.org/officeDocument/2006/relationships/worksheet" Target="/xl/worksheets/sheet50.xml" Id="R4d9b363f50b848fa" /><Relationship Type="http://schemas.openxmlformats.org/officeDocument/2006/relationships/worksheet" Target="/xl/worksheets/sheet51.xml" Id="R903c03dc2d6548b1" /><Relationship Type="http://schemas.openxmlformats.org/officeDocument/2006/relationships/worksheet" Target="/xl/worksheets/sheet52.xml" Id="R1db373f73b9d45d6" /><Relationship Type="http://schemas.openxmlformats.org/officeDocument/2006/relationships/worksheet" Target="/xl/worksheets/sheet53.xml" Id="R70be81968d6f477c" /><Relationship Type="http://schemas.openxmlformats.org/officeDocument/2006/relationships/worksheet" Target="/xl/worksheets/sheet54.xml" Id="R7edf911edfda41e7" /><Relationship Type="http://schemas.openxmlformats.org/officeDocument/2006/relationships/worksheet" Target="/xl/worksheets/sheet55.xml" Id="R36930e1fd7414865" /><Relationship Type="http://schemas.openxmlformats.org/officeDocument/2006/relationships/worksheet" Target="/xl/worksheets/sheet56.xml" Id="Rda76afe7841b46d0" /><Relationship Type="http://schemas.openxmlformats.org/officeDocument/2006/relationships/worksheet" Target="/xl/worksheets/sheet57.xml" Id="R7de8b31629d8424a" /><Relationship Type="http://schemas.openxmlformats.org/officeDocument/2006/relationships/worksheet" Target="/xl/worksheets/sheet58.xml" Id="R258a2edc0a17404b" /><Relationship Type="http://schemas.openxmlformats.org/officeDocument/2006/relationships/worksheet" Target="/xl/worksheets/sheet59.xml" Id="R175e18c438fd4bd8" /><Relationship Type="http://schemas.openxmlformats.org/officeDocument/2006/relationships/worksheet" Target="/xl/worksheets/sheet60.xml" Id="R9e5aae5787d642cb" /><Relationship Type="http://schemas.openxmlformats.org/officeDocument/2006/relationships/worksheet" Target="/xl/worksheets/sheet61.xml" Id="R772a43ee8c0049b1" /><Relationship Type="http://schemas.openxmlformats.org/officeDocument/2006/relationships/worksheet" Target="/xl/worksheets/sheet62.xml" Id="R1c76d281a44647a6" /><Relationship Type="http://schemas.openxmlformats.org/officeDocument/2006/relationships/worksheet" Target="/xl/worksheets/sheet63.xml" Id="Rd7545e17fbbe4f92" /><Relationship Type="http://schemas.openxmlformats.org/officeDocument/2006/relationships/worksheet" Target="/xl/worksheets/sheet64.xml" Id="Rf7f78064057d4910" /><Relationship Type="http://schemas.openxmlformats.org/officeDocument/2006/relationships/worksheet" Target="/xl/worksheets/sheet65.xml" Id="R47392fab642e4309" /><Relationship Type="http://schemas.openxmlformats.org/officeDocument/2006/relationships/worksheet" Target="/xl/worksheets/sheet66.xml" Id="Rd558665d8305423a" /><Relationship Type="http://schemas.openxmlformats.org/officeDocument/2006/relationships/worksheet" Target="/xl/worksheets/sheet67.xml" Id="R722b5c6d4c7c4bbb" /><Relationship Type="http://schemas.openxmlformats.org/officeDocument/2006/relationships/worksheet" Target="/xl/worksheets/sheet68.xml" Id="Rebca4503c17b4b7f" /><Relationship Type="http://schemas.openxmlformats.org/officeDocument/2006/relationships/worksheet" Target="/xl/worksheets/sheet69.xml" Id="R48426369aea24eb2" /><Relationship Type="http://schemas.openxmlformats.org/officeDocument/2006/relationships/worksheet" Target="/xl/worksheets/sheet70.xml" Id="R2caf069a23fc43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3bc18429022453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4c5698c2113b4a8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42b23b0c378443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55d98258154c4fd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Коллекция по брендам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Количество</c:v>
          </c:tx>
          <c:cat>
            <c:strRef>
              <c:f>'Сводка'!$D$4:$D$8</c:f>
              <c:strCache>
                <c:ptCount val="0"/>
              </c:strCache>
            </c:strRef>
          </c:cat>
          <c:val>
            <c:numRef>
              <c:f>'Сводка'!$E$4:$E$8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S01: оценка зон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Средняя оценка</c:v>
          </c:tx>
          <c:cat>
            <c:strRef>
              <c:f>'Сессия S01 — торс'!$J$22:$J$27</c:f>
              <c:strCache>
                <c:ptCount val="0"/>
              </c:strCache>
            </c:strRef>
          </c:cat>
          <c:val>
            <c:numRef>
              <c:f>'Сессия S01 — торс'!$K$22:$K$27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Цель</c:v>
          </c:tx>
          <c:cat>
            <c:strRef>
              <c:f>'Сессия S01 — торс'!$J$22:$J$27</c:f>
              <c:strCache>
                <c:ptCount val="0"/>
              </c:strCache>
            </c:strRef>
          </c:cat>
          <c:val>
            <c:numRef>
              <c:f>'Сессия S01 — торс'!$L$22:$L$27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S02: оценка анатомических зон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Средняя</c:v>
          </c:tx>
          <c:cat>
            <c:strRef>
              <c:f>'Сессия S02 — анатомия'!$P$5:$P$16</c:f>
              <c:strCache>
                <c:ptCount val="0"/>
              </c:strCache>
            </c:strRef>
          </c:cat>
          <c:val>
            <c:numRef>
              <c:f>'Сессия S02 — анатомия'!$Q$5:$Q$16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Цель</c:v>
          </c:tx>
          <c:cat>
            <c:strRef>
              <c:f>'Сессия S02 — анатомия'!$P$5:$P$16</c:f>
              <c:strCache>
                <c:ptCount val="0"/>
              </c:strCache>
            </c:strRef>
          </c:cat>
          <c:val>
            <c:numRef>
              <c:f>'Сессия S02 — анатомия'!$R$5:$R$16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S03: фактура и сохранение формы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Средняя</c:v>
          </c:tx>
          <c:cat>
            <c:strRef>
              <c:f>'Сессия S03 — фактура'!$P$5:$P$16</c:f>
              <c:strCache>
                <c:ptCount val="0"/>
              </c:strCache>
            </c:strRef>
          </c:cat>
          <c:val>
            <c:numRef>
              <c:f>'Сессия S03 — фактура'!$Q$5:$Q$16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Цель</c:v>
          </c:tx>
          <c:cat>
            <c:strRef>
              <c:f>'Сессия S03 — фактура'!$P$5:$P$16</c:f>
              <c:strCache>
                <c:ptCount val="0"/>
              </c:strCache>
            </c:strRef>
          </c:cat>
          <c:val>
            <c:numRef>
              <c:f>'Сессия S03 — фактура'!$R$5:$R$16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13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bc18429022453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14</xdr:col>
      <xdr:colOff>0</xdr:colOff>
      <xdr:row>3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5698c2113b4a8c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15</xdr:col>
      <xdr:colOff>0</xdr:colOff>
      <xdr:row>17</xdr:row>
      <xdr:rowOff>0</xdr:rowOff>
    </xdr:from>
    <xdr:to>
      <xdr:col>23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2b23b0c378443c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15</xdr:col>
      <xdr:colOff>0</xdr:colOff>
      <xdr:row>17</xdr:row>
      <xdr:rowOff>0</xdr:rowOff>
    </xdr:from>
    <xdr:to>
      <xdr:col>23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d98258154c4fd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aintInventoryTable" displayName="PaintInventoryTable" ref="A1:N218" headerRowCount="1">
  <x:tableColumns count="14">
    <x:tableColumn id="1" name="№"/>
    <x:tableColumn id="2" name="Бренд"/>
    <x:tableColumn id="3" name="Код"/>
    <x:tableColumn id="4" name="Название"/>
    <x:tableColumn id="5" name="Линейка"/>
    <x:tableColumn id="6" name="Цветовая группа"/>
    <x:tableColumn id="7" name="Количество"/>
    <x:tableColumn id="8" name="Состояние"/>
    <x:tableColumn id="9" name="Остаток"/>
    <x:tableColumn id="10" name="К покупке"/>
    <x:tableColumn id="11" name="Фото"/>
    <x:tableColumn id="12" name="Позиция"/>
    <x:tableColumn id="13" name="Повтор"/>
    <x:tableColumn id="14" name="Комментарий"/>
  </x:tableColumns>
  <x:tableStyleInfo name="TableStyleMedium2" showRowStripes="1"/>
</x:table>
</file>

<file path=xl/tables/table2.xml><?xml version="1.0" encoding="utf-8"?>
<x:table xmlns:x="http://schemas.openxmlformats.org/spreadsheetml/2006/main" id="68" name="LayerRecipesS03TextureTable" displayName="LayerRecipesS03TextureTable" ref="A4:O544" headerRowCount="1">
  <x:tableColumns count="15">
    <x:tableColumn id="1" name="№"/>
    <x:tableColumn id="2" name="Семейство"/>
    <x:tableColumn id="3" name="Результат"/>
    <x:tableColumn id="4" name="Техника"/>
    <x:tableColumn id="5" name="Подложка / грунт"/>
    <x:tableColumn id="6" name="База"/>
    <x:tableColumn id="7" name="Тень"/>
    <x:tableColumn id="8" name="Средний тон / возврат базы"/>
    <x:tableColumn id="9" name="Высветление 1"/>
    <x:tableColumn id="10" name="Высветление 2"/>
    <x:tableColumn id="11" name="Крайний блик"/>
    <x:tableColumn id="12" name="Лессировка / эффект"/>
    <x:tableColumn id="13" name="Финиш"/>
    <x:tableColumn id="14" name="Сложность"/>
    <x:tableColumn id="15" name="Примечание"/>
  </x:tableColumns>
  <x:tableStyleInfo name="TableStyleMedium2" showRowStripes="1"/>
</x:table>
</file>

<file path=xl/tables/table3.xml><?xml version="1.0" encoding="utf-8"?>
<x:table xmlns:x="http://schemas.openxmlformats.org/spreadsheetml/2006/main" id="3" name="PaintModifiersTable" displayName="PaintModifiersTable" ref="A3:F25" headerRowCount="1">
  <x:tableColumns count="6">
    <x:tableColumn id="1" name="Задача"/>
    <x:tableColumn id="2" name="Для каких цветов"/>
    <x:tableColumn id="3" name="Краска / материал"/>
    <x:tableColumn id="4" name="Пропорция"/>
    <x:tableColumn id="5" name="Результат"/>
    <x:tableColumn id="6" name="Ограничение"/>
  </x:tableColumns>
  <x:tableStyleInfo name="TableStyleMedium2" showRowStripes="1"/>
</x:table>
</file>

<file path=xl/tables/table4.xml><?xml version="1.0" encoding="utf-8"?>
<x:table xmlns:x="http://schemas.openxmlformats.org/spreadsheetml/2006/main" id="4" name="PaintWorkflowTable" displayName="PaintWorkflowTable" ref="A3:E123" headerRowCount="1">
  <x:tableColumns count="5">
    <x:tableColumn id="1" name="№"/>
    <x:tableColumn id="2" name="Сценарий"/>
    <x:tableColumn id="3" name="Порядок слоёв"/>
    <x:tableColumn id="4" name="Когда использовать"/>
    <x:tableColumn id="5" name="Ключевое правило"/>
  </x:tableColumns>
  <x:tableStyleInfo name="TableStyleMedium2" showRowStripes="1"/>
</x:table>
</file>

<file path=xl/tables/table5.xml><?xml version="1.0" encoding="utf-8"?>
<x:table xmlns:x="http://schemas.openxmlformats.org/spreadsheetml/2006/main" id="6" name="UndercoatInteractionTable" displayName="UndercoatInteractionTable" ref="A4:H19" headerRowCount="1">
  <x:tableColumns count="8">
    <x:tableColumn id="1" name="Прозрачная краска"/>
    <x:tableColumn id="2" name="White"/>
    <x:tableColumn id="3" name="Wraithbone"/>
    <x:tableColumn id="4" name="Grey Seer"/>
    <x:tableColumn id="5" name="Runefang / Vallejo Silver"/>
    <x:tableColumn id="6" name="Зениталь / Slapchop"/>
    <x:tableColumn id="7" name="Лучшее применение"/>
    <x:tableColumn id="8" name="Ограничение"/>
  </x:tableColumns>
  <x:tableStyleInfo name="TableStyleMedium2" showRowStripes="1"/>
</x:table>
</file>

<file path=xl/tables/table6.xml><?xml version="1.0" encoding="utf-8"?>
<x:table xmlns:x="http://schemas.openxmlformats.org/spreadsheetml/2006/main" id="8" name="PaintRolesTable" displayName="PaintRolesTable" ref="A3:G19" headerRowCount="1">
  <x:tableColumns count="7">
    <x:tableColumn id="1" name="Тип"/>
    <x:tableColumn id="2" name="Примеры из коллекции"/>
    <x:tableColumn id="3" name="Основная роль"/>
    <x:tableColumn id="4" name="Где особенно хорош"/>
    <x:tableColumn id="5" name="Чего не делать"/>
    <x:tableColumn id="6" name="Подходящий медиум / растворитель"/>
    <x:tableColumn id="7" name="Практическое правило"/>
  </x:tableColumns>
  <x:tableStyleInfo name="TableStyleMedium2" showRowStripes="1"/>
</x:table>
</file>

<file path=xl/tables/table7.xml><?xml version="1.0" encoding="utf-8"?>
<x:table xmlns:x="http://schemas.openxmlformats.org/spreadsheetml/2006/main" id="10" name="DetailStandardsTable" displayName="DetailStandardsTable" ref="A4:F15" headerRowCount="1">
  <x:tableColumns count="6">
    <x:tableColumn id="1" name="Элемент"/>
    <x:tableColumn id="2" name="Battle Ready"/>
    <x:tableColumn id="3" name="Enhanced / Parade"/>
    <x:tableColumn id="4" name="Display / персонаж"/>
    <x:tableColumn id="5" name="Критерий остановки"/>
    <x:tableColumn id="6" name="Рецепты"/>
  </x:tableColumns>
  <x:tableStyleInfo name="TableStyleMedium2" showRowStripes="1"/>
</x:table>
</file>

<file path=xl/tables/table8.xml><?xml version="1.0" encoding="utf-8"?>
<x:table xmlns:x="http://schemas.openxmlformats.org/spreadsheetml/2006/main" id="12" name="AirbrushMaterialsTable" displayName="AirbrushMaterialsTable" ref="A4:J22" headerRowCount="1">
  <x:tableColumns count="10">
    <x:tableColumn id="1" name="Категория"/>
    <x:tableColumn id="2" name="Примеры из коллекции"/>
    <x:tableColumn id="3" name="Сопло"/>
    <x:tableColumn id="4" name="Рабочее давление"/>
    <x:tableColumn id="5" name="Стартовое разведение"/>
    <x:tableColumn id="6" name="Дистанция"/>
    <x:tableColumn id="7" name="Лучшее применение"/>
    <x:tableColumn id="8" name="Риск"/>
    <x:tableColumn id="9" name="Решение"/>
    <x:tableColumn id="10" name="Статус"/>
  </x:tableColumns>
  <x:tableStyleInfo name="TableStyleMedium2" showRowStripes="1"/>
</x:table>
</file>

<file path=xl/tables/table9.xml><?xml version="1.0" encoding="utf-8"?>
<x:table xmlns:x="http://schemas.openxmlformats.org/spreadsheetml/2006/main" id="13" name="AirbrushRecipeIndexTable" displayName="AirbrushRecipeIndexTable" ref="A4:J29" headerRowCount="1">
  <x:tableColumns count="10">
    <x:tableColumn id="1" name="ID"/>
    <x:tableColumn id="2" name="Результат"/>
    <x:tableColumn id="3" name="Основной метод"/>
    <x:tableColumn id="4" name="Сопло"/>
    <x:tableColumn id="5" name="PSI"/>
    <x:tableColumn id="6" name="Стартовое разведение"/>
    <x:tableColumn id="7" name="Дистанция"/>
    <x:tableColumn id="8" name="Количество проходов"/>
    <x:tableColumn id="9" name="Кистевая доработка"/>
    <x:tableColumn id="10" name="Главный риск"/>
  </x:tableColumns>
  <x:tableStyleInfo name="TableStyleMedium2" showRowStripes="1"/>
</x:table>
</file>

<file path=xl/tables/table10.xml><?xml version="1.0" encoding="utf-8"?>
<x:table xmlns:x="http://schemas.openxmlformats.org/spreadsheetml/2006/main" id="15" name="TechniqueSelectionTable" displayName="TechniqueSelectionTable" ref="A4:I123" headerRowCount="1">
  <x:tableColumns count="9">
    <x:tableColumn id="1" name="Техника"/>
    <x:tableColumn id="2" name="Основной инструмент"/>
    <x:tableColumn id="3" name="Лучшие краски коллекции"/>
    <x:tableColumn id="4" name="Результат"/>
    <x:tableColumn id="5" name="Когда применять"/>
    <x:tableColumn id="6" name="Базовый процесс"/>
    <x:tableColumn id="7" name="Сложность"/>
    <x:tableColumn id="8" name="Главный риск"/>
    <x:tableColumn id="9" name="Рецепты"/>
  </x:tableColumns>
  <x:tableStyleInfo name="TableStyleMedium2" showRowStripes="1"/>
</x:table>
</file>

<file path=xl/tables/table11.xml><?xml version="1.0" encoding="utf-8"?>
<x:table xmlns:x="http://schemas.openxmlformats.org/spreadsheetml/2006/main" id="16" name="SurfaceDiagnosticsTable" displayName="SurfaceDiagnosticsTable" ref="A3:G133" headerRowCount="1">
  <x:tableColumns count="7">
    <x:tableColumn id="1" name="Проблема"/>
    <x:tableColumn id="2" name="Где возникает"/>
    <x:tableColumn id="3" name="Вероятная причина"/>
    <x:tableColumn id="4" name="Исправление сейчас"/>
    <x:tableColumn id="5" name="Профилактика"/>
    <x:tableColumn id="6" name="Подходящие материалы коллекции"/>
    <x:tableColumn id="7" name="Критичность"/>
  </x:tableColumns>
  <x:tableStyleInfo name="TableStyleMedium2" showRowStripes="1"/>
</x:table>
</file>

<file path=xl/tables/table12.xml><?xml version="1.0" encoding="utf-8"?>
<x:table xmlns:x="http://schemas.openxmlformats.org/spreadsheetml/2006/main" id="18" name="MaterialFinishTable" displayName="MaterialFinishTable" ref="A4:H21" headerRowCount="1">
  <x:tableColumns count="8">
    <x:tableColumn id="1" name="Материал"/>
    <x:tableColumn id="2" name="Основной визуальный признак"/>
    <x:tableColumn id="3" name="Форма блика"/>
    <x:tableColumn id="4" name="Фактура"/>
    <x:tableColumn id="5" name="Финиш"/>
    <x:tableColumn id="6" name="Лучшие материалы коллекции"/>
    <x:tableColumn id="7" name="Что испортит эффект"/>
    <x:tableColumn id="8" name="Рецепты"/>
  </x:tableColumns>
  <x:tableStyleInfo name="TableStyleMedium2" showRowStripes="1"/>
</x:table>
</file>

<file path=xl/tables/table13.xml><?xml version="1.0" encoding="utf-8"?>
<x:table xmlns:x="http://schemas.openxmlformats.org/spreadsheetml/2006/main" id="20" name="SkinToneMapTable" displayName="SkinToneMapTable" ref="A4:I13" headerRowCount="1">
  <x:tableColumns count="9">
    <x:tableColumn id="1" name="Тип кожи"/>
    <x:tableColumn id="2" name="База"/>
    <x:tableColumn id="3" name="Глубокая тень"/>
    <x:tableColumn id="4" name="Средний тон"/>
    <x:tableColumn id="5" name="Свет 1"/>
    <x:tableColumn id="6" name="Свет 2"/>
    <x:tableColumn id="7" name="Цветовые зоны"/>
    <x:tableColumn id="8" name="Главный риск"/>
    <x:tableColumn id="9" name="Рецепт"/>
  </x:tableColumns>
  <x:tableStyleInfo name="TableStyleMedium2" showRowStripes="1"/>
</x:table>
</file>

<file path=xl/tables/table14.xml><?xml version="1.0" encoding="utf-8"?>
<x:table xmlns:x="http://schemas.openxmlformats.org/spreadsheetml/2006/main" id="21" name="FreehandMarkingTable" displayName="FreehandMarkingTable" ref="A4:I14" headerRowCount="1">
  <x:tableColumns count="9">
    <x:tableColumn id="1" name="Задача"/>
    <x:tableColumn id="2" name="Разметка"/>
    <x:tableColumn id="3" name="Заполнение"/>
    <x:tableColumn id="4" name="Высветление"/>
    <x:tableColumn id="5" name="Исправление"/>
    <x:tableColumn id="6" name="Износ"/>
    <x:tableColumn id="7" name="Инструмент"/>
    <x:tableColumn id="8" name="Главный риск"/>
    <x:tableColumn id="9" name="Рецепт"/>
  </x:tableColumns>
  <x:tableStyleInfo name="TableStyleMedium2" showRowStripes="1"/>
</x:table>
</file>

<file path=xl/tables/table15.xml><?xml version="1.0" encoding="utf-8"?>
<x:table xmlns:x="http://schemas.openxmlformats.org/spreadsheetml/2006/main" id="22" name="DirectionalWeatheringTable" displayName="DirectionalWeatheringTable" ref="A4:I12" headerRowCount="1">
  <x:tableColumns count="9">
    <x:tableColumn id="1" name="Эффект"/>
    <x:tableColumn id="2" name="Источник"/>
    <x:tableColumn id="3" name="Направление"/>
    <x:tableColumn id="4" name="Первый слой"/>
    <x:tableColumn id="5" name="Второй слой"/>
    <x:tableColumn id="6" name="Смягчение"/>
    <x:tableColumn id="7" name="Финиш"/>
    <x:tableColumn id="8" name="Ошибка"/>
    <x:tableColumn id="9" name="Рецепт"/>
  </x:tableColumns>
  <x:tableStyleInfo name="TableStyleMedium2" showRowStripes="1"/>
</x:table>
</file>

<file path=xl/tables/table16.xml><?xml version="1.0" encoding="utf-8"?>
<x:table xmlns:x="http://schemas.openxmlformats.org/spreadsheetml/2006/main" id="24" name="RarePaintCoverageTable" displayName="RarePaintCoverageTable" ref="A4:H31" headerRowCount="1">
  <x:tableColumns count="8">
    <x:tableColumn id="1" name="Краска"/>
    <x:tableColumn id="2" name="Бренд"/>
    <x:tableColumn id="3" name="Линейка"/>
    <x:tableColumn id="4" name="Рецептов до v16"/>
    <x:tableColumn id="5" name="Новая самостоятельная роль"/>
    <x:tableColumn id="6" name="Новые рецепты"/>
    <x:tableColumn id="7" name="Главное ограничение"/>
    <x:tableColumn id="8" name="Статус"/>
  </x:tableColumns>
  <x:tableStyleInfo name="TableStyleMedium2" showRowStripes="1"/>
</x:table>
</file>

<file path=xl/tables/table17.xml><?xml version="1.0" encoding="utf-8"?>
<x:table xmlns:x="http://schemas.openxmlformats.org/spreadsheetml/2006/main" id="25" name="TransparentPaintControlTable" displayName="TransparentPaintControlTable" ref="A4:I15" headerRowCount="1">
  <x:tableColumns count="9">
    <x:tableColumn id="1" name="Краска"/>
    <x:tableColumn id="2" name="Система"/>
    <x:tableColumn id="3" name="Лучшая подложка"/>
    <x:tableColumn id="4" name="Старт с Medium"/>
    <x:tableColumn id="5" name="Основная роль"/>
    <x:tableColumn id="6" name="Непрозрачный свет"/>
    <x:tableColumn id="7" name="Финиш"/>
    <x:tableColumn id="8" name="Риск"/>
    <x:tableColumn id="9" name="Рецепт"/>
  </x:tableColumns>
  <x:tableStyleInfo name="TableStyleMedium2" showRowStripes="1"/>
</x:table>
</file>

<file path=xl/tables/table18.xml><?xml version="1.0" encoding="utf-8"?>
<x:table xmlns:x="http://schemas.openxmlformats.org/spreadsheetml/2006/main" id="26" name="SnowAshCrackleTable" displayName="SnowAshCrackleTable" ref="A4:I9" headerRowCount="1">
  <x:tableColumns count="9">
    <x:tableColumn id="1" name="Поверхность"/>
    <x:tableColumn id="2" name="Фактурная основа"/>
    <x:tableColumn id="3" name="Цвет подложки"/>
    <x:tableColumn id="4" name="Средний слой"/>
    <x:tableColumn id="5" name="Свет/центр"/>
    <x:tableColumn id="6" name="Локальный эффект"/>
    <x:tableColumn id="7" name="Финиш"/>
    <x:tableColumn id="8" name="Главный риск"/>
    <x:tableColumn id="9" name="Рецепт"/>
  </x:tableColumns>
  <x:tableStyleInfo name="TableStyleMedium2" showRowStripes="1"/>
</x:table>
</file>

<file path=xl/tables/table19.xml><?xml version="1.0" encoding="utf-8"?>
<x:table xmlns:x="http://schemas.openxmlformats.org/spreadsheetml/2006/main" id="28" name="NMMReflectionTable" displayName="NMMReflectionTable" ref="A4:J15" headerRowCount="1">
  <x:tableColumns count="10">
    <x:tableColumn id="1" name="Материал"/>
    <x:tableColumn id="2" name="Самая тёмная зона"/>
    <x:tableColumn id="3" name="Тень"/>
    <x:tableColumn id="4" name="Средний тон"/>
    <x:tableColumn id="5" name="Свет"/>
    <x:tableColumn id="6" name="Максимум"/>
    <x:tableColumn id="7" name="Расположение отражения"/>
    <x:tableColumn id="8" name="Цвет среды"/>
    <x:tableColumn id="9" name="Главная ошибка"/>
    <x:tableColumn id="10" name="Рецепт"/>
  </x:tableColumns>
  <x:tableStyleInfo name="TableStyleMedium2" showRowStripes="1"/>
</x:table>
</file>

<file path=xl/tables/table20.xml><?xml version="1.0" encoding="utf-8"?>
<x:table xmlns:x="http://schemas.openxmlformats.org/spreadsheetml/2006/main" id="29" name="TransparentMaterialTable" displayName="TransparentMaterialTable" ref="A4:I12" headerRowCount="1">
  <x:tableColumns count="9">
    <x:tableColumn id="1" name="Объект"/>
    <x:tableColumn id="2" name="Подложка"/>
    <x:tableColumn id="3" name="Тёмная зона"/>
    <x:tableColumn id="4" name="Средний цвет"/>
    <x:tableColumn id="5" name="Внутренний свет"/>
    <x:tableColumn id="6" name="Белый блик"/>
    <x:tableColumn id="7" name="Финиш"/>
    <x:tableColumn id="8" name="Главный риск"/>
    <x:tableColumn id="9" name="Рецепт"/>
  </x:tableColumns>
  <x:tableStyleInfo name="TableStyleMedium2" showRowStripes="1"/>
</x:table>
</file>

<file path=xl/tables/table21.xml><?xml version="1.0" encoding="utf-8"?>
<x:table xmlns:x="http://schemas.openxmlformats.org/spreadsheetml/2006/main" id="30" name="CrackleTextureTable" displayName="CrackleTextureTable" ref="A4:I9" headerRowCount="1">
  <x:tableColumns count="9">
    <x:tableColumn id="1" name="Материал"/>
    <x:tableColumn id="2" name="Характер рельефа"/>
    <x:tableColumn id="3" name="Подложка"/>
    <x:tableColumn id="4" name="Толщина"/>
    <x:tableColumn id="5" name="Тень"/>
    <x:tableColumn id="6" name="Drybrush"/>
    <x:tableColumn id="7" name="Финиш"/>
    <x:tableColumn id="8" name="Лучшее применение"/>
    <x:tableColumn id="9" name="Рецепт"/>
  </x:tableColumns>
  <x:tableStyleInfo name="TableStyleMedium2" showRowStripes="1"/>
</x:table>
</file>

<file path=xl/tables/table22.xml><?xml version="1.0" encoding="utf-8"?>
<x:table xmlns:x="http://schemas.openxmlformats.org/spreadsheetml/2006/main" id="32" name="BloodLivingFleshTable" displayName="BloodLivingFleshTable" ref="A4:I14" headerRowCount="1">
  <x:tableColumns count="9">
    <x:tableColumn id="1" name="Эффект"/>
    <x:tableColumn id="2" name="Базовый цвет"/>
    <x:tableColumn id="3" name="Старая/глубокая зона"/>
    <x:tableColumn id="4" name="Свежая зона"/>
    <x:tableColumn id="5" name="Белый блик"/>
    <x:tableColumn id="6" name="Финиш"/>
    <x:tableColumn id="7" name="Направление"/>
    <x:tableColumn id="8" name="Главная ошибка"/>
    <x:tableColumn id="9" name="Рецепт"/>
  </x:tableColumns>
  <x:tableStyleInfo name="TableStyleMedium2" showRowStripes="1"/>
</x:table>
</file>

<file path=xl/tables/table23.xml><?xml version="1.0" encoding="utf-8"?>
<x:table xmlns:x="http://schemas.openxmlformats.org/spreadsheetml/2006/main" id="33" name="OilTechniqueMapTable" displayName="OilTechniqueMapTable" ref="A4:J14" headerRowCount="1">
  <x:tableColumns count="10">
    <x:tableColumn id="1" name="Техника"/>
    <x:tableColumn id="2" name="Лак до масла"/>
    <x:tableColumn id="3" name="Умбра жжёная"/>
    <x:tableColumn id="4" name="Серая Пейна"/>
    <x:tableColumn id="5" name="Сажа газовая"/>
    <x:tableColumn id="6" name="Разбавление"/>
    <x:tableColumn id="7" name="Снятие"/>
    <x:tableColumn id="8" name="После высыхания"/>
    <x:tableColumn id="9" name="Главный риск"/>
    <x:tableColumn id="10" name="Рецепт"/>
  </x:tableColumns>
  <x:tableStyleInfo name="TableStyleMedium2" showRowStripes="1"/>
</x:table>
</file>

<file path=xl/tables/table24.xml><?xml version="1.0" encoding="utf-8"?>
<x:table xmlns:x="http://schemas.openxmlformats.org/spreadsheetml/2006/main" id="34" name="CamouflageFinishTable" displayName="CamouflageFinishTable" ref="A4:J14" headerRowCount="1">
  <x:tableColumns count="10">
    <x:tableColumn id="1" name="Схема"/>
    <x:tableColumn id="2" name="База"/>
    <x:tableColumn id="3" name="Крупные поля"/>
    <x:tableColumn id="4" name="Средние поля"/>
    <x:tableColumn id="5" name="Мелкая фактура"/>
    <x:tableColumn id="6" name="Край"/>
    <x:tableColumn id="7" name="Фильтр"/>
    <x:tableColumn id="8" name="Финиш"/>
    <x:tableColumn id="9" name="Главный риск"/>
    <x:tableColumn id="10" name="Рецепт"/>
  </x:tableColumns>
  <x:tableStyleInfo name="TableStyleMedium2" showRowStripes="1"/>
</x:table>
</file>

<file path=xl/tables/table25.xml><?xml version="1.0" encoding="utf-8"?>
<x:table xmlns:x="http://schemas.openxmlformats.org/spreadsheetml/2006/main" id="36" name="LightingFocusTable" displayName="LightingFocusTable" ref="A4:J18" headerRowCount="1">
  <x:tableColumns count="10">
    <x:tableColumn id="1" name="Задача"/>
    <x:tableColumn id="2" name="Источник"/>
    <x:tableColumn id="3" name="Теневая сторона"/>
    <x:tableColumn id="4" name="Средний свет"/>
    <x:tableColumn id="5" name="Максимум"/>
    <x:tableColumn id="6" name="Температура"/>
    <x:tableColumn id="7" name="Где остановить"/>
    <x:tableColumn id="8" name="Главная ошибка"/>
    <x:tableColumn id="9" name="Проверка"/>
    <x:tableColumn id="10" name="Рецепт"/>
  </x:tableColumns>
  <x:tableStyleInfo name="TableStyleMedium2" showRowStripes="1"/>
</x:table>
</file>

<file path=xl/tables/table26.xml><?xml version="1.0" encoding="utf-8"?>
<x:table xmlns:x="http://schemas.openxmlformats.org/spreadsheetml/2006/main" id="37" name="ArmyPipelineTable" displayName="ArmyPipelineTable" ref="A4:J13" headerRowCount="1">
  <x:tableColumns count="10">
    <x:tableColumn id="1" name="Армия/модель"/>
    <x:tableColumn id="2" name="Уровень"/>
    <x:tableColumn id="3" name="Грунт и свет"/>
    <x:tableColumn id="4" name="Главная масса"/>
    <x:tableColumn id="5" name="Вторичная масса"/>
    <x:tableColumn id="6" name="Детали"/>
    <x:tableColumn id="7" name="Weathering"/>
    <x:tableColumn id="8" name="Фокус"/>
    <x:tableColumn id="9" name="Финиш"/>
    <x:tableColumn id="10" name="Рецепт"/>
  </x:tableColumns>
  <x:tableStyleInfo name="TableStyleMedium2" showRowStripes="1"/>
</x:table>
</file>

<file path=xl/tables/table27.xml><?xml version="1.0" encoding="utf-8"?>
<x:table xmlns:x="http://schemas.openxmlformats.org/spreadsheetml/2006/main" id="38" name="TechniqueTestCardsTable" displayName="TechniqueTestCardsTable" ref="A7:R31" headerRowCount="1">
  <x:tableColumns count="18">
    <x:tableColumn id="1" name="Test ID"/>
    <x:tableColumn id="2" name="Дата"/>
    <x:tableColumn id="3" name="Recipe ID"/>
    <x:tableColumn id="4" name="Объект/ложка"/>
    <x:tableColumn id="5" name="Краска или смесь"/>
    <x:tableColumn id="6" name="Грунт"/>
    <x:tableColumn id="7" name="Метод"/>
    <x:tableColumn id="8" name="Сопло, мм"/>
    <x:tableColumn id="9" name="PSI"/>
    <x:tableColumn id="10" name="Paint:thinner"/>
    <x:tableColumn id="11" name="Укрывистость 1–5"/>
    <x:tableColumn id="12" name="Гладкость 1–5"/>
    <x:tableColumn id="13" name="Контроль/контраст 1–5"/>
    <x:tableColumn id="14" name="Средняя"/>
    <x:tableColumn id="15" name="Итог"/>
    <x:tableColumn id="16" name="Следующая коррекция"/>
    <x:tableColumn id="17" name="Фото/ссылка"/>
    <x:tableColumn id="18" name="Примечание"/>
  </x:tableColumns>
  <x:tableStyleInfo name="TableStyleMedium2" showRowStripes="1"/>
</x:table>
</file>

<file path=xl/tables/table28.xml><?xml version="1.0" encoding="utf-8"?>
<x:table xmlns:x="http://schemas.openxmlformats.org/spreadsheetml/2006/main" id="43" name="RecipeApplicationJournalTable" displayName="RecipeApplicationJournalTable" ref="A36:N52" headerRowCount="1">
  <x:tableColumns count="14">
    <x:tableColumn id="1" name="Entry ID"/>
    <x:tableColumn id="2" name="Дата"/>
    <x:tableColumn id="3" name="Модель/юнит"/>
    <x:tableColumn id="4" name="Recipe ID"/>
    <x:tableColumn id="5" name="Элемент"/>
    <x:tableColumn id="6" name="Фактические краски"/>
    <x:tableColumn id="7" name="Отклонение от рецепта"/>
    <x:tableColumn id="8" name="Время, мин"/>
    <x:tableColumn id="9" name="Качество 1–5"/>
    <x:tableColumn id="10" name="Повторяемость 1–5"/>
    <x:tableColumn id="11" name="Итог"/>
    <x:tableColumn id="12" name="Следующее изменение"/>
    <x:tableColumn id="13" name="Фото/ссылка"/>
    <x:tableColumn id="14" name="Примечание"/>
  </x:tableColumns>
  <x:tableStyleInfo name="TableStyleMedium2" showRowStripes="1"/>
</x:table>
</file>

<file path=xl/tables/table29.xml><?xml version="1.0" encoding="utf-8"?>
<x:table xmlns:x="http://schemas.openxmlformats.org/spreadsheetml/2006/main" id="40" name="SubassemblyMaskingTable" displayName="SubassemblyMaskingTable" ref="A4:J13" headerRowCount="1">
  <x:tableColumns count="10">
    <x:tableColumn id="1" name="Деталь"/>
    <x:tableColumn id="2" name="Красить отдельно?"/>
    <x:tableColumn id="3" name="Почему"/>
    <x:tableColumn id="4" name="Что завершить до сборки"/>
    <x:tableColumn id="5" name="Что оставить после сборки"/>
    <x:tableColumn id="6" name="Место склейки"/>
    <x:tableColumn id="7" name="Защита"/>
    <x:tableColumn id="8" name="Главный риск"/>
    <x:tableColumn id="9" name="Пример применения"/>
    <x:tableColumn id="10" name="Рецепт"/>
  </x:tableColumns>
  <x:tableStyleInfo name="TableStyleMedium2" showRowStripes="1"/>
</x:table>
</file>

<file path=xl/tables/table30.xml><?xml version="1.0" encoding="utf-8"?>
<x:table xmlns:x="http://schemas.openxmlformats.org/spreadsheetml/2006/main" id="41" name="DecalIntegrationTable" displayName="DecalIntegrationTable" ref="A4:J13" headerRowCount="1">
  <x:tableColumns count="10">
    <x:tableColumn id="1" name="Этап"/>
    <x:tableColumn id="2" name="Поверхность"/>
    <x:tableColumn id="3" name="Действие"/>
    <x:tableColumn id="4" name="Материал коллекции"/>
    <x:tableColumn id="5" name="Когда продолжать"/>
    <x:tableColumn id="6" name="Интеграция"/>
    <x:tableColumn id="7" name="Weathering"/>
    <x:tableColumn id="8" name="Финиш"/>
    <x:tableColumn id="9" name="Главная ошибка"/>
    <x:tableColumn id="10" name="Рецепт"/>
  </x:tableColumns>
  <x:tableStyleInfo name="TableStyleMedium2" showRowStripes="1"/>
</x:table>
</file>

<file path=xl/tables/table31.xml><?xml version="1.0" encoding="utf-8"?>
<x:table xmlns:x="http://schemas.openxmlformats.org/spreadsheetml/2006/main" id="42" name="RepairCorrectionTable" displayName="RepairCorrectionTable" ref="A4:J13" headerRowCount="1">
  <x:tableColumns count="10">
    <x:tableColumn id="1" name="Проблема"/>
    <x:tableColumn id="2" name="Первое действие"/>
    <x:tableColumn id="3" name="Восстановить базу"/>
    <x:tableColumn id="4" name="Восстановить свет"/>
    <x:tableColumn id="5" name="Объединить"/>
    <x:tableColumn id="6" name="Финиш"/>
    <x:tableColumn id="7" name="Не делать"/>
    <x:tableColumn id="8" name="Сложность"/>
    <x:tableColumn id="9" name="Связанный справочник"/>
    <x:tableColumn id="10" name="Рецепт"/>
  </x:tableColumns>
  <x:tableStyleInfo name="TableStyleMedium2" showRowStripes="1"/>
</x:table>
</file>

<file path=xl/tables/table32.xml><?xml version="1.0" encoding="utf-8"?>
<x:table xmlns:x="http://schemas.openxmlformats.org/spreadsheetml/2006/main" id="46" name="MaterialTransitionTable" displayName="MaterialTransitionTable" ref="A4:J16" headerRowCount="1">
  <x:tableColumns count="10">
    <x:tableColumn id="1" name="Переход"/>
    <x:tableColumn id="2" name="Зона A"/>
    <x:tableColumn id="3" name="Промежуточная зона"/>
    <x:tableColumn id="4" name="Зона B"/>
    <x:tableColumn id="5" name="Изменение фактуры"/>
    <x:tableColumn id="6" name="Изменение финиша"/>
    <x:tableColumn id="7" name="Общий свет"/>
    <x:tableColumn id="8" name="Главный риск"/>
    <x:tableColumn id="9" name="Материалы"/>
    <x:tableColumn id="10" name="Рецепт"/>
  </x:tableColumns>
  <x:tableStyleInfo name="TableStyleMedium2" showRowStripes="1"/>
</x:table>
</file>

<file path=xl/tables/table33.xml><?xml version="1.0" encoding="utf-8"?>
<x:table xmlns:x="http://schemas.openxmlformats.org/spreadsheetml/2006/main" id="74" name="RecipeFamilyNavigatorTable" displayName="RecipeFamilyNavigatorTable" ref="A23:F75" headerRowCount="1">
  <x:tableColumns count="6">
    <x:tableColumn id="1" name="Семейство"/>
    <x:tableColumn id="2" name="Количество"/>
    <x:tableColumn id="3" name="Минимальный ID"/>
    <x:tableColumn id="4" name="Максимальный ID"/>
    <x:tableColumn id="5" name="Диапазон"/>
    <x:tableColumn id="6" name="Основное применение"/>
  </x:tableColumns>
  <x:tableStyleInfo name="TableStyleMedium2" showRowStripes="1"/>
</x:table>
</file>

<file path=xl/tables/table34.xml><?xml version="1.0" encoding="utf-8"?>
<x:table xmlns:x="http://schemas.openxmlformats.org/spreadsheetml/2006/main" id="49" name="DemonPrinceProjectV22Table" displayName="DemonPrinceProjectV22Table" ref="A14:L34" headerRowCount="1">
  <x:tableColumns count="12">
    <x:tableColumn id="1" name="Этап"/>
    <x:tableColumn id="2" name="Зона"/>
    <x:tableColumn id="3" name="Действие"/>
    <x:tableColumn id="4" name="Recipe ID"/>
    <x:tableColumn id="5" name="Ключевые материалы"/>
    <x:tableColumn id="6" name="Критерий завершения"/>
    <x:tableColumn id="7" name="Статус"/>
    <x:tableColumn id="8" name="Фактический результат"/>
    <x:tableColumn id="9" name="Фото/ссылка"/>
    <x:tableColumn id="10" name="Риск"/>
    <x:tableColumn id="11" name="Следующий контроль"/>
    <x:tableColumn id="12" name="Сессия"/>
  </x:tableColumns>
  <x:tableStyleInfo name="TableStyleMedium2" showRowStripes="1"/>
</x:table>
</file>

<file path=xl/tables/table35.xml><?xml version="1.0" encoding="utf-8"?>
<x:table xmlns:x="http://schemas.openxmlformats.org/spreadsheetml/2006/main" id="50" name="DemonPrinceSessionsTable" displayName="DemonPrinceSessionsTable" ref="A7:M19" headerRowCount="1">
  <x:tableColumns count="13">
    <x:tableColumn id="1" name="Session"/>
    <x:tableColumn id="2" name="Цель"/>
    <x:tableColumn id="3" name="Основные действия"/>
    <x:tableColumn id="4" name="Зоны"/>
    <x:tableColumn id="5" name="Recipe ID"/>
    <x:tableColumn id="6" name="Критерий остановки"/>
    <x:tableColumn id="7" name="План, мин"/>
    <x:tableColumn id="8" name="Факт, мин"/>
    <x:tableColumn id="9" name="Зависимость"/>
    <x:tableColumn id="10" name="Статус"/>
    <x:tableColumn id="11" name="Фото до"/>
    <x:tableColumn id="12" name="Фото после"/>
    <x:tableColumn id="13" name="Заметка"/>
  </x:tableColumns>
  <x:tableStyleInfo name="TableStyleMedium2" showRowStripes="1"/>
</x:table>
</file>

<file path=xl/tables/table36.xml><?xml version="1.0" encoding="utf-8"?>
<x:table xmlns:x="http://schemas.openxmlformats.org/spreadsheetml/2006/main" id="51" name="DemonPrincePhotoControlTable" displayName="DemonPrincePhotoControlTable" ref="A7:J21" headerRowCount="1">
  <x:tableColumns count="10">
    <x:tableColumn id="1" name="Кадр"/>
    <x:tableColumn id="2" name="Когда"/>
    <x:tableColumn id="3" name="Что проверяет"/>
    <x:tableColumn id="4" name="Критерий PASS"/>
    <x:tableColumn id="5" name="Фото до"/>
    <x:tableColumn id="6" name="Фото после"/>
    <x:tableColumn id="7" name="Статус"/>
    <x:tableColumn id="8" name="Найденная проблема"/>
    <x:tableColumn id="9" name="Исправление"/>
    <x:tableColumn id="10" name="Связанный этап"/>
  </x:tableColumns>
  <x:tableStyleInfo name="TableStyleMedium2" showRowStripes="1"/>
</x:table>
</file>

<file path=xl/tables/table37.xml><?xml version="1.0" encoding="utf-8"?>
<x:table xmlns:x="http://schemas.openxmlformats.org/spreadsheetml/2006/main" id="52" name="DemonPrinceZoneMapTable" displayName="DemonPrinceZoneMapTable" ref="A4:K24" headerRowCount="1">
  <x:tableColumns count="11">
    <x:tableColumn id="1" name="Зона"/>
    <x:tableColumn id="2" name="Материал"/>
    <x:tableColumn id="3" name="Текущий этап"/>
    <x:tableColumn id="4" name="Следующий Recipe ID"/>
    <x:tableColumn id="5" name="Приоритет"/>
    <x:tableColumn id="6" name="Фокус"/>
    <x:tableColumn id="7" name="Фактура"/>
    <x:tableColumn id="8" name="Финиш"/>
    <x:tableColumn id="9" name="Статус"/>
    <x:tableColumn id="10" name="Сессия"/>
    <x:tableColumn id="11" name="Примечание"/>
  </x:tableColumns>
  <x:tableStyleInfo name="TableStyleMedium2" showRowStripes="1"/>
</x:table>
</file>

<file path=xl/tables/table38.xml><?xml version="1.0" encoding="utf-8"?>
<x:table xmlns:x="http://schemas.openxmlformats.org/spreadsheetml/2006/main" id="55" name="S01ZoneControlTable" displayName="S01ZoneControlTable" ref="A12:N18" headerRowCount="1">
  <x:tableColumns count="14">
    <x:tableColumn id="1" name="Зона"/>
    <x:tableColumn id="2" name="Recipe ID"/>
    <x:tableColumn id="3" name="Цель покрытия"/>
    <x:tableColumn id="4" name="Проходы"/>
    <x:tableColumn id="5" name="Тень 1–5"/>
    <x:tableColumn id="6" name="Цвет 1–5"/>
    <x:tableColumn id="7" name="Гладкость 1–5"/>
    <x:tableColumn id="8" name="Средняя"/>
    <x:tableColumn id="9" name="Статус зоны"/>
    <x:tableColumn id="10" name="Gate"/>
    <x:tableColumn id="11" name="Фото"/>
    <x:tableColumn id="12" name="Ошибка/коррекция"/>
    <x:tableColumn id="13" name="Начало"/>
    <x:tableColumn id="14" name="Конец"/>
  </x:tableColumns>
  <x:tableStyleInfo name="TableStyleMedium2" showRowStripes="1"/>
</x:table>
</file>

<file path=xl/tables/table39.xml><?xml version="1.0" encoding="utf-8"?>
<x:table xmlns:x="http://schemas.openxmlformats.org/spreadsheetml/2006/main" id="56" name="S01CloseChecklistTable" displayName="S01CloseChecklistTable" ref="A22:D28" headerRowCount="1">
  <x:tableColumns count="4">
    <x:tableColumn id="1" name="Проверка"/>
    <x:tableColumn id="2" name="Статус"/>
    <x:tableColumn id="3" name="Основание"/>
    <x:tableColumn id="4" name="Примечание"/>
  </x:tableColumns>
  <x:tableStyleInfo name="TableStyleMedium2" showRowStripes="1"/>
</x:table>
</file>

<file path=xl/tables/table40.xml><?xml version="1.0" encoding="utf-8"?>
<x:table xmlns:x="http://schemas.openxmlformats.org/spreadsheetml/2006/main" id="57" name="S01PaintRolesTable" displayName="S01PaintRolesTable" ref="A4:F12" headerRowCount="1">
  <x:tableColumns count="6">
    <x:tableColumn id="1" name="Роль"/>
    <x:tableColumn id="2" name="Выбранная краска"/>
    <x:tableColumn id="3" name="Бренд"/>
    <x:tableColumn id="4" name="Линейка"/>
    <x:tableColumn id="5" name="Назначение"/>
    <x:tableColumn id="6" name="Критерий выбора"/>
  </x:tableColumns>
  <x:tableStyleInfo name="TableStyleMedium2" showRowStripes="1"/>
</x:table>
</file>

<file path=xl/tables/table41.xml><?xml version="1.0" encoding="utf-8"?>
<x:table xmlns:x="http://schemas.openxmlformats.org/spreadsheetml/2006/main" id="58" name="S01MixLogTable" displayName="S01MixLogTable" ref="A15:L23" headerRowCount="1">
  <x:tableColumns count="12">
    <x:tableColumn id="1" name="Mix ID"/>
    <x:tableColumn id="2" name="Назначение"/>
    <x:tableColumn id="3" name="Краска A"/>
    <x:tableColumn id="4" name="Краска B/модификатор"/>
    <x:tableColumn id="5" name="Капли A"/>
    <x:tableColumn id="6" name="Капли B"/>
    <x:tableColumn id="7" name="Капли Medium"/>
    <x:tableColumn id="8" name="Всего"/>
    <x:tableColumn id="9" name="Доля Medium"/>
    <x:tableColumn id="10" name="Метод"/>
    <x:tableColumn id="11" name="Зоны"/>
    <x:tableColumn id="12" name="Статус"/>
  </x:tableColumns>
  <x:tableStyleInfo name="TableStyleMedium2" showRowStripes="1"/>
</x:table>
</file>

<file path=xl/tables/table42.xml><?xml version="1.0" encoding="utf-8"?>
<x:table xmlns:x="http://schemas.openxmlformats.org/spreadsheetml/2006/main" id="59" name="S01ShadowPreservationTable" displayName="S01ShadowPreservationTable" ref="A7:L13" headerRowCount="1">
  <x:tableColumns count="12">
    <x:tableColumn id="1" name="Зона"/>
    <x:tableColumn id="2" name="Контрольная тень"/>
    <x:tableColumn id="3" name="До S01, 1–5"/>
    <x:tableColumn id="4" name="После S01, 1–5"/>
    <x:tableColumn id="5" name="Изменение"/>
    <x:tableColumn id="6" name="Потеря"/>
    <x:tableColumn id="7" name="Фото/заметка"/>
    <x:tableColumn id="8" name="Gate"/>
    <x:tableColumn id="9" name="Коррекция"/>
    <x:tableColumn id="10" name="Recipe ID"/>
    <x:tableColumn id="11" name="Не трогать"/>
    <x:tableColumn id="12" name="Проверено"/>
  </x:tableColumns>
  <x:tableStyleInfo name="TableStyleMedium2" showRowStripes="1"/>
</x:table>
</file>

<file path=xl/tables/table43.xml><?xml version="1.0" encoding="utf-8"?>
<x:table xmlns:x="http://schemas.openxmlformats.org/spreadsheetml/2006/main" id="62" name="S02AnatomyControlTable" displayName="S02AnatomyControlTable" ref="A13:N25" headerRowCount="1">
  <x:tableColumns count="14">
    <x:tableColumn id="1" name="Зона"/>
    <x:tableColumn id="2" name="Recipe ID"/>
    <x:tableColumn id="3" name="Анатомическая задача"/>
    <x:tableColumn id="4" name="Контрольная тень"/>
    <x:tableColumn id="5" name="Анатомия 1–5"/>
    <x:tableColumn id="6" name="Свет 1–5"/>
    <x:tableColumn id="7" name="Мягкость 1–5"/>
    <x:tableColumn id="8" name="Средняя"/>
    <x:tableColumn id="9" name="Статус зоны"/>
    <x:tableColumn id="10" name="Gate"/>
    <x:tableColumn id="11" name="Фото"/>
    <x:tableColumn id="12" name="Коррекция"/>
    <x:tableColumn id="13" name="Начало"/>
    <x:tableColumn id="14" name="Конец"/>
  </x:tableColumns>
  <x:tableStyleInfo name="TableStyleMedium2" showRowStripes="1"/>
</x:table>
</file>

<file path=xl/tables/table44.xml><?xml version="1.0" encoding="utf-8"?>
<x:table xmlns:x="http://schemas.openxmlformats.org/spreadsheetml/2006/main" id="63" name="S02CloseChecklistTable" displayName="S02CloseChecklistTable" ref="A29:D35" headerRowCount="1">
  <x:tableColumns count="4">
    <x:tableColumn id="1" name="Проверка"/>
    <x:tableColumn id="2" name="Статус"/>
    <x:tableColumn id="3" name="Основание"/>
    <x:tableColumn id="4" name="Примечание"/>
  </x:tableColumns>
  <x:tableStyleInfo name="TableStyleMedium2" showRowStripes="1"/>
</x:table>
</file>

<file path=xl/tables/table45.xml><?xml version="1.0" encoding="utf-8"?>
<x:table xmlns:x="http://schemas.openxmlformats.org/spreadsheetml/2006/main" id="64" name="S02PaintRolesTable" displayName="S02PaintRolesTable" ref="A4:H14" headerRowCount="1">
  <x:tableColumns count="8">
    <x:tableColumn id="1" name="Роль"/>
    <x:tableColumn id="2" name="Источник S01"/>
    <x:tableColumn id="3" name="Замена"/>
    <x:tableColumn id="4" name="Эффективная краска"/>
    <x:tableColumn id="5" name="Бренд"/>
    <x:tableColumn id="6" name="Линейка"/>
    <x:tableColumn id="7" name="Назначение"/>
    <x:tableColumn id="8" name="Ограничение"/>
  </x:tableColumns>
  <x:tableStyleInfo name="TableStyleMedium2" showRowStripes="1"/>
</x:table>
</file>

<file path=xl/tables/table46.xml><?xml version="1.0" encoding="utf-8"?>
<x:table xmlns:x="http://schemas.openxmlformats.org/spreadsheetml/2006/main" id="65" name="S02MixLogTable" displayName="S02MixLogTable" ref="A17:L26" headerRowCount="1">
  <x:tableColumns count="12">
    <x:tableColumn id="1" name="Mix ID"/>
    <x:tableColumn id="2" name="Назначение"/>
    <x:tableColumn id="3" name="Краска A"/>
    <x:tableColumn id="4" name="Краска B"/>
    <x:tableColumn id="5" name="Капли A"/>
    <x:tableColumn id="6" name="Капли B"/>
    <x:tableColumn id="7" name="Medium"/>
    <x:tableColumn id="8" name="Всего"/>
    <x:tableColumn id="9" name="Доля Medium"/>
    <x:tableColumn id="10" name="Метод"/>
    <x:tableColumn id="11" name="Зона"/>
    <x:tableColumn id="12" name="Статус"/>
  </x:tableColumns>
  <x:tableStyleInfo name="TableStyleMedium2" showRowStripes="1"/>
</x:table>
</file>

<file path=xl/tables/table47.xml><?xml version="1.0" encoding="utf-8"?>
<x:table xmlns:x="http://schemas.openxmlformats.org/spreadsheetml/2006/main" id="66" name="S02AnatomyMapTable" displayName="S02AnatomyMapTable" ref="A12:K25" headerRowCount="1">
  <x:tableColumns count="11">
    <x:tableColumn id="1" name="Зона"/>
    <x:tableColumn id="2" name="Форма"/>
    <x:tableColumn id="3" name="Основная тень"/>
    <x:tableColumn id="4" name="Световая плоскость"/>
    <x:tableColumn id="5" name="Максимум"/>
    <x:tableColumn id="6" name="Связь"/>
    <x:tableColumn id="7" name="Не делать"/>
    <x:tableColumn id="8" name="Recipe ID"/>
    <x:tableColumn id="9" name="Контрольный ракурс"/>
    <x:tableColumn id="10" name="Статус"/>
    <x:tableColumn id="11" name="Примечание"/>
  </x:tableColumns>
  <x:tableStyleInfo name="TableStyleMedium2" showRowStripes="1"/>
</x:table>
</file>

<file path=xl/tables/table48.xml><?xml version="1.0" encoding="utf-8"?>
<x:table xmlns:x="http://schemas.openxmlformats.org/spreadsheetml/2006/main" id="69" name="S03TextureControlTable" displayName="S03TextureControlTable" ref="A13:N25" headerRowCount="1">
  <x:tableColumns count="14">
    <x:tableColumn id="1" name="Зона"/>
    <x:tableColumn id="2" name="Recipe ID"/>
    <x:tableColumn id="3" name="Задача"/>
    <x:tableColumn id="4" name="Плотность"/>
    <x:tableColumn id="5" name="Фактура 1–5"/>
    <x:tableColumn id="6" name="Физиология 1–5"/>
    <x:tableColumn id="7" name="Сохранение формы 1–5"/>
    <x:tableColumn id="8" name="Средняя"/>
    <x:tableColumn id="9" name="Статус зоны"/>
    <x:tableColumn id="10" name="Gate"/>
    <x:tableColumn id="11" name="Фото"/>
    <x:tableColumn id="12" name="Коррекция"/>
    <x:tableColumn id="13" name="Начало"/>
    <x:tableColumn id="14" name="Конец"/>
  </x:tableColumns>
  <x:tableStyleInfo name="TableStyleMedium2" showRowStripes="1"/>
</x:table>
</file>

<file path=xl/tables/table49.xml><?xml version="1.0" encoding="utf-8"?>
<x:table xmlns:x="http://schemas.openxmlformats.org/spreadsheetml/2006/main" id="70" name="S03CloseChecklistTable" displayName="S03CloseChecklistTable" ref="A29:D35" headerRowCount="1">
  <x:tableColumns count="4">
    <x:tableColumn id="1" name="Проверка"/>
    <x:tableColumn id="2" name="Статус"/>
    <x:tableColumn id="3" name="Основание"/>
    <x:tableColumn id="4" name="Примечание"/>
  </x:tableColumns>
  <x:tableStyleInfo name="TableStyleMedium2" showRowStripes="1"/>
</x:table>
</file>

<file path=xl/tables/table50.xml><?xml version="1.0" encoding="utf-8"?>
<x:table xmlns:x="http://schemas.openxmlformats.org/spreadsheetml/2006/main" id="71" name="S03PaintRolesTable" displayName="S03PaintRolesTable" ref="A4:H18" headerRowCount="1">
  <x:tableColumns count="8">
    <x:tableColumn id="1" name="Роль"/>
    <x:tableColumn id="2" name="Источник"/>
    <x:tableColumn id="3" name="Замена"/>
    <x:tableColumn id="4" name="Эффективная краска"/>
    <x:tableColumn id="5" name="Бренд"/>
    <x:tableColumn id="6" name="Линейка"/>
    <x:tableColumn id="7" name="Назначение"/>
    <x:tableColumn id="8" name="Ограничение"/>
  </x:tableColumns>
  <x:tableStyleInfo name="TableStyleMedium2" showRowStripes="1"/>
</x:table>
</file>

<file path=xl/tables/table51.xml><?xml version="1.0" encoding="utf-8"?>
<x:table xmlns:x="http://schemas.openxmlformats.org/spreadsheetml/2006/main" id="72" name="S03MixLogTable" displayName="S03MixLogTable" ref="A21:L33" headerRowCount="1">
  <x:tableColumns count="12">
    <x:tableColumn id="1" name="Mix ID"/>
    <x:tableColumn id="2" name="Назначение"/>
    <x:tableColumn id="3" name="Краска A"/>
    <x:tableColumn id="4" name="Краска B"/>
    <x:tableColumn id="5" name="Капли A"/>
    <x:tableColumn id="6" name="Капли B"/>
    <x:tableColumn id="7" name="Medium"/>
    <x:tableColumn id="8" name="Всего"/>
    <x:tableColumn id="9" name="Доля Medium"/>
    <x:tableColumn id="10" name="Метод"/>
    <x:tableColumn id="11" name="Зона"/>
    <x:tableColumn id="12" name="Статус"/>
  </x:tableColumns>
  <x:tableStyleInfo name="TableStyleMedium2" showRowStripes="1"/>
</x:table>
</file>

<file path=xl/tables/table52.xml><?xml version="1.0" encoding="utf-8"?>
<x:table xmlns:x="http://schemas.openxmlformats.org/spreadsheetml/2006/main" id="73" name="S03TextureMapTable" displayName="S03TextureMapTable" ref="A11:K22" headerRowCount="1">
  <x:tableColumns count="11">
    <x:tableColumn id="1" name="Зона"/>
    <x:tableColumn id="2" name="Плотность"/>
    <x:tableColumn id="3" name="Размер кластеров"/>
    <x:tableColumn id="4" name="Тёмные поры"/>
    <x:tableColumn id="5" name="Светлая фактура"/>
    <x:tableColumn id="6" name="Физиология"/>
    <x:tableColumn id="7" name="Зона покоя"/>
    <x:tableColumn id="8" name="Recipe ID"/>
    <x:tableColumn id="9" name="Контроль"/>
    <x:tableColumn id="10" name="Статус"/>
    <x:tableColumn id="11" name="Примечание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e22c7d2a704f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0a6c33e397546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.xml" Id="Ra6a7ebe91feb4b4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3.xml" Id="R9d12872b415e4d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4.xml" Id="R2fe11db6f06441a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5.xml" Id="Rc6bd72454880403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6.xml" Id="R9a89ac238099460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7.xml" Id="R333ef45d735d499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8.xml" Id="R8421ab47d001446e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9.xml" Id="Rddbf1f022d1e49f6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0.xml" Id="Rcb9e36e58d934f8e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1.xml" Id="R06b31f2dcf734b8b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12.xml" Id="R34d970a1d28f432c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13.xml" Id="R7096e55ef81548ad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14.xml" Id="Reb57bbf8b70f45a9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15.xml" Id="R2ad827b0309047e5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16.xml" Id="R51fd4cb549ad4c9c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17.xml" Id="Rd1deec502d1243bd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18.xml" Id="Re00a31e6714947ef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19.xml" Id="Rbed6242bbc544d19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20.xml" Id="R9b1b484c3d6b4d53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21.xml" Id="R2245c6bd91284333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22.xml" Id="R9b11893e6e734cec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23.xml" Id="R9eb6bc91b4674298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24.xml" Id="Re85b044a33d244a1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25.xml" Id="R4a26007c3ff94254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26.xml" Id="R6198a0f6b0e04da8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27.xml" Id="R2171dc5320524bcf" /><Relationship Type="http://schemas.openxmlformats.org/officeDocument/2006/relationships/table" Target="/xl/tables/table28.xml" Id="R1f89428d261c4aed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table" Target="/xl/tables/table29.xml" Id="R41831f4514904ba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table" Target="/xl/tables/table30.xml" Id="R01d1536f7a6e48e9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table" Target="/xl/tables/table31.xml" Id="R45f7036781e94f6d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table" Target="/xl/tables/table32.xml" Id="R6ab058ebd7134e53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table" Target="/xl/tables/table33.xml" Id="R5d18fece07f24e95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table" Target="/xl/tables/table34.xml" Id="Reee6789e05904e45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table" Target="/xl/tables/table35.xml" Id="R11f6cc2a550c47ea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table" Target="/xl/tables/table36.xml" Id="R652008d23c7042f1" /></Relationships>
</file>

<file path=xl/worksheets/_rels/sheet57.xml.rels>&#65279;<?xml version="1.0" encoding="utf-8"?><Relationships xmlns="http://schemas.openxmlformats.org/package/2006/relationships"><Relationship Type="http://schemas.openxmlformats.org/officeDocument/2006/relationships/table" Target="/xl/tables/table37.xml" Id="Rb629d3263b0a4277" /></Relationships>
</file>

<file path=xl/worksheets/_rels/sheet59.xml.rels>&#65279;<?xml version="1.0" encoding="utf-8"?><Relationships xmlns="http://schemas.openxmlformats.org/package/2006/relationships"><Relationship Type="http://schemas.openxmlformats.org/officeDocument/2006/relationships/drawing" Target="/xl/drawings/drawing2.xml" Id="R58a4507db98e4f1d" /><Relationship Type="http://schemas.openxmlformats.org/officeDocument/2006/relationships/table" Target="/xl/tables/table38.xml" Id="Rff66c893a13e4afb" /><Relationship Type="http://schemas.openxmlformats.org/officeDocument/2006/relationships/table" Target="/xl/tables/table39.xml" Id="R4a802f5bbb1b4dfb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table" Target="/xl/tables/table40.xml" Id="R6113fd3c9df8492c" /><Relationship Type="http://schemas.openxmlformats.org/officeDocument/2006/relationships/table" Target="/xl/tables/table41.xml" Id="R1426dfc895754285" /></Relationships>
</file>

<file path=xl/worksheets/_rels/sheet61.xml.rels>&#65279;<?xml version="1.0" encoding="utf-8"?><Relationships xmlns="http://schemas.openxmlformats.org/package/2006/relationships"><Relationship Type="http://schemas.openxmlformats.org/officeDocument/2006/relationships/table" Target="/xl/tables/table42.xml" Id="R957c899a9fd54ce6" /></Relationships>
</file>

<file path=xl/worksheets/_rels/sheet63.xml.rels>&#65279;<?xml version="1.0" encoding="utf-8"?><Relationships xmlns="http://schemas.openxmlformats.org/package/2006/relationships"><Relationship Type="http://schemas.openxmlformats.org/officeDocument/2006/relationships/drawing" Target="/xl/drawings/drawing3.xml" Id="R322c4da9502443db" /><Relationship Type="http://schemas.openxmlformats.org/officeDocument/2006/relationships/table" Target="/xl/tables/table43.xml" Id="R9c61d3e8cdbf4b8b" /><Relationship Type="http://schemas.openxmlformats.org/officeDocument/2006/relationships/table" Target="/xl/tables/table44.xml" Id="R729450c47f4b4bc2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table" Target="/xl/tables/table45.xml" Id="R72c3ed9a472c411a" /><Relationship Type="http://schemas.openxmlformats.org/officeDocument/2006/relationships/table" Target="/xl/tables/table46.xml" Id="R7be20624280c40bc" /></Relationships>
</file>

<file path=xl/worksheets/_rels/sheet65.xml.rels>&#65279;<?xml version="1.0" encoding="utf-8"?><Relationships xmlns="http://schemas.openxmlformats.org/package/2006/relationships"><Relationship Type="http://schemas.openxmlformats.org/officeDocument/2006/relationships/table" Target="/xl/tables/table47.xml" Id="Rfae8d261679d4f28" /></Relationships>
</file>

<file path=xl/worksheets/_rels/sheet67.xml.rels>&#65279;<?xml version="1.0" encoding="utf-8"?><Relationships xmlns="http://schemas.openxmlformats.org/package/2006/relationships"><Relationship Type="http://schemas.openxmlformats.org/officeDocument/2006/relationships/drawing" Target="/xl/drawings/drawing4.xml" Id="R4d240c0d405147bf" /><Relationship Type="http://schemas.openxmlformats.org/officeDocument/2006/relationships/table" Target="/xl/tables/table48.xml" Id="Rc25aa2ec36614df9" /><Relationship Type="http://schemas.openxmlformats.org/officeDocument/2006/relationships/table" Target="/xl/tables/table49.xml" Id="R58935eef45484943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table" Target="/xl/tables/table50.xml" Id="R00d4550d62ee4c2e" /><Relationship Type="http://schemas.openxmlformats.org/officeDocument/2006/relationships/table" Target="/xl/tables/table51.xml" Id="R2cae95044a614c23" /></Relationships>
</file>

<file path=xl/worksheets/_rels/sheet69.xml.rels>&#65279;<?xml version="1.0" encoding="utf-8"?><Relationships xmlns="http://schemas.openxmlformats.org/package/2006/relationships"><Relationship Type="http://schemas.openxmlformats.org/officeDocument/2006/relationships/table" Target="/xl/tables/table52.xml" Id="R0c6dbff4a4d847d4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4" hidden="0" customWidth="1"/>
    <x:col min="3" max="3" width="13" hidden="0" customWidth="1"/>
    <x:col min="4" max="4" width="27" hidden="0" customWidth="1"/>
    <x:col min="5" max="5" width="27" hidden="0" customWidth="1"/>
    <x:col min="6" max="6" width="23" hidden="0" customWidth="1"/>
    <x:col min="7" max="7" width="11" hidden="0" customWidth="1"/>
    <x:col min="8" max="8" width="16" hidden="0" customWidth="1"/>
    <x:col min="9" max="9" width="15" hidden="0" customWidth="1"/>
    <x:col min="10" max="10" width="12" hidden="0" customWidth="1"/>
    <x:col min="11" max="11" width="13" hidden="0" customWidth="1"/>
    <x:col min="12" max="12" width="9" hidden="0" customWidth="1"/>
    <x:col min="13" max="13" width="14" hidden="0" customWidth="1"/>
    <x:col min="14" max="14" width="37" hidden="0" customWidth="1"/>
  </x:cols>
  <x:sheetData>
    <x:row r="1" ht="28" customHeight="1">
      <x:c r="A1" s="5" t="str">
        <x:v>№</x:v>
      </x:c>
      <x:c r="B1" s="5" t="str">
        <x:v>Бренд</x:v>
      </x:c>
      <x:c r="C1" s="5" t="str">
        <x:v>Код</x:v>
      </x:c>
      <x:c r="D1" s="5" t="str">
        <x:v>Название</x:v>
      </x:c>
      <x:c r="E1" s="5" t="str">
        <x:v>Линейка</x:v>
      </x:c>
      <x:c r="F1" s="5" t="str">
        <x:v>Цветовая группа</x:v>
      </x:c>
      <x:c r="G1" s="5" t="str">
        <x:v>Количество</x:v>
      </x:c>
      <x:c r="H1" s="5" t="str">
        <x:v>Состояние</x:v>
      </x:c>
      <x:c r="I1" s="5" t="str">
        <x:v>Остаток</x:v>
      </x:c>
      <x:c r="J1" s="5" t="str">
        <x:v>К покупке</x:v>
      </x:c>
      <x:c r="K1" s="5" t="str">
        <x:v>Фото</x:v>
      </x:c>
      <x:c r="L1" s="5" t="str">
        <x:v>Позиция</x:v>
      </x:c>
      <x:c r="M1" s="5" t="str">
        <x:v>Повтор</x:v>
      </x:c>
      <x:c r="N1" s="5" t="str">
        <x:v>Комментарий</x:v>
      </x:c>
    </x:row>
    <x:row r="2">
      <x:c r="A2" s="14" t="n">
        <x:v>1</x:v>
      </x:c>
      <x:c r="B2" s="16" t="str">
        <x:v>Citadel</x:v>
      </x:c>
      <x:c r="C2" s="14" t="str"/>
      <x:c r="D2" s="12" t="str">
        <x:v>Fire Dragon Bright</x:v>
      </x:c>
      <x:c r="E2" s="14" t="str">
        <x:v>Layer</x:v>
      </x:c>
      <x:c r="F2" s="14" t="str">
        <x:v>Оранжевый</x:v>
      </x:c>
      <x:c r="G2" s="14" t="n">
        <x:v>1</x:v>
      </x:c>
      <x:c r="H2" s="14" t="str">
        <x:v>Не проверено</x:v>
      </x:c>
      <x:c r="I2" s="14" t="str">
        <x:v>Не проверено</x:v>
      </x:c>
      <x:c r="J2" s="14" t="str">
        <x:f>IF(OR(H2="Засохла",H2="Пустая",I2="&lt;25%"),"Да","")</x:f>
      </x:c>
      <x:c r="K2" s="14" t="str">
        <x:v>IMG_6703</x:v>
      </x:c>
      <x:c r="L2" s="14" t="n">
        <x:v>1</x:v>
      </x:c>
      <x:c r="M2" s="14" t="str"/>
      <x:c r="N2" s="12" t="str"/>
    </x:row>
    <x:row r="3">
      <x:c r="A3" s="14" t="n">
        <x:v>2</x:v>
      </x:c>
      <x:c r="B3" s="16" t="str">
        <x:v>Citadel</x:v>
      </x:c>
      <x:c r="C3" s="14" t="str"/>
      <x:c r="D3" s="12" t="str">
        <x:v>Wild Rider Red</x:v>
      </x:c>
      <x:c r="E3" s="14" t="str">
        <x:v>Layer</x:v>
      </x:c>
      <x:c r="F3" s="14" t="str">
        <x:v>Красно-оранжевый</x:v>
      </x:c>
      <x:c r="G3" s="14" t="n">
        <x:v>1</x:v>
      </x:c>
      <x:c r="H3" s="14" t="str">
        <x:v>Не проверено</x:v>
      </x:c>
      <x:c r="I3" s="14" t="str">
        <x:v>Не проверено</x:v>
      </x:c>
      <x:c r="J3" s="14" t="str">
        <x:f>IF(OR(H3="Засохла",H3="Пустая",I3="&lt;25%"),"Да","")</x:f>
      </x:c>
      <x:c r="K3" s="14" t="str">
        <x:v>IMG_6703</x:v>
      </x:c>
      <x:c r="L3" s="14" t="n">
        <x:v>2</x:v>
      </x:c>
      <x:c r="M3" s="14" t="str"/>
      <x:c r="N3" s="12" t="str"/>
    </x:row>
    <x:row r="4">
      <x:c r="A4" s="14" t="n">
        <x:v>3</x:v>
      </x:c>
      <x:c r="B4" s="16" t="str">
        <x:v>Citadel</x:v>
      </x:c>
      <x:c r="C4" s="14" t="str"/>
      <x:c r="D4" s="12" t="str">
        <x:v>Evil Sunz Scarlet</x:v>
      </x:c>
      <x:c r="E4" s="14" t="str">
        <x:v>Layer</x:v>
      </x:c>
      <x:c r="F4" s="14" t="str">
        <x:v>Красный</x:v>
      </x:c>
      <x:c r="G4" s="14" t="n">
        <x:v>1</x:v>
      </x:c>
      <x:c r="H4" s="14" t="str">
        <x:v>Не проверено</x:v>
      </x:c>
      <x:c r="I4" s="14" t="str">
        <x:v>Не проверено</x:v>
      </x:c>
      <x:c r="J4" s="14" t="str">
        <x:f>IF(OR(H4="Засохла",H4="Пустая",I4="&lt;25%"),"Да","")</x:f>
      </x:c>
      <x:c r="K4" s="14" t="str">
        <x:v>IMG_6703</x:v>
      </x:c>
      <x:c r="L4" s="14" t="n">
        <x:v>3</x:v>
      </x:c>
      <x:c r="M4" s="14" t="str"/>
      <x:c r="N4" s="12" t="str"/>
    </x:row>
    <x:row r="5">
      <x:c r="A5" s="14" t="n">
        <x:v>4</x:v>
      </x:c>
      <x:c r="B5" s="16" t="str">
        <x:v>Citadel</x:v>
      </x:c>
      <x:c r="C5" s="14" t="str"/>
      <x:c r="D5" s="12" t="str">
        <x:v>Wazdakka Red</x:v>
      </x:c>
      <x:c r="E5" s="14" t="str">
        <x:v>Layer</x:v>
      </x:c>
      <x:c r="F5" s="14" t="str">
        <x:v>Красный</x:v>
      </x:c>
      <x:c r="G5" s="14" t="n">
        <x:v>1</x:v>
      </x:c>
      <x:c r="H5" s="14" t="str">
        <x:v>Не проверено</x:v>
      </x:c>
      <x:c r="I5" s="14" t="str">
        <x:v>Не проверено</x:v>
      </x:c>
      <x:c r="J5" s="14" t="str">
        <x:f>IF(OR(H5="Засохла",H5="Пустая",I5="&lt;25%"),"Да","")</x:f>
      </x:c>
      <x:c r="K5" s="14" t="str">
        <x:v>IMG_6703</x:v>
      </x:c>
      <x:c r="L5" s="14" t="n">
        <x:v>4</x:v>
      </x:c>
      <x:c r="M5" s="14" t="str"/>
      <x:c r="N5" s="12" t="str"/>
    </x:row>
    <x:row r="6">
      <x:c r="A6" s="14" t="n">
        <x:v>5</x:v>
      </x:c>
      <x:c r="B6" s="16" t="str">
        <x:v>Citadel</x:v>
      </x:c>
      <x:c r="C6" s="14" t="str"/>
      <x:c r="D6" s="12" t="str">
        <x:v>Mephiston Red</x:v>
      </x:c>
      <x:c r="E6" s="14" t="str">
        <x:v>Air</x:v>
      </x:c>
      <x:c r="F6" s="14" t="str">
        <x:v>Красный</x:v>
      </x:c>
      <x:c r="G6" s="14" t="n">
        <x:v>1</x:v>
      </x:c>
      <x:c r="H6" s="14" t="str">
        <x:v>Не проверено</x:v>
      </x:c>
      <x:c r="I6" s="14" t="str">
        <x:v>Не проверено</x:v>
      </x:c>
      <x:c r="J6" s="14" t="str">
        <x:f>IF(OR(H6="Засохла",H6="Пустая",I6="&lt;25%"),"Да","")</x:f>
      </x:c>
      <x:c r="K6" s="14" t="str">
        <x:v>IMG_6703</x:v>
      </x:c>
      <x:c r="L6" s="14" t="n">
        <x:v>5</x:v>
      </x:c>
      <x:c r="M6" s="14" t="str"/>
      <x:c r="N6" s="12" t="str"/>
    </x:row>
    <x:row r="7">
      <x:c r="A7" s="14" t="n">
        <x:v>6</x:v>
      </x:c>
      <x:c r="B7" s="16" t="str">
        <x:v>Citadel</x:v>
      </x:c>
      <x:c r="C7" s="14" t="str"/>
      <x:c r="D7" s="12" t="str">
        <x:v>Word Bearers Red</x:v>
      </x:c>
      <x:c r="E7" s="14" t="str">
        <x:v>Layer</x:v>
      </x:c>
      <x:c r="F7" s="14" t="str">
        <x:v>Тёмно-красный</x:v>
      </x:c>
      <x:c r="G7" s="14" t="n">
        <x:v>1</x:v>
      </x:c>
      <x:c r="H7" s="14" t="str">
        <x:v>Не проверено</x:v>
      </x:c>
      <x:c r="I7" s="14" t="str">
        <x:v>Не проверено</x:v>
      </x:c>
      <x:c r="J7" s="14" t="str">
        <x:f>IF(OR(H7="Засохла",H7="Пустая",I7="&lt;25%"),"Да","")</x:f>
      </x:c>
      <x:c r="K7" s="14" t="str">
        <x:v>IMG_6703</x:v>
      </x:c>
      <x:c r="L7" s="14" t="n">
        <x:v>6</x:v>
      </x:c>
      <x:c r="M7" s="14" t="str"/>
      <x:c r="N7" s="12" t="str"/>
    </x:row>
    <x:row r="8">
      <x:c r="A8" s="14" t="n">
        <x:v>7</x:v>
      </x:c>
      <x:c r="B8" s="16" t="str">
        <x:v>Citadel</x:v>
      </x:c>
      <x:c r="C8" s="14" t="str"/>
      <x:c r="D8" s="12" t="str">
        <x:v>Fenrisian Grey</x:v>
      </x:c>
      <x:c r="E8" s="14" t="str">
        <x:v>Layer</x:v>
      </x:c>
      <x:c r="F8" s="14" t="str">
        <x:v>Серо-голубой</x:v>
      </x:c>
      <x:c r="G8" s="14" t="n">
        <x:v>1</x:v>
      </x:c>
      <x:c r="H8" s="14" t="str">
        <x:v>Не проверено</x:v>
      </x:c>
      <x:c r="I8" s="14" t="str">
        <x:v>Не проверено</x:v>
      </x:c>
      <x:c r="J8" s="14" t="str">
        <x:f>IF(OR(H8="Засохла",H8="Пустая",I8="&lt;25%"),"Да","")</x:f>
      </x:c>
      <x:c r="K8" s="14" t="str">
        <x:v>IMG_6703</x:v>
      </x:c>
      <x:c r="L8" s="14" t="n">
        <x:v>7</x:v>
      </x:c>
      <x:c r="M8" s="14" t="str"/>
      <x:c r="N8" s="12" t="str"/>
    </x:row>
    <x:row r="9">
      <x:c r="A9" s="14" t="n">
        <x:v>8</x:v>
      </x:c>
      <x:c r="B9" s="16" t="str">
        <x:v>Citadel</x:v>
      </x:c>
      <x:c r="C9" s="14" t="str"/>
      <x:c r="D9" s="12" t="str">
        <x:v>Incubi Darkness</x:v>
      </x:c>
      <x:c r="E9" s="14" t="str">
        <x:v>Base</x:v>
      </x:c>
      <x:c r="F9" s="14" t="str">
        <x:v>Сине-зелёный</x:v>
      </x:c>
      <x:c r="G9" s="14" t="n">
        <x:v>1</x:v>
      </x:c>
      <x:c r="H9" s="14" t="str">
        <x:v>Не проверено</x:v>
      </x:c>
      <x:c r="I9" s="14" t="str">
        <x:v>Не проверено</x:v>
      </x:c>
      <x:c r="J9" s="14" t="str">
        <x:f>IF(OR(H9="Засохла",H9="Пустая",I9="&lt;25%"),"Да","")</x:f>
      </x:c>
      <x:c r="K9" s="14" t="str">
        <x:v>IMG_6704</x:v>
      </x:c>
      <x:c r="L9" s="14" t="n">
        <x:v>1</x:v>
      </x:c>
      <x:c r="M9" s="14" t="str"/>
      <x:c r="N9" s="12" t="str"/>
    </x:row>
    <x:row r="10">
      <x:c r="A10" s="14" t="n">
        <x:v>9</x:v>
      </x:c>
      <x:c r="B10" s="16" t="str">
        <x:v>Citadel</x:v>
      </x:c>
      <x:c r="C10" s="14" t="str"/>
      <x:c r="D10" s="12" t="str">
        <x:v>Kabalite Green</x:v>
      </x:c>
      <x:c r="E10" s="14" t="str">
        <x:v>Layer</x:v>
      </x:c>
      <x:c r="F10" s="14" t="str">
        <x:v>Бирюзовый</x:v>
      </x:c>
      <x:c r="G10" s="14" t="n">
        <x:v>1</x:v>
      </x:c>
      <x:c r="H10" s="14" t="str">
        <x:v>Не проверено</x:v>
      </x:c>
      <x:c r="I10" s="14" t="str">
        <x:v>Не проверено</x:v>
      </x:c>
      <x:c r="J10" s="14" t="str">
        <x:f>IF(OR(H10="Засохла",H10="Пустая",I10="&lt;25%"),"Да","")</x:f>
      </x:c>
      <x:c r="K10" s="14" t="str">
        <x:v>IMG_6704</x:v>
      </x:c>
      <x:c r="L10" s="14" t="n">
        <x:v>2</x:v>
      </x:c>
      <x:c r="M10" s="14" t="str"/>
      <x:c r="N10" s="12" t="str"/>
    </x:row>
    <x:row r="11">
      <x:c r="A11" s="14" t="n">
        <x:v>10</x:v>
      </x:c>
      <x:c r="B11" s="16" t="str">
        <x:v>Citadel</x:v>
      </x:c>
      <x:c r="C11" s="14" t="str"/>
      <x:c r="D11" s="12" t="str">
        <x:v>Sybarite Green</x:v>
      </x:c>
      <x:c r="E11" s="14" t="str">
        <x:v>Layer</x:v>
      </x:c>
      <x:c r="F11" s="14" t="str">
        <x:v>Зелёный</x:v>
      </x:c>
      <x:c r="G11" s="14" t="n">
        <x:v>1</x:v>
      </x:c>
      <x:c r="H11" s="14" t="str">
        <x:v>Не проверено</x:v>
      </x:c>
      <x:c r="I11" s="14" t="str">
        <x:v>Не проверено</x:v>
      </x:c>
      <x:c r="J11" s="14" t="str">
        <x:f>IF(OR(H11="Засохла",H11="Пустая",I11="&lt;25%"),"Да","")</x:f>
      </x:c>
      <x:c r="K11" s="14" t="str">
        <x:v>IMG_6704</x:v>
      </x:c>
      <x:c r="L11" s="14" t="n">
        <x:v>3</x:v>
      </x:c>
      <x:c r="M11" s="14" t="str"/>
      <x:c r="N11" s="12" t="str"/>
    </x:row>
    <x:row r="12">
      <x:c r="A12" s="14" t="n">
        <x:v>11</x:v>
      </x:c>
      <x:c r="B12" s="16" t="str">
        <x:v>Citadel</x:v>
      </x:c>
      <x:c r="C12" s="14" t="str"/>
      <x:c r="D12" s="12" t="str">
        <x:v>Moot Green</x:v>
      </x:c>
      <x:c r="E12" s="14" t="str">
        <x:v>Layer</x:v>
      </x:c>
      <x:c r="F12" s="14" t="str">
        <x:v>Зелёный</x:v>
      </x:c>
      <x:c r="G12" s="14" t="n">
        <x:v>1</x:v>
      </x:c>
      <x:c r="H12" s="14" t="str">
        <x:v>Не проверено</x:v>
      </x:c>
      <x:c r="I12" s="14" t="str">
        <x:v>Не проверено</x:v>
      </x:c>
      <x:c r="J12" s="14" t="str">
        <x:f>IF(OR(H12="Засохла",H12="Пустая",I12="&lt;25%"),"Да","")</x:f>
      </x:c>
      <x:c r="K12" s="14" t="str">
        <x:v>IMG_6704</x:v>
      </x:c>
      <x:c r="L12" s="14" t="n">
        <x:v>4</x:v>
      </x:c>
      <x:c r="M12" s="14" t="str"/>
      <x:c r="N12" s="12" t="str"/>
    </x:row>
    <x:row r="13">
      <x:c r="A13" s="14" t="n">
        <x:v>12</x:v>
      </x:c>
      <x:c r="B13" s="16" t="str">
        <x:v>Citadel</x:v>
      </x:c>
      <x:c r="C13" s="14" t="str"/>
      <x:c r="D13" s="12" t="str">
        <x:v>Pink Horror</x:v>
      </x:c>
      <x:c r="E13" s="14" t="str">
        <x:v>Layer</x:v>
      </x:c>
      <x:c r="F13" s="14" t="str">
        <x:v>Розовый</x:v>
      </x:c>
      <x:c r="G13" s="14" t="n">
        <x:v>1</x:v>
      </x:c>
      <x:c r="H13" s="14" t="str">
        <x:v>Не проверено</x:v>
      </x:c>
      <x:c r="I13" s="14" t="str">
        <x:v>Не проверено</x:v>
      </x:c>
      <x:c r="J13" s="14" t="str">
        <x:f>IF(OR(H13="Засохла",H13="Пустая",I13="&lt;25%"),"Да","")</x:f>
      </x:c>
      <x:c r="K13" s="14" t="str">
        <x:v>IMG_6704</x:v>
      </x:c>
      <x:c r="L13" s="14" t="n">
        <x:v>5</x:v>
      </x:c>
      <x:c r="M13" s="14" t="str"/>
      <x:c r="N13" s="12" t="str"/>
    </x:row>
    <x:row r="14">
      <x:c r="A14" s="14" t="n">
        <x:v>13</x:v>
      </x:c>
      <x:c r="B14" s="16" t="str">
        <x:v>Citadel</x:v>
      </x:c>
      <x:c r="C14" s="14" t="str"/>
      <x:c r="D14" s="12" t="str">
        <x:v>Emperor's Children</x:v>
      </x:c>
      <x:c r="E14" s="14" t="str">
        <x:v>Layer</x:v>
      </x:c>
      <x:c r="F14" s="14" t="str">
        <x:v>Розовый</x:v>
      </x:c>
      <x:c r="G14" s="14" t="n">
        <x:v>1</x:v>
      </x:c>
      <x:c r="H14" s="14" t="str">
        <x:v>Не проверено</x:v>
      </x:c>
      <x:c r="I14" s="14" t="str">
        <x:v>Не проверено</x:v>
      </x:c>
      <x:c r="J14" s="14" t="str">
        <x:f>IF(OR(H14="Засохла",H14="Пустая",I14="&lt;25%"),"Да","")</x:f>
      </x:c>
      <x:c r="K14" s="14" t="str">
        <x:v>IMG_6704</x:v>
      </x:c>
      <x:c r="L14" s="14" t="n">
        <x:v>6</x:v>
      </x:c>
      <x:c r="M14" s="14" t="str"/>
      <x:c r="N14" s="12" t="str"/>
    </x:row>
    <x:row r="15">
      <x:c r="A15" s="14" t="n">
        <x:v>14</x:v>
      </x:c>
      <x:c r="B15" s="16" t="str">
        <x:v>Citadel</x:v>
      </x:c>
      <x:c r="C15" s="14" t="str"/>
      <x:c r="D15" s="12" t="str">
        <x:v>Fulgrim Pink</x:v>
      </x:c>
      <x:c r="E15" s="14" t="str">
        <x:v>Layer</x:v>
      </x:c>
      <x:c r="F15" s="14" t="str">
        <x:v>Светло-розовый</x:v>
      </x:c>
      <x:c r="G15" s="14" t="n">
        <x:v>1</x:v>
      </x:c>
      <x:c r="H15" s="14" t="str">
        <x:v>Не проверено</x:v>
      </x:c>
      <x:c r="I15" s="14" t="str">
        <x:v>Не проверено</x:v>
      </x:c>
      <x:c r="J15" s="14" t="str">
        <x:f>IF(OR(H15="Засохла",H15="Пустая",I15="&lt;25%"),"Да","")</x:f>
      </x:c>
      <x:c r="K15" s="14" t="str">
        <x:v>IMG_6704</x:v>
      </x:c>
      <x:c r="L15" s="14" t="n">
        <x:v>7</x:v>
      </x:c>
      <x:c r="M15" s="14" t="str"/>
      <x:c r="N15" s="12" t="str"/>
    </x:row>
    <x:row r="16">
      <x:c r="A16" s="14" t="n">
        <x:v>15</x:v>
      </x:c>
      <x:c r="B16" s="16" t="str">
        <x:v>Citadel</x:v>
      </x:c>
      <x:c r="C16" s="14" t="str"/>
      <x:c r="D16" s="12" t="str">
        <x:v>Thousand Sons Blue</x:v>
      </x:c>
      <x:c r="E16" s="14" t="str">
        <x:v>Base</x:v>
      </x:c>
      <x:c r="F16" s="14" t="str">
        <x:v>Синий</x:v>
      </x:c>
      <x:c r="G16" s="14" t="n">
        <x:v>1</x:v>
      </x:c>
      <x:c r="H16" s="14" t="str">
        <x:v>Не проверено</x:v>
      </x:c>
      <x:c r="I16" s="14" t="str">
        <x:v>Не проверено</x:v>
      </x:c>
      <x:c r="J16" s="14" t="str">
        <x:f>IF(OR(H16="Засохла",H16="Пустая",I16="&lt;25%"),"Да","")</x:f>
      </x:c>
      <x:c r="K16" s="14" t="str">
        <x:v>IMG_6705</x:v>
      </x:c>
      <x:c r="L16" s="14" t="n">
        <x:v>1</x:v>
      </x:c>
      <x:c r="M16" s="14" t="str"/>
      <x:c r="N16" s="12" t="str"/>
    </x:row>
    <x:row r="17">
      <x:c r="A17" s="14" t="n">
        <x:v>16</x:v>
      </x:c>
      <x:c r="B17" s="16" t="str">
        <x:v>Citadel</x:v>
      </x:c>
      <x:c r="C17" s="14" t="str"/>
      <x:c r="D17" s="12" t="str">
        <x:v>Sotek Green</x:v>
      </x:c>
      <x:c r="E17" s="14" t="str">
        <x:v>Layer</x:v>
      </x:c>
      <x:c r="F17" s="14" t="str">
        <x:v>Сине-зелёный</x:v>
      </x:c>
      <x:c r="G17" s="14" t="n">
        <x:v>1</x:v>
      </x:c>
      <x:c r="H17" s="14" t="str">
        <x:v>Не проверено</x:v>
      </x:c>
      <x:c r="I17" s="14" t="str">
        <x:v>Не проверено</x:v>
      </x:c>
      <x:c r="J17" s="14" t="str">
        <x:f>IF(OR(H17="Засохла",H17="Пустая",I17="&lt;25%"),"Да","")</x:f>
      </x:c>
      <x:c r="K17" s="14" t="str">
        <x:v>IMG_6705</x:v>
      </x:c>
      <x:c r="L17" s="14" t="n">
        <x:v>2</x:v>
      </x:c>
      <x:c r="M17" s="14" t="str"/>
      <x:c r="N17" s="12" t="str"/>
    </x:row>
    <x:row r="18">
      <x:c r="A18" s="14" t="n">
        <x:v>17</x:v>
      </x:c>
      <x:c r="B18" s="16" t="str">
        <x:v>Citadel</x:v>
      </x:c>
      <x:c r="C18" s="14" t="str"/>
      <x:c r="D18" s="12" t="str">
        <x:v>Ahriman Blue</x:v>
      </x:c>
      <x:c r="E18" s="14" t="str">
        <x:v>Layer</x:v>
      </x:c>
      <x:c r="F18" s="14" t="str">
        <x:v>Голубой</x:v>
      </x:c>
      <x:c r="G18" s="14" t="n">
        <x:v>1</x:v>
      </x:c>
      <x:c r="H18" s="14" t="str">
        <x:v>Не проверено</x:v>
      </x:c>
      <x:c r="I18" s="14" t="str">
        <x:v>Не проверено</x:v>
      </x:c>
      <x:c r="J18" s="14" t="str">
        <x:f>IF(OR(H18="Засохла",H18="Пустая",I18="&lt;25%"),"Да","")</x:f>
      </x:c>
      <x:c r="K18" s="14" t="str">
        <x:v>IMG_6705</x:v>
      </x:c>
      <x:c r="L18" s="14" t="n">
        <x:v>3</x:v>
      </x:c>
      <x:c r="M18" s="14" t="str"/>
      <x:c r="N18" s="12" t="str"/>
    </x:row>
    <x:row r="19">
      <x:c r="A19" s="14" t="n">
        <x:v>18</x:v>
      </x:c>
      <x:c r="B19" s="16" t="str">
        <x:v>Citadel</x:v>
      </x:c>
      <x:c r="C19" s="14" t="str"/>
      <x:c r="D19" s="12" t="str">
        <x:v>Lothern Blue</x:v>
      </x:c>
      <x:c r="E19" s="14" t="str">
        <x:v>Layer</x:v>
      </x:c>
      <x:c r="F19" s="14" t="str">
        <x:v>Голубой</x:v>
      </x:c>
      <x:c r="G19" s="14" t="n">
        <x:v>1</x:v>
      </x:c>
      <x:c r="H19" s="14" t="str">
        <x:v>Не проверено</x:v>
      </x:c>
      <x:c r="I19" s="14" t="str">
        <x:v>Не проверено</x:v>
      </x:c>
      <x:c r="J19" s="14" t="str">
        <x:f>IF(OR(H19="Засохла",H19="Пустая",I19="&lt;25%"),"Да","")</x:f>
      </x:c>
      <x:c r="K19" s="14" t="str">
        <x:v>IMG_6705</x:v>
      </x:c>
      <x:c r="L19" s="14" t="n">
        <x:v>4</x:v>
      </x:c>
      <x:c r="M19" s="14" t="str"/>
      <x:c r="N19" s="12" t="str"/>
    </x:row>
    <x:row r="20">
      <x:c r="A20" s="14" t="n">
        <x:v>19</x:v>
      </x:c>
      <x:c r="B20" s="16" t="str">
        <x:v>Citadel</x:v>
      </x:c>
      <x:c r="C20" s="14" t="str"/>
      <x:c r="D20" s="12" t="str">
        <x:v>Temple Guard Blue</x:v>
      </x:c>
      <x:c r="E20" s="14" t="str">
        <x:v>Layer</x:v>
      </x:c>
      <x:c r="F20" s="14" t="str">
        <x:v>Бирюзовый</x:v>
      </x:c>
      <x:c r="G20" s="14" t="n">
        <x:v>1</x:v>
      </x:c>
      <x:c r="H20" s="14" t="str">
        <x:v>Не проверено</x:v>
      </x:c>
      <x:c r="I20" s="14" t="str">
        <x:v>Не проверено</x:v>
      </x:c>
      <x:c r="J20" s="14" t="str">
        <x:f>IF(OR(H20="Засохла",H20="Пустая",I20="&lt;25%"),"Да","")</x:f>
      </x:c>
      <x:c r="K20" s="14" t="str">
        <x:v>IMG_6705</x:v>
      </x:c>
      <x:c r="L20" s="14" t="n">
        <x:v>5</x:v>
      </x:c>
      <x:c r="M20" s="14" t="str"/>
      <x:c r="N20" s="12" t="str"/>
    </x:row>
    <x:row r="21">
      <x:c r="A21" s="14" t="n">
        <x:v>20</x:v>
      </x:c>
      <x:c r="B21" s="16" t="str">
        <x:v>Citadel</x:v>
      </x:c>
      <x:c r="C21" s="14" t="str"/>
      <x:c r="D21" s="12" t="str">
        <x:v>Teclis Blue</x:v>
      </x:c>
      <x:c r="E21" s="14" t="str">
        <x:v>Layer</x:v>
      </x:c>
      <x:c r="F21" s="14" t="str">
        <x:v>Синий</x:v>
      </x:c>
      <x:c r="G21" s="14" t="n">
        <x:v>1</x:v>
      </x:c>
      <x:c r="H21" s="14" t="str">
        <x:v>Не проверено</x:v>
      </x:c>
      <x:c r="I21" s="14" t="str">
        <x:v>Не проверено</x:v>
      </x:c>
      <x:c r="J21" s="14" t="str">
        <x:f>IF(OR(H21="Засохла",H21="Пустая",I21="&lt;25%"),"Да","")</x:f>
      </x:c>
      <x:c r="K21" s="14" t="str">
        <x:v>IMG_6705</x:v>
      </x:c>
      <x:c r="L21" s="14" t="n">
        <x:v>6</x:v>
      </x:c>
      <x:c r="M21" s="14" t="str"/>
      <x:c r="N21" s="12" t="str"/>
    </x:row>
    <x:row r="22">
      <x:c r="A22" s="14" t="n">
        <x:v>21</x:v>
      </x:c>
      <x:c r="B22" s="16" t="str">
        <x:v>Citadel</x:v>
      </x:c>
      <x:c r="C22" s="14" t="str"/>
      <x:c r="D22" s="12" t="str">
        <x:v>Averland Sunset</x:v>
      </x:c>
      <x:c r="E22" s="14" t="str">
        <x:v>Air</x:v>
      </x:c>
      <x:c r="F22" s="14" t="str">
        <x:v>Жёлтый</x:v>
      </x:c>
      <x:c r="G22" s="14" t="n">
        <x:v>1</x:v>
      </x:c>
      <x:c r="H22" s="14" t="str">
        <x:v>Не проверено</x:v>
      </x:c>
      <x:c r="I22" s="14" t="str">
        <x:v>Не проверено</x:v>
      </x:c>
      <x:c r="J22" s="14" t="str">
        <x:f>IF(OR(H22="Засохла",H22="Пустая",I22="&lt;25%"),"Да","")</x:f>
      </x:c>
      <x:c r="K22" s="14" t="str">
        <x:v>IMG_6705</x:v>
      </x:c>
      <x:c r="L22" s="14" t="n">
        <x:v>7</x:v>
      </x:c>
      <x:c r="M22" s="14" t="str"/>
      <x:c r="N22" s="12" t="str"/>
    </x:row>
    <x:row r="23">
      <x:c r="A23" s="14" t="n">
        <x:v>22</x:v>
      </x:c>
      <x:c r="B23" s="16" t="str">
        <x:v>Citadel</x:v>
      </x:c>
      <x:c r="C23" s="14" t="str"/>
      <x:c r="D23" s="12" t="str">
        <x:v>Phoenician Purple</x:v>
      </x:c>
      <x:c r="E23" s="14" t="str">
        <x:v>Base</x:v>
      </x:c>
      <x:c r="F23" s="14" t="str">
        <x:v>Фиолетовый</x:v>
      </x:c>
      <x:c r="G23" s="14" t="n">
        <x:v>1</x:v>
      </x:c>
      <x:c r="H23" s="14" t="str">
        <x:v>Не проверено</x:v>
      </x:c>
      <x:c r="I23" s="14" t="str">
        <x:v>Не проверено</x:v>
      </x:c>
      <x:c r="J23" s="14" t="str">
        <x:f>IF(OR(H23="Засохла",H23="Пустая",I23="&lt;25%"),"Да","")</x:f>
      </x:c>
      <x:c r="K23" s="14" t="str">
        <x:v>IMG_6706</x:v>
      </x:c>
      <x:c r="L23" s="14" t="n">
        <x:v>1</x:v>
      </x:c>
      <x:c r="M23" s="14" t="str"/>
      <x:c r="N23" s="12" t="str"/>
    </x:row>
    <x:row r="24">
      <x:c r="A24" s="14" t="n">
        <x:v>23</x:v>
      </x:c>
      <x:c r="B24" s="16" t="str">
        <x:v>Citadel</x:v>
      </x:c>
      <x:c r="C24" s="14" t="str"/>
      <x:c r="D24" s="12" t="str">
        <x:v>Genestealer Purple</x:v>
      </x:c>
      <x:c r="E24" s="14" t="str">
        <x:v>Layer</x:v>
      </x:c>
      <x:c r="F24" s="14" t="str">
        <x:v>Фиолетовый</x:v>
      </x:c>
      <x:c r="G24" s="14" t="n">
        <x:v>1</x:v>
      </x:c>
      <x:c r="H24" s="14" t="str">
        <x:v>Не проверено</x:v>
      </x:c>
      <x:c r="I24" s="14" t="str">
        <x:v>Не проверено</x:v>
      </x:c>
      <x:c r="J24" s="14" t="str">
        <x:f>IF(OR(H24="Засохла",H24="Пустая",I24="&lt;25%"),"Да","")</x:f>
      </x:c>
      <x:c r="K24" s="14" t="str">
        <x:v>IMG_6706</x:v>
      </x:c>
      <x:c r="L24" s="14" t="n">
        <x:v>2</x:v>
      </x:c>
      <x:c r="M24" s="14" t="str"/>
      <x:c r="N24" s="12" t="str"/>
    </x:row>
    <x:row r="25">
      <x:c r="A25" s="14" t="n">
        <x:v>24</x:v>
      </x:c>
      <x:c r="B25" s="16" t="str">
        <x:v>Citadel</x:v>
      </x:c>
      <x:c r="C25" s="14" t="str"/>
      <x:c r="D25" s="12" t="str">
        <x:v>Nihilakh Oxide</x:v>
      </x:c>
      <x:c r="E25" s="14" t="str">
        <x:v>Technical</x:v>
      </x:c>
      <x:c r="F25" s="14" t="str">
        <x:v>Бирюзовый</x:v>
      </x:c>
      <x:c r="G25" s="14" t="n">
        <x:v>1</x:v>
      </x:c>
      <x:c r="H25" s="14" t="str">
        <x:v>Не проверено</x:v>
      </x:c>
      <x:c r="I25" s="14" t="str">
        <x:v>Не проверено</x:v>
      </x:c>
      <x:c r="J25" s="14" t="str">
        <x:f>IF(OR(H25="Засохла",H25="Пустая",I25="&lt;25%"),"Да","")</x:f>
      </x:c>
      <x:c r="K25" s="14" t="str">
        <x:v>IMG_6706</x:v>
      </x:c>
      <x:c r="L25" s="14" t="n">
        <x:v>3</x:v>
      </x:c>
      <x:c r="M25" s="14" t="str"/>
      <x:c r="N25" s="12" t="str"/>
    </x:row>
    <x:row r="26">
      <x:c r="A26" s="14" t="n">
        <x:v>25</x:v>
      </x:c>
      <x:c r="B26" s="16" t="str">
        <x:v>Citadel</x:v>
      </x:c>
      <x:c r="C26" s="14" t="str"/>
      <x:c r="D26" s="12" t="str">
        <x:v>Baharroth Blue</x:v>
      </x:c>
      <x:c r="E26" s="14" t="str">
        <x:v>Edge</x:v>
      </x:c>
      <x:c r="F26" s="14" t="str">
        <x:v>Голубой</x:v>
      </x:c>
      <x:c r="G26" s="14" t="n">
        <x:v>1</x:v>
      </x:c>
      <x:c r="H26" s="14" t="str">
        <x:v>Не проверено</x:v>
      </x:c>
      <x:c r="I26" s="14" t="str">
        <x:v>Не проверено</x:v>
      </x:c>
      <x:c r="J26" s="14" t="str">
        <x:f>IF(OR(H26="Засохла",H26="Пустая",I26="&lt;25%"),"Да","")</x:f>
      </x:c>
      <x:c r="K26" s="14" t="str">
        <x:v>IMG_6706</x:v>
      </x:c>
      <x:c r="L26" s="14" t="n">
        <x:v>4</x:v>
      </x:c>
      <x:c r="M26" s="14" t="str"/>
      <x:c r="N26" s="12" t="str"/>
    </x:row>
    <x:row r="27">
      <x:c r="A27" s="14" t="n">
        <x:v>26</x:v>
      </x:c>
      <x:c r="B27" s="16" t="str">
        <x:v>Citadel</x:v>
      </x:c>
      <x:c r="C27" s="14" t="str"/>
      <x:c r="D27" s="12" t="str">
        <x:v>Caledor Sky</x:v>
      </x:c>
      <x:c r="E27" s="14" t="str">
        <x:v>Base</x:v>
      </x:c>
      <x:c r="F27" s="14" t="str">
        <x:v>Синий</x:v>
      </x:c>
      <x:c r="G27" s="14" t="n">
        <x:v>1</x:v>
      </x:c>
      <x:c r="H27" s="14" t="str">
        <x:v>Не проверено</x:v>
      </x:c>
      <x:c r="I27" s="14" t="str">
        <x:v>Не проверено</x:v>
      </x:c>
      <x:c r="J27" s="14" t="str">
        <x:f>IF(OR(H27="Засохла",H27="Пустая",I27="&lt;25%"),"Да","")</x:f>
      </x:c>
      <x:c r="K27" s="14" t="str">
        <x:v>IMG_6706</x:v>
      </x:c>
      <x:c r="L27" s="14" t="n">
        <x:v>5</x:v>
      </x:c>
      <x:c r="M27" s="14" t="str"/>
      <x:c r="N27" s="12" t="str"/>
    </x:row>
    <x:row r="28">
      <x:c r="A28" s="14" t="n">
        <x:v>27</x:v>
      </x:c>
      <x:c r="B28" s="16" t="str">
        <x:v>Citadel</x:v>
      </x:c>
      <x:c r="C28" s="14" t="str"/>
      <x:c r="D28" s="12" t="str">
        <x:v>Stegadon Scale Green</x:v>
      </x:c>
      <x:c r="E28" s="14" t="str">
        <x:v>Base</x:v>
      </x:c>
      <x:c r="F28" s="14" t="str">
        <x:v>Сине-зелёный</x:v>
      </x:c>
      <x:c r="G28" s="14" t="n">
        <x:v>1</x:v>
      </x:c>
      <x:c r="H28" s="14" t="str">
        <x:v>Не проверено</x:v>
      </x:c>
      <x:c r="I28" s="14" t="str">
        <x:v>Не проверено</x:v>
      </x:c>
      <x:c r="J28" s="14" t="str">
        <x:f>IF(OR(H28="Засохла",H28="Пустая",I28="&lt;25%"),"Да","")</x:f>
      </x:c>
      <x:c r="K28" s="14" t="str">
        <x:v>IMG_6706</x:v>
      </x:c>
      <x:c r="L28" s="14" t="n">
        <x:v>6</x:v>
      </x:c>
      <x:c r="M28" s="14" t="str"/>
      <x:c r="N28" s="12" t="str"/>
    </x:row>
    <x:row r="29">
      <x:c r="A29" s="14" t="n">
        <x:v>28</x:v>
      </x:c>
      <x:c r="B29" s="16" t="str">
        <x:v>Citadel</x:v>
      </x:c>
      <x:c r="C29" s="14" t="str"/>
      <x:c r="D29" s="12" t="str">
        <x:v>The Fang</x:v>
      </x:c>
      <x:c r="E29" s="14" t="str">
        <x:v>Base</x:v>
      </x:c>
      <x:c r="F29" s="14" t="str">
        <x:v>Серо-голубой</x:v>
      </x:c>
      <x:c r="G29" s="14" t="n">
        <x:v>1</x:v>
      </x:c>
      <x:c r="H29" s="14" t="str">
        <x:v>Не проверено</x:v>
      </x:c>
      <x:c r="I29" s="14" t="str">
        <x:v>Не проверено</x:v>
      </x:c>
      <x:c r="J29" s="14" t="str">
        <x:f>IF(OR(H29="Засохла",H29="Пустая",I29="&lt;25%"),"Да","")</x:f>
      </x:c>
      <x:c r="K29" s="14" t="str">
        <x:v>IMG_6706</x:v>
      </x:c>
      <x:c r="L29" s="14" t="n">
        <x:v>7</x:v>
      </x:c>
      <x:c r="M29" s="14" t="str"/>
      <x:c r="N29" s="12" t="str"/>
    </x:row>
    <x:row r="30">
      <x:c r="A30" s="14" t="n">
        <x:v>29</x:v>
      </x:c>
      <x:c r="B30" s="16" t="str">
        <x:v>Citadel</x:v>
      </x:c>
      <x:c r="C30" s="14" t="str"/>
      <x:c r="D30" s="12" t="str">
        <x:v>Naggaroth Night</x:v>
      </x:c>
      <x:c r="E30" s="14" t="str">
        <x:v>Base</x:v>
      </x:c>
      <x:c r="F30" s="14" t="str">
        <x:v>Фиолетовый</x:v>
      </x:c>
      <x:c r="G30" s="14" t="n">
        <x:v>1</x:v>
      </x:c>
      <x:c r="H30" s="14" t="str">
        <x:v>Не проверено</x:v>
      </x:c>
      <x:c r="I30" s="14" t="str">
        <x:v>Не проверено</x:v>
      </x:c>
      <x:c r="J30" s="14" t="str">
        <x:f>IF(OR(H30="Засохла",H30="Пустая",I30="&lt;25%"),"Да","")</x:f>
      </x:c>
      <x:c r="K30" s="14" t="str">
        <x:v>IMG_6707</x:v>
      </x:c>
      <x:c r="L30" s="14" t="n">
        <x:v>1</x:v>
      </x:c>
      <x:c r="M30" s="14" t="str"/>
      <x:c r="N30" s="12" t="str"/>
    </x:row>
    <x:row r="31">
      <x:c r="A31" s="14" t="n">
        <x:v>30</x:v>
      </x:c>
      <x:c r="B31" s="16" t="str">
        <x:v>Citadel</x:v>
      </x:c>
      <x:c r="C31" s="14" t="str"/>
      <x:c r="D31" s="12" t="str">
        <x:v>Xereus Purple</x:v>
      </x:c>
      <x:c r="E31" s="14" t="str">
        <x:v>Layer</x:v>
      </x:c>
      <x:c r="F31" s="14" t="str">
        <x:v>Фиолетовый</x:v>
      </x:c>
      <x:c r="G31" s="14" t="n">
        <x:v>1</x:v>
      </x:c>
      <x:c r="H31" s="14" t="str">
        <x:v>Не проверено</x:v>
      </x:c>
      <x:c r="I31" s="14" t="str">
        <x:v>Не проверено</x:v>
      </x:c>
      <x:c r="J31" s="14" t="str">
        <x:f>IF(OR(H31="Засохла",H31="Пустая",I31="&lt;25%"),"Да","")</x:f>
      </x:c>
      <x:c r="K31" s="14" t="str">
        <x:v>IMG_6707</x:v>
      </x:c>
      <x:c r="L31" s="14" t="n">
        <x:v>2</x:v>
      </x:c>
      <x:c r="M31" s="14" t="str"/>
      <x:c r="N31" s="12" t="str"/>
    </x:row>
    <x:row r="32">
      <x:c r="A32" s="14" t="n">
        <x:v>31</x:v>
      </x:c>
      <x:c r="B32" s="16" t="str">
        <x:v>Citadel</x:v>
      </x:c>
      <x:c r="C32" s="14" t="str"/>
      <x:c r="D32" s="12" t="str">
        <x:v>Gal Vorbak Red</x:v>
      </x:c>
      <x:c r="E32" s="14" t="str">
        <x:v>Base</x:v>
      </x:c>
      <x:c r="F32" s="14" t="str">
        <x:v>Тёмно-красный</x:v>
      </x:c>
      <x:c r="G32" s="14" t="n">
        <x:v>1</x:v>
      </x:c>
      <x:c r="H32" s="14" t="str">
        <x:v>Не проверено</x:v>
      </x:c>
      <x:c r="I32" s="14" t="str">
        <x:v>Не проверено</x:v>
      </x:c>
      <x:c r="J32" s="14" t="str">
        <x:f>IF(OR(H32="Засохла",H32="Пустая",I32="&lt;25%"),"Да","")</x:f>
      </x:c>
      <x:c r="K32" s="14" t="str">
        <x:v>IMG_6707</x:v>
      </x:c>
      <x:c r="L32" s="14" t="n">
        <x:v>3</x:v>
      </x:c>
      <x:c r="M32" s="14" t="str"/>
      <x:c r="N32" s="12" t="str"/>
    </x:row>
    <x:row r="33">
      <x:c r="A33" s="14" t="n">
        <x:v>32</x:v>
      </x:c>
      <x:c r="B33" s="16" t="str">
        <x:v>Citadel</x:v>
      </x:c>
      <x:c r="C33" s="14" t="str"/>
      <x:c r="D33" s="12" t="str">
        <x:v>Barak-Nar Burgundy</x:v>
      </x:c>
      <x:c r="E33" s="14" t="str">
        <x:v>Base</x:v>
      </x:c>
      <x:c r="F33" s="14" t="str">
        <x:v>Бордовый</x:v>
      </x:c>
      <x:c r="G33" s="14" t="n">
        <x:v>1</x:v>
      </x:c>
      <x:c r="H33" s="14" t="str">
        <x:v>Не проверено</x:v>
      </x:c>
      <x:c r="I33" s="14" t="str">
        <x:v>Не проверено</x:v>
      </x:c>
      <x:c r="J33" s="14" t="str">
        <x:f>IF(OR(H33="Засохла",H33="Пустая",I33="&lt;25%"),"Да","")</x:f>
      </x:c>
      <x:c r="K33" s="14" t="str">
        <x:v>IMG_6707</x:v>
      </x:c>
      <x:c r="L33" s="14" t="n">
        <x:v>4</x:v>
      </x:c>
      <x:c r="M33" s="14" t="str"/>
      <x:c r="N33" s="12" t="str"/>
    </x:row>
    <x:row r="34">
      <x:c r="A34" s="14" t="n">
        <x:v>33</x:v>
      </x:c>
      <x:c r="B34" s="16" t="str">
        <x:v>Citadel</x:v>
      </x:c>
      <x:c r="C34" s="14" t="str"/>
      <x:c r="D34" s="12" t="str">
        <x:v>Warpfiend Grey</x:v>
      </x:c>
      <x:c r="E34" s="14" t="str">
        <x:v>Layer</x:v>
      </x:c>
      <x:c r="F34" s="14" t="str">
        <x:v>Серо-фиолетовый</x:v>
      </x:c>
      <x:c r="G34" s="14" t="n">
        <x:v>1</x:v>
      </x:c>
      <x:c r="H34" s="14" t="str">
        <x:v>Не проверено</x:v>
      </x:c>
      <x:c r="I34" s="14" t="str">
        <x:v>Не проверено</x:v>
      </x:c>
      <x:c r="J34" s="14" t="str">
        <x:f>IF(OR(H34="Засохла",H34="Пустая",I34="&lt;25%"),"Да","")</x:f>
      </x:c>
      <x:c r="K34" s="14" t="str">
        <x:v>IMG_6707</x:v>
      </x:c>
      <x:c r="L34" s="14" t="n">
        <x:v>5</x:v>
      </x:c>
      <x:c r="M34" s="14" t="str"/>
      <x:c r="N34" s="12" t="str"/>
    </x:row>
    <x:row r="35">
      <x:c r="A35" s="14" t="n">
        <x:v>34</x:v>
      </x:c>
      <x:c r="B35" s="16" t="str">
        <x:v>Citadel</x:v>
      </x:c>
      <x:c r="C35" s="14" t="str"/>
      <x:c r="D35" s="12" t="str">
        <x:v>Daemonette Hide</x:v>
      </x:c>
      <x:c r="E35" s="14" t="str">
        <x:v>Base</x:v>
      </x:c>
      <x:c r="F35" s="14" t="str">
        <x:v>Серо-фиолетовый</x:v>
      </x:c>
      <x:c r="G35" s="14" t="n">
        <x:v>1</x:v>
      </x:c>
      <x:c r="H35" s="14" t="str">
        <x:v>Не проверено</x:v>
      </x:c>
      <x:c r="I35" s="14" t="str">
        <x:v>Не проверено</x:v>
      </x:c>
      <x:c r="J35" s="14" t="str">
        <x:f>IF(OR(H35="Засохла",H35="Пустая",I35="&lt;25%"),"Да","")</x:f>
      </x:c>
      <x:c r="K35" s="14" t="str">
        <x:v>IMG_6707</x:v>
      </x:c>
      <x:c r="L35" s="14" t="n">
        <x:v>6</x:v>
      </x:c>
      <x:c r="M35" s="14" t="str"/>
      <x:c r="N35" s="12" t="str"/>
    </x:row>
    <x:row r="36">
      <x:c r="A36" s="14" t="n">
        <x:v>35</x:v>
      </x:c>
      <x:c r="B36" s="16" t="str">
        <x:v>Citadel</x:v>
      </x:c>
      <x:c r="C36" s="14" t="str"/>
      <x:c r="D36" s="12" t="str">
        <x:v>Slaanesh Grey</x:v>
      </x:c>
      <x:c r="E36" s="14" t="str">
        <x:v>Layer</x:v>
      </x:c>
      <x:c r="F36" s="14" t="str">
        <x:v>Серо-фиолетовый</x:v>
      </x:c>
      <x:c r="G36" s="14" t="n">
        <x:v>1</x:v>
      </x:c>
      <x:c r="H36" s="14" t="str">
        <x:v>Не проверено</x:v>
      </x:c>
      <x:c r="I36" s="14" t="str">
        <x:v>Не проверено</x:v>
      </x:c>
      <x:c r="J36" s="14" t="str">
        <x:f>IF(OR(H36="Засохла",H36="Пустая",I36="&lt;25%"),"Да","")</x:f>
      </x:c>
      <x:c r="K36" s="14" t="str">
        <x:v>IMG_6707</x:v>
      </x:c>
      <x:c r="L36" s="14" t="n">
        <x:v>7</x:v>
      </x:c>
      <x:c r="M36" s="14" t="str"/>
      <x:c r="N36" s="12" t="str"/>
    </x:row>
    <x:row r="37">
      <x:c r="A37" s="14" t="n">
        <x:v>36</x:v>
      </x:c>
      <x:c r="B37" s="16" t="str">
        <x:v>Citadel</x:v>
      </x:c>
      <x:c r="C37" s="14" t="str"/>
      <x:c r="D37" s="12" t="str">
        <x:v>Flayed One Flesh</x:v>
      </x:c>
      <x:c r="E37" s="14" t="str">
        <x:v>Layer</x:v>
      </x:c>
      <x:c r="F37" s="14" t="str">
        <x:v>Телесный</x:v>
      </x:c>
      <x:c r="G37" s="14" t="n">
        <x:v>1</x:v>
      </x:c>
      <x:c r="H37" s="14" t="str">
        <x:v>Не проверено</x:v>
      </x:c>
      <x:c r="I37" s="14" t="str">
        <x:v>Не проверено</x:v>
      </x:c>
      <x:c r="J37" s="14" t="str">
        <x:f>IF(OR(H37="Засохла",H37="Пустая",I37="&lt;25%"),"Да","")</x:f>
      </x:c>
      <x:c r="K37" s="14" t="str">
        <x:v>IMG_6708</x:v>
      </x:c>
      <x:c r="L37" s="14" t="n">
        <x:v>1</x:v>
      </x:c>
      <x:c r="M37" s="14" t="str"/>
      <x:c r="N37" s="12" t="str"/>
    </x:row>
    <x:row r="38">
      <x:c r="A38" s="14" t="n">
        <x:v>37</x:v>
      </x:c>
      <x:c r="B38" s="16" t="str">
        <x:v>Citadel</x:v>
      </x:c>
      <x:c r="C38" s="14" t="str"/>
      <x:c r="D38" s="12" t="str">
        <x:v>Dark Reaper</x:v>
      </x:c>
      <x:c r="E38" s="14" t="str">
        <x:v>Layer</x:v>
      </x:c>
      <x:c r="F38" s="14" t="str">
        <x:v>Серо-голубой</x:v>
      </x:c>
      <x:c r="G38" s="14" t="n">
        <x:v>1</x:v>
      </x:c>
      <x:c r="H38" s="14" t="str">
        <x:v>Не проверено</x:v>
      </x:c>
      <x:c r="I38" s="14" t="str">
        <x:v>Не проверено</x:v>
      </x:c>
      <x:c r="J38" s="14" t="str">
        <x:f>IF(OR(H38="Засохла",H38="Пустая",I38="&lt;25%"),"Да","")</x:f>
      </x:c>
      <x:c r="K38" s="14" t="str">
        <x:v>IMG_6708</x:v>
      </x:c>
      <x:c r="L38" s="14" t="n">
        <x:v>2</x:v>
      </x:c>
      <x:c r="M38" s="14" t="str"/>
      <x:c r="N38" s="12" t="str"/>
    </x:row>
    <x:row r="39">
      <x:c r="A39" s="14" t="n">
        <x:v>38</x:v>
      </x:c>
      <x:c r="B39" s="16" t="str">
        <x:v>Citadel</x:v>
      </x:c>
      <x:c r="C39" s="14" t="str"/>
      <x:c r="D39" s="12" t="str">
        <x:v>Grey Seer</x:v>
      </x:c>
      <x:c r="E39" s="14" t="str">
        <x:v>Base</x:v>
      </x:c>
      <x:c r="F39" s="14" t="str">
        <x:v>Серый</x:v>
      </x:c>
      <x:c r="G39" s="14" t="n">
        <x:v>1</x:v>
      </x:c>
      <x:c r="H39" s="14" t="str">
        <x:v>Не проверено</x:v>
      </x:c>
      <x:c r="I39" s="14" t="str">
        <x:v>Не проверено</x:v>
      </x:c>
      <x:c r="J39" s="14" t="str">
        <x:f>IF(OR(H39="Засохла",H39="Пустая",I39="&lt;25%"),"Да","")</x:f>
      </x:c>
      <x:c r="K39" s="14" t="str">
        <x:v>IMG_6708</x:v>
      </x:c>
      <x:c r="L39" s="14" t="n">
        <x:v>3</x:v>
      </x:c>
      <x:c r="M39" s="14" t="str"/>
      <x:c r="N39" s="12" t="str"/>
    </x:row>
    <x:row r="40">
      <x:c r="A40" s="14" t="n">
        <x:v>39</x:v>
      </x:c>
      <x:c r="B40" s="16" t="str">
        <x:v>Citadel</x:v>
      </x:c>
      <x:c r="C40" s="14" t="str"/>
      <x:c r="D40" s="12" t="str">
        <x:v>Rakarth Flesh</x:v>
      </x:c>
      <x:c r="E40" s="14" t="str">
        <x:v>Base</x:v>
      </x:c>
      <x:c r="F40" s="14" t="str">
        <x:v>Кость</x:v>
      </x:c>
      <x:c r="G40" s="14" t="n">
        <x:v>1</x:v>
      </x:c>
      <x:c r="H40" s="14" t="str">
        <x:v>Не проверено</x:v>
      </x:c>
      <x:c r="I40" s="14" t="str">
        <x:v>Не проверено</x:v>
      </x:c>
      <x:c r="J40" s="14" t="str">
        <x:f>IF(OR(H40="Засохла",H40="Пустая",I40="&lt;25%"),"Да","")</x:f>
      </x:c>
      <x:c r="K40" s="14" t="str">
        <x:v>IMG_6708</x:v>
      </x:c>
      <x:c r="L40" s="14" t="n">
        <x:v>4</x:v>
      </x:c>
      <x:c r="M40" s="14" t="str"/>
      <x:c r="N40" s="12" t="str"/>
    </x:row>
    <x:row r="41">
      <x:c r="A41" s="14" t="n">
        <x:v>40</x:v>
      </x:c>
      <x:c r="B41" s="16" t="str">
        <x:v>Citadel</x:v>
      </x:c>
      <x:c r="C41" s="14" t="str"/>
      <x:c r="D41" s="12" t="str">
        <x:v>Screaming Skull</x:v>
      </x:c>
      <x:c r="E41" s="14" t="str">
        <x:v>Layer</x:v>
      </x:c>
      <x:c r="F41" s="14" t="str">
        <x:v>Кость</x:v>
      </x:c>
      <x:c r="G41" s="14" t="n">
        <x:v>1</x:v>
      </x:c>
      <x:c r="H41" s="14" t="str">
        <x:v>Не проверено</x:v>
      </x:c>
      <x:c r="I41" s="14" t="str">
        <x:v>Не проверено</x:v>
      </x:c>
      <x:c r="J41" s="14" t="str">
        <x:f>IF(OR(H41="Засохла",H41="Пустая",I41="&lt;25%"),"Да","")</x:f>
      </x:c>
      <x:c r="K41" s="14" t="str">
        <x:v>IMG_6708</x:v>
      </x:c>
      <x:c r="L41" s="14" t="n">
        <x:v>5</x:v>
      </x:c>
      <x:c r="M41" s="14" t="str"/>
      <x:c r="N41" s="12" t="str"/>
    </x:row>
    <x:row r="42">
      <x:c r="A42" s="14" t="n">
        <x:v>41</x:v>
      </x:c>
      <x:c r="B42" s="16" t="str">
        <x:v>Citadel</x:v>
      </x:c>
      <x:c r="C42" s="14" t="str"/>
      <x:c r="D42" s="12" t="str">
        <x:v>Wraithbone</x:v>
      </x:c>
      <x:c r="E42" s="14" t="str">
        <x:v>Base</x:v>
      </x:c>
      <x:c r="F42" s="14" t="str">
        <x:v>Кость</x:v>
      </x:c>
      <x:c r="G42" s="14" t="n">
        <x:v>1</x:v>
      </x:c>
      <x:c r="H42" s="14" t="str">
        <x:v>Не проверено</x:v>
      </x:c>
      <x:c r="I42" s="14" t="str">
        <x:v>Не проверено</x:v>
      </x:c>
      <x:c r="J42" s="14" t="str">
        <x:f>IF(OR(H42="Засохла",H42="Пустая",I42="&lt;25%"),"Да","")</x:f>
      </x:c>
      <x:c r="K42" s="14" t="str">
        <x:v>IMG_6708</x:v>
      </x:c>
      <x:c r="L42" s="14" t="n">
        <x:v>6</x:v>
      </x:c>
      <x:c r="M42" s="14" t="str"/>
      <x:c r="N42" s="12" t="str"/>
    </x:row>
    <x:row r="43">
      <x:c r="A43" s="14" t="n">
        <x:v>42</x:v>
      </x:c>
      <x:c r="B43" s="16" t="str">
        <x:v>Citadel</x:v>
      </x:c>
      <x:c r="C43" s="14" t="str"/>
      <x:c r="D43" s="12" t="str">
        <x:v>Bugman's Glow</x:v>
      </x:c>
      <x:c r="E43" s="14" t="str">
        <x:v>Base</x:v>
      </x:c>
      <x:c r="F43" s="14" t="str">
        <x:v>Телесный</x:v>
      </x:c>
      <x:c r="G43" s="14" t="n">
        <x:v>1</x:v>
      </x:c>
      <x:c r="H43" s="14" t="str">
        <x:v>Не проверено</x:v>
      </x:c>
      <x:c r="I43" s="14" t="str">
        <x:v>Не проверено</x:v>
      </x:c>
      <x:c r="J43" s="14" t="str">
        <x:f>IF(OR(H43="Засохла",H43="Пустая",I43="&lt;25%"),"Да","")</x:f>
      </x:c>
      <x:c r="K43" s="14" t="str">
        <x:v>IMG_6708</x:v>
      </x:c>
      <x:c r="L43" s="14" t="n">
        <x:v>7</x:v>
      </x:c>
      <x:c r="M43" s="14" t="str"/>
      <x:c r="N43" s="12" t="str"/>
    </x:row>
    <x:row r="44">
      <x:c r="A44" s="14" t="n">
        <x:v>43</x:v>
      </x:c>
      <x:c r="B44" s="16" t="str">
        <x:v>Citadel</x:v>
      </x:c>
      <x:c r="C44" s="14" t="str"/>
      <x:c r="D44" s="12" t="str">
        <x:v>Runelord Brass</x:v>
      </x:c>
      <x:c r="E44" s="14" t="str">
        <x:v>Base</x:v>
      </x:c>
      <x:c r="F44" s="14" t="str">
        <x:v>Металлик</x:v>
      </x:c>
      <x:c r="G44" s="14" t="n">
        <x:v>1</x:v>
      </x:c>
      <x:c r="H44" s="14" t="str">
        <x:v>Не проверено</x:v>
      </x:c>
      <x:c r="I44" s="14" t="str">
        <x:v>Не проверено</x:v>
      </x:c>
      <x:c r="J44" s="14" t="str">
        <x:f>IF(OR(H44="Засохла",H44="Пустая",I44="&lt;25%"),"Да","")</x:f>
      </x:c>
      <x:c r="K44" s="14" t="str">
        <x:v>IMG_6709</x:v>
      </x:c>
      <x:c r="L44" s="14" t="n">
        <x:v>1</x:v>
      </x:c>
      <x:c r="M44" s="14" t="str"/>
      <x:c r="N44" s="12" t="str"/>
    </x:row>
    <x:row r="45">
      <x:c r="A45" s="14" t="n">
        <x:v>44</x:v>
      </x:c>
      <x:c r="B45" s="16" t="str">
        <x:v>Citadel</x:v>
      </x:c>
      <x:c r="C45" s="14" t="str"/>
      <x:c r="D45" s="12" t="str">
        <x:v>Canoptek Alloy</x:v>
      </x:c>
      <x:c r="E45" s="14" t="str">
        <x:v>Layer</x:v>
      </x:c>
      <x:c r="F45" s="14" t="str">
        <x:v>Металлик</x:v>
      </x:c>
      <x:c r="G45" s="14" t="n">
        <x:v>1</x:v>
      </x:c>
      <x:c r="H45" s="14" t="str">
        <x:v>Не проверено</x:v>
      </x:c>
      <x:c r="I45" s="14" t="str">
        <x:v>Не проверено</x:v>
      </x:c>
      <x:c r="J45" s="14" t="str">
        <x:f>IF(OR(H45="Засохла",H45="Пустая",I45="&lt;25%"),"Да","")</x:f>
      </x:c>
      <x:c r="K45" s="14" t="str">
        <x:v>IMG_6709</x:v>
      </x:c>
      <x:c r="L45" s="14" t="n">
        <x:v>2</x:v>
      </x:c>
      <x:c r="M45" s="14" t="str"/>
      <x:c r="N45" s="12" t="str"/>
    </x:row>
    <x:row r="46">
      <x:c r="A46" s="14" t="n">
        <x:v>45</x:v>
      </x:c>
      <x:c r="B46" s="16" t="str">
        <x:v>Citadel</x:v>
      </x:c>
      <x:c r="C46" s="14" t="str"/>
      <x:c r="D46" s="12" t="str">
        <x:v>Warplock Bronze</x:v>
      </x:c>
      <x:c r="E46" s="14" t="str">
        <x:v>Base</x:v>
      </x:c>
      <x:c r="F46" s="14" t="str">
        <x:v>Металлик</x:v>
      </x:c>
      <x:c r="G46" s="14" t="n">
        <x:v>1</x:v>
      </x:c>
      <x:c r="H46" s="14" t="str">
        <x:v>Не проверено</x:v>
      </x:c>
      <x:c r="I46" s="14" t="str">
        <x:v>Не проверено</x:v>
      </x:c>
      <x:c r="J46" s="14" t="str">
        <x:f>IF(OR(H46="Засохла",H46="Пустая",I46="&lt;25%"),"Да","")</x:f>
      </x:c>
      <x:c r="K46" s="14" t="str">
        <x:v>IMG_6709</x:v>
      </x:c>
      <x:c r="L46" s="14" t="n">
        <x:v>3</x:v>
      </x:c>
      <x:c r="M46" s="14" t="str"/>
      <x:c r="N46" s="12" t="str"/>
    </x:row>
    <x:row r="47">
      <x:c r="A47" s="14" t="n">
        <x:v>46</x:v>
      </x:c>
      <x:c r="B47" s="16" t="str">
        <x:v>Citadel</x:v>
      </x:c>
      <x:c r="C47" s="14" t="str"/>
      <x:c r="D47" s="12" t="str">
        <x:v>Iron Warriors</x:v>
      </x:c>
      <x:c r="E47" s="14" t="str">
        <x:v>Base</x:v>
      </x:c>
      <x:c r="F47" s="14" t="str">
        <x:v>Металлик</x:v>
      </x:c>
      <x:c r="G47" s="14" t="n">
        <x:v>1</x:v>
      </x:c>
      <x:c r="H47" s="14" t="str">
        <x:v>Не проверено</x:v>
      </x:c>
      <x:c r="I47" s="14" t="str">
        <x:v>Не проверено</x:v>
      </x:c>
      <x:c r="J47" s="14" t="str">
        <x:f>IF(OR(H47="Засохла",H47="Пустая",I47="&lt;25%"),"Да","")</x:f>
      </x:c>
      <x:c r="K47" s="14" t="str">
        <x:v>IMG_6709</x:v>
      </x:c>
      <x:c r="L47" s="14" t="n">
        <x:v>4</x:v>
      </x:c>
      <x:c r="M47" s="14" t="str"/>
      <x:c r="N47" s="12" t="str"/>
    </x:row>
    <x:row r="48">
      <x:c r="A48" s="14" t="n">
        <x:v>47</x:v>
      </x:c>
      <x:c r="B48" s="16" t="str">
        <x:v>Citadel</x:v>
      </x:c>
      <x:c r="C48" s="14" t="str"/>
      <x:c r="D48" s="12" t="str">
        <x:v>Cadian Fleshtone</x:v>
      </x:c>
      <x:c r="E48" s="14" t="str">
        <x:v>Layer</x:v>
      </x:c>
      <x:c r="F48" s="14" t="str">
        <x:v>Телесный</x:v>
      </x:c>
      <x:c r="G48" s="14" t="n">
        <x:v>1</x:v>
      </x:c>
      <x:c r="H48" s="14" t="str">
        <x:v>Не проверено</x:v>
      </x:c>
      <x:c r="I48" s="14" t="str">
        <x:v>Не проверено</x:v>
      </x:c>
      <x:c r="J48" s="14" t="str">
        <x:f>IF(OR(H48="Засохла",H48="Пустая",I48="&lt;25%"),"Да","")</x:f>
      </x:c>
      <x:c r="K48" s="14" t="str">
        <x:v>IMG_6709</x:v>
      </x:c>
      <x:c r="L48" s="14" t="n">
        <x:v>5</x:v>
      </x:c>
      <x:c r="M48" s="14" t="str"/>
      <x:c r="N48" s="12" t="str"/>
    </x:row>
    <x:row r="49">
      <x:c r="A49" s="14" t="n">
        <x:v>48</x:v>
      </x:c>
      <x:c r="B49" s="16" t="str">
        <x:v>Citadel</x:v>
      </x:c>
      <x:c r="C49" s="14" t="str"/>
      <x:c r="D49" s="12" t="str">
        <x:v>Retributor Armour</x:v>
      </x:c>
      <x:c r="E49" s="14" t="str">
        <x:v>Base</x:v>
      </x:c>
      <x:c r="F49" s="14" t="str">
        <x:v>Металлик</x:v>
      </x:c>
      <x:c r="G49" s="14" t="n">
        <x:v>1</x:v>
      </x:c>
      <x:c r="H49" s="14" t="str">
        <x:v>Не проверено</x:v>
      </x:c>
      <x:c r="I49" s="14" t="str">
        <x:v>Не проверено</x:v>
      </x:c>
      <x:c r="J49" s="14" t="str">
        <x:f>IF(OR(H49="Засохла",H49="Пустая",I49="&lt;25%"),"Да","")</x:f>
      </x:c>
      <x:c r="K49" s="14" t="str">
        <x:v>IMG_6709</x:v>
      </x:c>
      <x:c r="L49" s="14" t="n">
        <x:v>6</x:v>
      </x:c>
      <x:c r="M49" s="14" t="str"/>
      <x:c r="N49" s="12" t="str"/>
    </x:row>
    <x:row r="50">
      <x:c r="A50" s="14" t="n">
        <x:v>49</x:v>
      </x:c>
      <x:c r="B50" s="16" t="str">
        <x:v>Citadel</x:v>
      </x:c>
      <x:c r="C50" s="14" t="str"/>
      <x:c r="D50" s="12" t="str">
        <x:v>Liberator Gold</x:v>
      </x:c>
      <x:c r="E50" s="14" t="str">
        <x:v>Layer</x:v>
      </x:c>
      <x:c r="F50" s="14" t="str">
        <x:v>Металлик</x:v>
      </x:c>
      <x:c r="G50" s="14" t="n">
        <x:v>1</x:v>
      </x:c>
      <x:c r="H50" s="14" t="str">
        <x:v>Не проверено</x:v>
      </x:c>
      <x:c r="I50" s="14" t="str">
        <x:v>Не проверено</x:v>
      </x:c>
      <x:c r="J50" s="14" t="str">
        <x:f>IF(OR(H50="Засохла",H50="Пустая",I50="&lt;25%"),"Да","")</x:f>
      </x:c>
      <x:c r="K50" s="14" t="str">
        <x:v>IMG_6709</x:v>
      </x:c>
      <x:c r="L50" s="14" t="n">
        <x:v>7</x:v>
      </x:c>
      <x:c r="M50" s="14" t="str"/>
      <x:c r="N50" s="12" t="str"/>
    </x:row>
    <x:row r="51">
      <x:c r="A51" s="14" t="n">
        <x:v>50</x:v>
      </x:c>
      <x:c r="B51" s="16" t="str">
        <x:v>Citadel</x:v>
      </x:c>
      <x:c r="C51" s="14" t="str"/>
      <x:c r="D51" s="12" t="str">
        <x:v>Runefang Steel</x:v>
      </x:c>
      <x:c r="E51" s="14" t="str">
        <x:v>Layer</x:v>
      </x:c>
      <x:c r="F51" s="14" t="str">
        <x:v>Металлик</x:v>
      </x:c>
      <x:c r="G51" s="14" t="n">
        <x:v>1</x:v>
      </x:c>
      <x:c r="H51" s="14" t="str">
        <x:v>Не проверено</x:v>
      </x:c>
      <x:c r="I51" s="14" t="str">
        <x:v>Не проверено</x:v>
      </x:c>
      <x:c r="J51" s="14" t="str">
        <x:f>IF(OR(H51="Засохла",H51="Пустая",I51="&lt;25%"),"Да","")</x:f>
      </x:c>
      <x:c r="K51" s="14" t="str">
        <x:v>IMG_6710</x:v>
      </x:c>
      <x:c r="L51" s="14" t="n">
        <x:v>1</x:v>
      </x:c>
      <x:c r="M51" s="14" t="str"/>
      <x:c r="N51" s="12" t="str"/>
    </x:row>
    <x:row r="52">
      <x:c r="A52" s="14" t="n">
        <x:v>51</x:v>
      </x:c>
      <x:c r="B52" s="16" t="str">
        <x:v>Citadel</x:v>
      </x:c>
      <x:c r="C52" s="14" t="str"/>
      <x:c r="D52" s="12" t="str">
        <x:v>Ironbreaker</x:v>
      </x:c>
      <x:c r="E52" s="14" t="str">
        <x:v>Layer</x:v>
      </x:c>
      <x:c r="F52" s="14" t="str">
        <x:v>Металлик</x:v>
      </x:c>
      <x:c r="G52" s="14" t="n">
        <x:v>1</x:v>
      </x:c>
      <x:c r="H52" s="14" t="str">
        <x:v>Не проверено</x:v>
      </x:c>
      <x:c r="I52" s="14" t="str">
        <x:v>Не проверено</x:v>
      </x:c>
      <x:c r="J52" s="14" t="str">
        <x:f>IF(OR(H52="Засохла",H52="Пустая",I52="&lt;25%"),"Да","")</x:f>
      </x:c>
      <x:c r="K52" s="14" t="str">
        <x:v>IMG_6710</x:v>
      </x:c>
      <x:c r="L52" s="14" t="n">
        <x:v>2</x:v>
      </x:c>
      <x:c r="M52" s="14" t="str"/>
      <x:c r="N52" s="12" t="str"/>
    </x:row>
    <x:row r="53">
      <x:c r="A53" s="14" t="n">
        <x:v>52</x:v>
      </x:c>
      <x:c r="B53" s="16" t="str">
        <x:v>Citadel</x:v>
      </x:c>
      <x:c r="C53" s="14" t="str"/>
      <x:c r="D53" s="12" t="str">
        <x:v>Leadbelcher</x:v>
      </x:c>
      <x:c r="E53" s="14" t="str">
        <x:v>Base</x:v>
      </x:c>
      <x:c r="F53" s="14" t="str">
        <x:v>Металлик</x:v>
      </x:c>
      <x:c r="G53" s="14" t="n">
        <x:v>1</x:v>
      </x:c>
      <x:c r="H53" s="14" t="str">
        <x:v>Не проверено</x:v>
      </x:c>
      <x:c r="I53" s="14" t="str">
        <x:v>Не проверено</x:v>
      </x:c>
      <x:c r="J53" s="14" t="str">
        <x:f>IF(OR(H53="Засохла",H53="Пустая",I53="&lt;25%"),"Да","")</x:f>
      </x:c>
      <x:c r="K53" s="14" t="str">
        <x:v>IMG_6710</x:v>
      </x:c>
      <x:c r="L53" s="14" t="n">
        <x:v>3</x:v>
      </x:c>
      <x:c r="M53" s="14" t="str"/>
      <x:c r="N53" s="12" t="str"/>
    </x:row>
    <x:row r="54">
      <x:c r="A54" s="14" t="n">
        <x:v>53</x:v>
      </x:c>
      <x:c r="B54" s="16" t="str">
        <x:v>Citadel</x:v>
      </x:c>
      <x:c r="C54" s="14" t="str"/>
      <x:c r="D54" s="12" t="str">
        <x:v>Balthasar Gold</x:v>
      </x:c>
      <x:c r="E54" s="14" t="str">
        <x:v>Base</x:v>
      </x:c>
      <x:c r="F54" s="14" t="str">
        <x:v>Металлик</x:v>
      </x:c>
      <x:c r="G54" s="14" t="n">
        <x:v>1</x:v>
      </x:c>
      <x:c r="H54" s="14" t="str">
        <x:v>Не проверено</x:v>
      </x:c>
      <x:c r="I54" s="14" t="str">
        <x:v>Не проверено</x:v>
      </x:c>
      <x:c r="J54" s="14" t="str">
        <x:f>IF(OR(H54="Засохла",H54="Пустая",I54="&lt;25%"),"Да","")</x:f>
      </x:c>
      <x:c r="K54" s="14" t="str">
        <x:v>IMG_6710</x:v>
      </x:c>
      <x:c r="L54" s="14" t="n">
        <x:v>4</x:v>
      </x:c>
      <x:c r="M54" s="14" t="str"/>
      <x:c r="N54" s="12" t="str"/>
    </x:row>
    <x:row r="55">
      <x:c r="A55" s="14" t="n">
        <x:v>54</x:v>
      </x:c>
      <x:c r="B55" s="16" t="str">
        <x:v>Citadel</x:v>
      </x:c>
      <x:c r="C55" s="14" t="str"/>
      <x:c r="D55" s="12" t="str">
        <x:v>Gehenna's Gold</x:v>
      </x:c>
      <x:c r="E55" s="14" t="str">
        <x:v>Layer</x:v>
      </x:c>
      <x:c r="F55" s="14" t="str">
        <x:v>Металлик</x:v>
      </x:c>
      <x:c r="G55" s="14" t="n">
        <x:v>1</x:v>
      </x:c>
      <x:c r="H55" s="14" t="str">
        <x:v>Не проверено</x:v>
      </x:c>
      <x:c r="I55" s="14" t="str">
        <x:v>Не проверено</x:v>
      </x:c>
      <x:c r="J55" s="14" t="str">
        <x:f>IF(OR(H55="Засохла",H55="Пустая",I55="&lt;25%"),"Да","")</x:f>
      </x:c>
      <x:c r="K55" s="14" t="str">
        <x:v>IMG_6710</x:v>
      </x:c>
      <x:c r="L55" s="14" t="n">
        <x:v>5</x:v>
      </x:c>
      <x:c r="M55" s="14" t="str"/>
      <x:c r="N55" s="12" t="str"/>
    </x:row>
    <x:row r="56">
      <x:c r="A56" s="14" t="n">
        <x:v>55</x:v>
      </x:c>
      <x:c r="B56" s="16" t="str">
        <x:v>Citadel</x:v>
      </x:c>
      <x:c r="C56" s="14" t="str"/>
      <x:c r="D56" s="12" t="str">
        <x:v>Brass Scorpion</x:v>
      </x:c>
      <x:c r="E56" s="14" t="str">
        <x:v>Layer</x:v>
      </x:c>
      <x:c r="F56" s="14" t="str">
        <x:v>Металлик</x:v>
      </x:c>
      <x:c r="G56" s="14" t="n">
        <x:v>1</x:v>
      </x:c>
      <x:c r="H56" s="14" t="str">
        <x:v>Не проверено</x:v>
      </x:c>
      <x:c r="I56" s="14" t="str">
        <x:v>Не проверено</x:v>
      </x:c>
      <x:c r="J56" s="14" t="str">
        <x:f>IF(OR(H56="Засохла",H56="Пустая",I56="&lt;25%"),"Да","")</x:f>
      </x:c>
      <x:c r="K56" s="14" t="str">
        <x:v>IMG_6710</x:v>
      </x:c>
      <x:c r="L56" s="14" t="n">
        <x:v>6</x:v>
      </x:c>
      <x:c r="M56" s="14" t="str"/>
      <x:c r="N56" s="12" t="str"/>
    </x:row>
    <x:row r="57">
      <x:c r="A57" s="14" t="n">
        <x:v>56</x:v>
      </x:c>
      <x:c r="B57" s="16" t="str">
        <x:v>Citadel</x:v>
      </x:c>
      <x:c r="C57" s="14" t="str"/>
      <x:c r="D57" s="12" t="str">
        <x:v>Pallid Wych Flesh</x:v>
      </x:c>
      <x:c r="E57" s="14" t="str">
        <x:v>Layer</x:v>
      </x:c>
      <x:c r="F57" s="14" t="str">
        <x:v>Телесный</x:v>
      </x:c>
      <x:c r="G57" s="14" t="n">
        <x:v>1</x:v>
      </x:c>
      <x:c r="H57" s="14" t="str">
        <x:v>Не проверено</x:v>
      </x:c>
      <x:c r="I57" s="14" t="str">
        <x:v>Не проверено</x:v>
      </x:c>
      <x:c r="J57" s="14" t="str">
        <x:f>IF(OR(H57="Засохла",H57="Пустая",I57="&lt;25%"),"Да","")</x:f>
      </x:c>
      <x:c r="K57" s="14" t="str">
        <x:v>IMG_6710</x:v>
      </x:c>
      <x:c r="L57" s="14" t="n">
        <x:v>7</x:v>
      </x:c>
      <x:c r="M57" s="14" t="str"/>
      <x:c r="N57" s="12" t="str"/>
    </x:row>
    <x:row r="58">
      <x:c r="A58" s="14" t="n">
        <x:v>57</x:v>
      </x:c>
      <x:c r="B58" s="16" t="str">
        <x:v>Citadel</x:v>
      </x:c>
      <x:c r="C58" s="14" t="str"/>
      <x:c r="D58" s="12" t="str">
        <x:v>Knight-Questor Flesh</x:v>
      </x:c>
      <x:c r="E58" s="14" t="str">
        <x:v>Layer</x:v>
      </x:c>
      <x:c r="F58" s="14" t="str">
        <x:v>Телесный</x:v>
      </x:c>
      <x:c r="G58" s="14" t="n">
        <x:v>1</x:v>
      </x:c>
      <x:c r="H58" s="14" t="str">
        <x:v>Не проверено</x:v>
      </x:c>
      <x:c r="I58" s="14" t="str">
        <x:v>Не проверено</x:v>
      </x:c>
      <x:c r="J58" s="14" t="str">
        <x:f>IF(OR(H58="Засохла",H58="Пустая",I58="&lt;25%"),"Да","")</x:f>
      </x:c>
      <x:c r="K58" s="14" t="str">
        <x:v>IMG_6711</x:v>
      </x:c>
      <x:c r="L58" s="14" t="n">
        <x:v>1</x:v>
      </x:c>
      <x:c r="M58" s="14" t="str"/>
      <x:c r="N58" s="12" t="str"/>
    </x:row>
    <x:row r="59">
      <x:c r="A59" s="14" t="n">
        <x:v>58</x:v>
      </x:c>
      <x:c r="B59" s="16" t="str">
        <x:v>Citadel</x:v>
      </x:c>
      <x:c r="C59" s="14" t="str"/>
      <x:c r="D59" s="12" t="str">
        <x:v>Zamesi Desert</x:v>
      </x:c>
      <x:c r="E59" s="14" t="str">
        <x:v>Layer</x:v>
      </x:c>
      <x:c r="F59" s="14" t="str">
        <x:v>Жёлто-охристый</x:v>
      </x:c>
      <x:c r="G59" s="14" t="n">
        <x:v>1</x:v>
      </x:c>
      <x:c r="H59" s="14" t="str">
        <x:v>Не проверено</x:v>
      </x:c>
      <x:c r="I59" s="14" t="str">
        <x:v>Не проверено</x:v>
      </x:c>
      <x:c r="J59" s="14" t="str">
        <x:f>IF(OR(H59="Засохла",H59="Пустая",I59="&lt;25%"),"Да","")</x:f>
      </x:c>
      <x:c r="K59" s="14" t="str">
        <x:v>IMG_6711</x:v>
      </x:c>
      <x:c r="L59" s="14" t="n">
        <x:v>2</x:v>
      </x:c>
      <x:c r="M59" s="14" t="str"/>
      <x:c r="N59" s="12" t="str"/>
    </x:row>
    <x:row r="60">
      <x:c r="A60" s="14" t="n">
        <x:v>59</x:v>
      </x:c>
      <x:c r="B60" s="16" t="str">
        <x:v>Citadel</x:v>
      </x:c>
      <x:c r="C60" s="14" t="str"/>
      <x:c r="D60" s="12" t="str">
        <x:v>Death Guard Green</x:v>
      </x:c>
      <x:c r="E60" s="14" t="str">
        <x:v>Base</x:v>
      </x:c>
      <x:c r="F60" s="14" t="str">
        <x:v>Оливковый</x:v>
      </x:c>
      <x:c r="G60" s="14" t="n">
        <x:v>1</x:v>
      </x:c>
      <x:c r="H60" s="14" t="str">
        <x:v>Не проверено</x:v>
      </x:c>
      <x:c r="I60" s="14" t="str">
        <x:v>Не проверено</x:v>
      </x:c>
      <x:c r="J60" s="14" t="str">
        <x:f>IF(OR(H60="Засохла",H60="Пустая",I60="&lt;25%"),"Да","")</x:f>
      </x:c>
      <x:c r="K60" s="14" t="str">
        <x:v>IMG_6711</x:v>
      </x:c>
      <x:c r="L60" s="14" t="n">
        <x:v>3</x:v>
      </x:c>
      <x:c r="M60" s="14" t="str"/>
      <x:c r="N60" s="12" t="str"/>
    </x:row>
    <x:row r="61">
      <x:c r="A61" s="14" t="n">
        <x:v>60</x:v>
      </x:c>
      <x:c r="B61" s="16" t="str">
        <x:v>Citadel</x:v>
      </x:c>
      <x:c r="C61" s="14" t="str"/>
      <x:c r="D61" s="12" t="str">
        <x:v>Stormvermin Fur</x:v>
      </x:c>
      <x:c r="E61" s="14" t="str">
        <x:v>Layer</x:v>
      </x:c>
      <x:c r="F61" s="14" t="str">
        <x:v>Серо-коричневый</x:v>
      </x:c>
      <x:c r="G61" s="14" t="n">
        <x:v>1</x:v>
      </x:c>
      <x:c r="H61" s="14" t="str">
        <x:v>Не проверено</x:v>
      </x:c>
      <x:c r="I61" s="14" t="str">
        <x:v>Не проверено</x:v>
      </x:c>
      <x:c r="J61" s="14" t="str">
        <x:f>IF(OR(H61="Засохла",H61="Пустая",I61="&lt;25%"),"Да","")</x:f>
      </x:c>
      <x:c r="K61" s="14" t="str">
        <x:v>IMG_6711</x:v>
      </x:c>
      <x:c r="L61" s="14" t="n">
        <x:v>4</x:v>
      </x:c>
      <x:c r="M61" s="14" t="str"/>
      <x:c r="N61" s="12" t="str"/>
    </x:row>
    <x:row r="62">
      <x:c r="A62" s="14" t="n">
        <x:v>61</x:v>
      </x:c>
      <x:c r="B62" s="16" t="str">
        <x:v>Citadel</x:v>
      </x:c>
      <x:c r="C62" s="14" t="str"/>
      <x:c r="D62" s="12" t="str">
        <x:v>Eshin Grey</x:v>
      </x:c>
      <x:c r="E62" s="14" t="str">
        <x:v>Layer</x:v>
      </x:c>
      <x:c r="F62" s="14" t="str">
        <x:v>Серый</x:v>
      </x:c>
      <x:c r="G62" s="14" t="n">
        <x:v>1</x:v>
      </x:c>
      <x:c r="H62" s="14" t="str">
        <x:v>Не проверено</x:v>
      </x:c>
      <x:c r="I62" s="14" t="str">
        <x:v>Не проверено</x:v>
      </x:c>
      <x:c r="J62" s="14" t="str">
        <x:f>IF(OR(H62="Засохла",H62="Пустая",I62="&lt;25%"),"Да","")</x:f>
      </x:c>
      <x:c r="K62" s="14" t="str">
        <x:v>IMG_6711</x:v>
      </x:c>
      <x:c r="L62" s="14" t="n">
        <x:v>5</x:v>
      </x:c>
      <x:c r="M62" s="14" t="str"/>
      <x:c r="N62" s="12" t="str"/>
    </x:row>
    <x:row r="63">
      <x:c r="A63" s="14" t="n">
        <x:v>62</x:v>
      </x:c>
      <x:c r="B63" s="16" t="str">
        <x:v>Citadel</x:v>
      </x:c>
      <x:c r="C63" s="14" t="str"/>
      <x:c r="D63" s="12" t="str">
        <x:v>Mechanicus Standard Grey</x:v>
      </x:c>
      <x:c r="E63" s="14" t="str">
        <x:v>Base</x:v>
      </x:c>
      <x:c r="F63" s="14" t="str">
        <x:v>Серый</x:v>
      </x:c>
      <x:c r="G63" s="14" t="n">
        <x:v>1</x:v>
      </x:c>
      <x:c r="H63" s="14" t="str">
        <x:v>Не проверено</x:v>
      </x:c>
      <x:c r="I63" s="14" t="str">
        <x:v>Не проверено</x:v>
      </x:c>
      <x:c r="J63" s="14" t="str">
        <x:f>IF(OR(H63="Засохла",H63="Пустая",I63="&lt;25%"),"Да","")</x:f>
      </x:c>
      <x:c r="K63" s="14" t="str">
        <x:v>IMG_6711</x:v>
      </x:c>
      <x:c r="L63" s="14" t="n">
        <x:v>6</x:v>
      </x:c>
      <x:c r="M63" s="14" t="str"/>
      <x:c r="N63" s="12" t="str"/>
    </x:row>
    <x:row r="64">
      <x:c r="A64" s="14" t="n">
        <x:v>63</x:v>
      </x:c>
      <x:c r="B64" s="16" t="str">
        <x:v>Citadel</x:v>
      </x:c>
      <x:c r="C64" s="14" t="str"/>
      <x:c r="D64" s="12" t="str">
        <x:v>Dawnstone</x:v>
      </x:c>
      <x:c r="E64" s="14" t="str">
        <x:v>Layer</x:v>
      </x:c>
      <x:c r="F64" s="14" t="str">
        <x:v>Серый</x:v>
      </x:c>
      <x:c r="G64" s="14" t="n">
        <x:v>1</x:v>
      </x:c>
      <x:c r="H64" s="14" t="str">
        <x:v>Не проверено</x:v>
      </x:c>
      <x:c r="I64" s="14" t="str">
        <x:v>Не проверено</x:v>
      </x:c>
      <x:c r="J64" s="14" t="str">
        <x:f>IF(OR(H64="Засохла",H64="Пустая",I64="&lt;25%"),"Да","")</x:f>
      </x:c>
      <x:c r="K64" s="14" t="str">
        <x:v>IMG_6711</x:v>
      </x:c>
      <x:c r="L64" s="14" t="n">
        <x:v>7</x:v>
      </x:c>
      <x:c r="M64" s="14" t="str"/>
      <x:c r="N64" s="12" t="str"/>
    </x:row>
    <x:row r="65">
      <x:c r="A65" s="14" t="n">
        <x:v>64</x:v>
      </x:c>
      <x:c r="B65" s="16" t="str">
        <x:v>Citadel</x:v>
      </x:c>
      <x:c r="C65" s="14" t="str"/>
      <x:c r="D65" s="12" t="str">
        <x:v>Rhinox Hide</x:v>
      </x:c>
      <x:c r="E65" s="14" t="str">
        <x:v>Base</x:v>
      </x:c>
      <x:c r="F65" s="14" t="str">
        <x:v>Коричневый</x:v>
      </x:c>
      <x:c r="G65" s="14" t="n">
        <x:v>1</x:v>
      </x:c>
      <x:c r="H65" s="14" t="str">
        <x:v>Не проверено</x:v>
      </x:c>
      <x:c r="I65" s="14" t="str">
        <x:v>Не проверено</x:v>
      </x:c>
      <x:c r="J65" s="14" t="str">
        <x:f>IF(OR(H65="Засохла",H65="Пустая",I65="&lt;25%"),"Да","")</x:f>
      </x:c>
      <x:c r="K65" s="14" t="str">
        <x:v>IMG_6712</x:v>
      </x:c>
      <x:c r="L65" s="14" t="n">
        <x:v>1</x:v>
      </x:c>
      <x:c r="M65" s="14" t="str"/>
      <x:c r="N65" s="12" t="str"/>
    </x:row>
    <x:row r="66">
      <x:c r="A66" s="14" t="n">
        <x:v>65</x:v>
      </x:c>
      <x:c r="B66" s="16" t="str">
        <x:v>Citadel</x:v>
      </x:c>
      <x:c r="C66" s="14" t="str"/>
      <x:c r="D66" s="12" t="str">
        <x:v>Dryad Bark</x:v>
      </x:c>
      <x:c r="E66" s="14" t="str">
        <x:v>Base</x:v>
      </x:c>
      <x:c r="F66" s="14" t="str">
        <x:v>Коричневый</x:v>
      </x:c>
      <x:c r="G66" s="14" t="n">
        <x:v>1</x:v>
      </x:c>
      <x:c r="H66" s="14" t="str">
        <x:v>Не проверено</x:v>
      </x:c>
      <x:c r="I66" s="14" t="str">
        <x:v>Не проверено</x:v>
      </x:c>
      <x:c r="J66" s="14" t="str">
        <x:f>IF(OR(H66="Засохла",H66="Пустая",I66="&lt;25%"),"Да","")</x:f>
      </x:c>
      <x:c r="K66" s="14" t="str">
        <x:v>IMG_6712</x:v>
      </x:c>
      <x:c r="L66" s="14" t="n">
        <x:v>2</x:v>
      </x:c>
      <x:c r="M66" s="14" t="str"/>
      <x:c r="N66" s="12" t="str"/>
    </x:row>
    <x:row r="67">
      <x:c r="A67" s="14" t="n">
        <x:v>66</x:v>
      </x:c>
      <x:c r="B67" s="16" t="str">
        <x:v>Citadel</x:v>
      </x:c>
      <x:c r="C67" s="14" t="str"/>
      <x:c r="D67" s="12" t="str">
        <x:v>Gorthor Brown</x:v>
      </x:c>
      <x:c r="E67" s="14" t="str">
        <x:v>Layer</x:v>
      </x:c>
      <x:c r="F67" s="14" t="str">
        <x:v>Коричневый</x:v>
      </x:c>
      <x:c r="G67" s="14" t="n">
        <x:v>1</x:v>
      </x:c>
      <x:c r="H67" s="14" t="str">
        <x:v>Не проверено</x:v>
      </x:c>
      <x:c r="I67" s="14" t="str">
        <x:v>Не проверено</x:v>
      </x:c>
      <x:c r="J67" s="14" t="str">
        <x:f>IF(OR(H67="Засохла",H67="Пустая",I67="&lt;25%"),"Да","")</x:f>
      </x:c>
      <x:c r="K67" s="14" t="str">
        <x:v>IMG_6712</x:v>
      </x:c>
      <x:c r="L67" s="14" t="n">
        <x:v>3</x:v>
      </x:c>
      <x:c r="M67" s="14" t="str"/>
      <x:c r="N67" s="12" t="str"/>
    </x:row>
    <x:row r="68">
      <x:c r="A68" s="14" t="n">
        <x:v>67</x:v>
      </x:c>
      <x:c r="B68" s="16" t="str">
        <x:v>Citadel</x:v>
      </x:c>
      <x:c r="C68" s="14" t="str"/>
      <x:c r="D68" s="12" t="str">
        <x:v>Baneblade Brown</x:v>
      </x:c>
      <x:c r="E68" s="14" t="str">
        <x:v>Layer</x:v>
      </x:c>
      <x:c r="F68" s="14" t="str">
        <x:v>Серо-коричневый</x:v>
      </x:c>
      <x:c r="G68" s="14" t="n">
        <x:v>1</x:v>
      </x:c>
      <x:c r="H68" s="14" t="str">
        <x:v>Не проверено</x:v>
      </x:c>
      <x:c r="I68" s="14" t="str">
        <x:v>Не проверено</x:v>
      </x:c>
      <x:c r="J68" s="14" t="str">
        <x:f>IF(OR(H68="Засохла",H68="Пустая",I68="&lt;25%"),"Да","")</x:f>
      </x:c>
      <x:c r="K68" s="14" t="str">
        <x:v>IMG_6712</x:v>
      </x:c>
      <x:c r="L68" s="14" t="n">
        <x:v>4</x:v>
      </x:c>
      <x:c r="M68" s="14" t="str"/>
      <x:c r="N68" s="12" t="str"/>
    </x:row>
    <x:row r="69">
      <x:c r="A69" s="14" t="n">
        <x:v>68</x:v>
      </x:c>
      <x:c r="B69" s="16" t="str">
        <x:v>Citadel</x:v>
      </x:c>
      <x:c r="C69" s="14" t="str"/>
      <x:c r="D69" s="12" t="str">
        <x:v>Karak Stone</x:v>
      </x:c>
      <x:c r="E69" s="14" t="str">
        <x:v>Layer</x:v>
      </x:c>
      <x:c r="F69" s="14" t="str">
        <x:v>Бежевый</x:v>
      </x:c>
      <x:c r="G69" s="14" t="n">
        <x:v>1</x:v>
      </x:c>
      <x:c r="H69" s="14" t="str">
        <x:v>Не проверено</x:v>
      </x:c>
      <x:c r="I69" s="14" t="str">
        <x:v>Не проверено</x:v>
      </x:c>
      <x:c r="J69" s="14" t="str">
        <x:f>IF(OR(H69="Засохла",H69="Пустая",I69="&lt;25%"),"Да","")</x:f>
      </x:c>
      <x:c r="K69" s="14" t="str">
        <x:v>IMG_6712</x:v>
      </x:c>
      <x:c r="L69" s="14" t="n">
        <x:v>5</x:v>
      </x:c>
      <x:c r="M69" s="14" t="str"/>
      <x:c r="N69" s="12" t="str"/>
    </x:row>
    <x:row r="70">
      <x:c r="A70" s="14" t="n">
        <x:v>69</x:v>
      </x:c>
      <x:c r="B70" s="16" t="str">
        <x:v>Citadel</x:v>
      </x:c>
      <x:c r="C70" s="14" t="str"/>
      <x:c r="D70" s="12" t="str">
        <x:v>Deepkin Flesh</x:v>
      </x:c>
      <x:c r="E70" s="14" t="str">
        <x:v>Layer</x:v>
      </x:c>
      <x:c r="F70" s="14" t="str">
        <x:v>Светлый нейтральный</x:v>
      </x:c>
      <x:c r="G70" s="14" t="n">
        <x:v>1</x:v>
      </x:c>
      <x:c r="H70" s="14" t="str">
        <x:v>Не проверено</x:v>
      </x:c>
      <x:c r="I70" s="14" t="str">
        <x:v>Не проверено</x:v>
      </x:c>
      <x:c r="J70" s="14" t="str">
        <x:f>IF(OR(H70="Засохла",H70="Пустая",I70="&lt;25%"),"Да","")</x:f>
      </x:c>
      <x:c r="K70" s="14" t="str">
        <x:v>IMG_6712</x:v>
      </x:c>
      <x:c r="L70" s="14" t="n">
        <x:v>6</x:v>
      </x:c>
      <x:c r="M70" s="14" t="str"/>
      <x:c r="N70" s="12" t="str"/>
    </x:row>
    <x:row r="71">
      <x:c r="A71" s="14" t="n">
        <x:v>70</x:v>
      </x:c>
      <x:c r="B71" s="16" t="str">
        <x:v>Citadel</x:v>
      </x:c>
      <x:c r="C71" s="14" t="str"/>
      <x:c r="D71" s="12" t="str">
        <x:v>Ulthuan Grey</x:v>
      </x:c>
      <x:c r="E71" s="14" t="str">
        <x:v>Layer</x:v>
      </x:c>
      <x:c r="F71" s="14" t="str">
        <x:v>Светло-серый</x:v>
      </x:c>
      <x:c r="G71" s="14" t="n">
        <x:v>1</x:v>
      </x:c>
      <x:c r="H71" s="14" t="str">
        <x:v>Не проверено</x:v>
      </x:c>
      <x:c r="I71" s="14" t="str">
        <x:v>Не проверено</x:v>
      </x:c>
      <x:c r="J71" s="14" t="str">
        <x:f>IF(OR(H71="Засохла",H71="Пустая",I71="&lt;25%"),"Да","")</x:f>
      </x:c>
      <x:c r="K71" s="14" t="str">
        <x:v>IMG_6712</x:v>
      </x:c>
      <x:c r="L71" s="14" t="n">
        <x:v>7</x:v>
      </x:c>
      <x:c r="M71" s="14" t="str"/>
      <x:c r="N71" s="12" t="str"/>
    </x:row>
    <x:row r="72">
      <x:c r="A72" s="14" t="n">
        <x:v>71</x:v>
      </x:c>
      <x:c r="B72" s="16" t="str">
        <x:v>Citadel</x:v>
      </x:c>
      <x:c r="C72" s="14" t="str"/>
      <x:c r="D72" s="12" t="str">
        <x:v>Blood Angels Red</x:v>
      </x:c>
      <x:c r="E72" s="14" t="str">
        <x:v>Contrast</x:v>
      </x:c>
      <x:c r="F72" s="14" t="str">
        <x:v>Красный</x:v>
      </x:c>
      <x:c r="G72" s="14" t="n">
        <x:v>1</x:v>
      </x:c>
      <x:c r="H72" s="14" t="str">
        <x:v>Не проверено</x:v>
      </x:c>
      <x:c r="I72" s="14" t="str">
        <x:v>Не проверено</x:v>
      </x:c>
      <x:c r="J72" s="14" t="str">
        <x:f>IF(OR(H72="Засохла",H72="Пустая",I72="&lt;25%"),"Да","")</x:f>
      </x:c>
      <x:c r="K72" s="14" t="str">
        <x:v>IMG_6713</x:v>
      </x:c>
      <x:c r="L72" s="14" t="n">
        <x:v>1</x:v>
      </x:c>
      <x:c r="M72" s="14" t="str"/>
      <x:c r="N72" s="12" t="str"/>
    </x:row>
    <x:row r="73">
      <x:c r="A73" s="14" t="n">
        <x:v>72</x:v>
      </x:c>
      <x:c r="B73" s="16" t="str">
        <x:v>Citadel</x:v>
      </x:c>
      <x:c r="C73" s="14" t="str"/>
      <x:c r="D73" s="12" t="str">
        <x:v>Baal Red</x:v>
      </x:c>
      <x:c r="E73" s="14" t="str">
        <x:v>Contrast</x:v>
      </x:c>
      <x:c r="F73" s="14" t="str">
        <x:v>Красный</x:v>
      </x:c>
      <x:c r="G73" s="14" t="n">
        <x:v>1</x:v>
      </x:c>
      <x:c r="H73" s="14" t="str">
        <x:v>Не проверено</x:v>
      </x:c>
      <x:c r="I73" s="14" t="str">
        <x:v>Не проверено</x:v>
      </x:c>
      <x:c r="J73" s="14" t="str">
        <x:f>IF(OR(H73="Засохла",H73="Пустая",I73="&lt;25%"),"Да","")</x:f>
      </x:c>
      <x:c r="K73" s="14" t="str">
        <x:v>IMG_6713</x:v>
      </x:c>
      <x:c r="L73" s="14" t="n">
        <x:v>2</x:v>
      </x:c>
      <x:c r="M73" s="14" t="str"/>
      <x:c r="N73" s="12" t="str"/>
    </x:row>
    <x:row r="74">
      <x:c r="A74" s="14" t="n">
        <x:v>73</x:v>
      </x:c>
      <x:c r="B74" s="16" t="str">
        <x:v>Citadel</x:v>
      </x:c>
      <x:c r="C74" s="14" t="str"/>
      <x:c r="D74" s="12" t="str">
        <x:v>Sigvald Burgundy</x:v>
      </x:c>
      <x:c r="E74" s="14" t="str">
        <x:v>Contrast</x:v>
      </x:c>
      <x:c r="F74" s="14" t="str">
        <x:v>Бордовый</x:v>
      </x:c>
      <x:c r="G74" s="14" t="n">
        <x:v>1</x:v>
      </x:c>
      <x:c r="H74" s="14" t="str">
        <x:v>Не проверено</x:v>
      </x:c>
      <x:c r="I74" s="14" t="str">
        <x:v>Не проверено</x:v>
      </x:c>
      <x:c r="J74" s="14" t="str">
        <x:f>IF(OR(H74="Засохла",H74="Пустая",I74="&lt;25%"),"Да","")</x:f>
      </x:c>
      <x:c r="K74" s="14" t="str">
        <x:v>IMG_6713</x:v>
      </x:c>
      <x:c r="L74" s="14" t="n">
        <x:v>3</x:v>
      </x:c>
      <x:c r="M74" s="14" t="str"/>
      <x:c r="N74" s="12" t="str"/>
    </x:row>
    <x:row r="75">
      <x:c r="A75" s="14" t="n">
        <x:v>74</x:v>
      </x:c>
      <x:c r="B75" s="16" t="str">
        <x:v>Citadel</x:v>
      </x:c>
      <x:c r="C75" s="14" t="str"/>
      <x:c r="D75" s="12" t="str">
        <x:v>Black Legion</x:v>
      </x:c>
      <x:c r="E75" s="14" t="str">
        <x:v>Contrast</x:v>
      </x:c>
      <x:c r="F75" s="14" t="str">
        <x:v>Чёрный</x:v>
      </x:c>
      <x:c r="G75" s="14" t="n">
        <x:v>1</x:v>
      </x:c>
      <x:c r="H75" s="14" t="str">
        <x:v>Не проверено</x:v>
      </x:c>
      <x:c r="I75" s="14" t="str">
        <x:v>Не проверено</x:v>
      </x:c>
      <x:c r="J75" s="14" t="str">
        <x:f>IF(OR(H75="Засохла",H75="Пустая",I75="&lt;25%"),"Да","")</x:f>
      </x:c>
      <x:c r="K75" s="14" t="str">
        <x:v>IMG_6713</x:v>
      </x:c>
      <x:c r="L75" s="14" t="n">
        <x:v>4</x:v>
      </x:c>
      <x:c r="M75" s="14" t="str"/>
      <x:c r="N75" s="12" t="str"/>
    </x:row>
    <x:row r="76">
      <x:c r="A76" s="14" t="n">
        <x:v>75</x:v>
      </x:c>
      <x:c r="B76" s="16" t="str">
        <x:v>Citadel</x:v>
      </x:c>
      <x:c r="C76" s="14" t="str"/>
      <x:c r="D76" s="12" t="str">
        <x:v>Flesh Tearers Red</x:v>
      </x:c>
      <x:c r="E76" s="14" t="str">
        <x:v>Contrast</x:v>
      </x:c>
      <x:c r="F76" s="14" t="str">
        <x:v>Тёмно-красный</x:v>
      </x:c>
      <x:c r="G76" s="14" t="n">
        <x:v>1</x:v>
      </x:c>
      <x:c r="H76" s="14" t="str">
        <x:v>Не проверено</x:v>
      </x:c>
      <x:c r="I76" s="14" t="str">
        <x:v>Не проверено</x:v>
      </x:c>
      <x:c r="J76" s="14" t="str">
        <x:f>IF(OR(H76="Засохла",H76="Пустая",I76="&lt;25%"),"Да","")</x:f>
      </x:c>
      <x:c r="K76" s="14" t="str">
        <x:v>IMG_6713</x:v>
      </x:c>
      <x:c r="L76" s="14" t="n">
        <x:v>5</x:v>
      </x:c>
      <x:c r="M76" s="14" t="str"/>
      <x:c r="N76" s="12" t="str"/>
    </x:row>
    <x:row r="77">
      <x:c r="A77" s="14" t="n">
        <x:v>76</x:v>
      </x:c>
      <x:c r="B77" s="16" t="str">
        <x:v>Citadel</x:v>
      </x:c>
      <x:c r="C77" s="14" t="str"/>
      <x:c r="D77" s="12" t="str">
        <x:v>Volupus Pink</x:v>
      </x:c>
      <x:c r="E77" s="14" t="str">
        <x:v>Contrast</x:v>
      </x:c>
      <x:c r="F77" s="14" t="str">
        <x:v>Розовый</x:v>
      </x:c>
      <x:c r="G77" s="14" t="n">
        <x:v>1</x:v>
      </x:c>
      <x:c r="H77" s="14" t="str">
        <x:v>Не проверено</x:v>
      </x:c>
      <x:c r="I77" s="14" t="str">
        <x:v>Не проверено</x:v>
      </x:c>
      <x:c r="J77" s="14" t="str">
        <x:f>IF(OR(H77="Засохла",H77="Пустая",I77="&lt;25%"),"Да","")</x:f>
      </x:c>
      <x:c r="K77" s="14" t="str">
        <x:v>IMG_6713</x:v>
      </x:c>
      <x:c r="L77" s="14" t="n">
        <x:v>6</x:v>
      </x:c>
      <x:c r="M77" s="14" t="str"/>
      <x:c r="N77" s="12" t="str"/>
    </x:row>
    <x:row r="78">
      <x:c r="A78" s="14" t="n">
        <x:v>77</x:v>
      </x:c>
      <x:c r="B78" s="16" t="str">
        <x:v>Citadel</x:v>
      </x:c>
      <x:c r="C78" s="14" t="str"/>
      <x:c r="D78" s="12" t="str">
        <x:v>Shyish Purple</x:v>
      </x:c>
      <x:c r="E78" s="14" t="str">
        <x:v>Contrast</x:v>
      </x:c>
      <x:c r="F78" s="14" t="str">
        <x:v>Фиолетовый</x:v>
      </x:c>
      <x:c r="G78" s="14" t="n">
        <x:v>1</x:v>
      </x:c>
      <x:c r="H78" s="14" t="str">
        <x:v>Не проверено</x:v>
      </x:c>
      <x:c r="I78" s="14" t="str">
        <x:v>Не проверено</x:v>
      </x:c>
      <x:c r="J78" s="14" t="str">
        <x:f>IF(OR(H78="Засохла",H78="Пустая",I78="&lt;25%"),"Да","")</x:f>
      </x:c>
      <x:c r="K78" s="14" t="str">
        <x:v>IMG_6713</x:v>
      </x:c>
      <x:c r="L78" s="14" t="n">
        <x:v>7</x:v>
      </x:c>
      <x:c r="M78" s="14" t="str"/>
      <x:c r="N78" s="12" t="str"/>
    </x:row>
    <x:row r="79">
      <x:c r="A79" s="14" t="n">
        <x:v>78</x:v>
      </x:c>
      <x:c r="B79" s="16" t="str">
        <x:v>Citadel</x:v>
      </x:c>
      <x:c r="C79" s="14" t="str"/>
      <x:c r="D79" s="12" t="str">
        <x:v>Skeleton Horde</x:v>
      </x:c>
      <x:c r="E79" s="14" t="str">
        <x:v>Contrast</x:v>
      </x:c>
      <x:c r="F79" s="14" t="str">
        <x:v>Кость</x:v>
      </x:c>
      <x:c r="G79" s="14" t="n">
        <x:v>1</x:v>
      </x:c>
      <x:c r="H79" s="14" t="str">
        <x:v>Не проверено</x:v>
      </x:c>
      <x:c r="I79" s="14" t="str">
        <x:v>Не проверено</x:v>
      </x:c>
      <x:c r="J79" s="14" t="str">
        <x:f>IF(OR(H79="Засохла",H79="Пустая",I79="&lt;25%"),"Да","")</x:f>
      </x:c>
      <x:c r="K79" s="14" t="str">
        <x:v>IMG_6714</x:v>
      </x:c>
      <x:c r="L79" s="14" t="n">
        <x:v>1</x:v>
      </x:c>
      <x:c r="M79" s="14" t="str"/>
      <x:c r="N79" s="12" t="str"/>
    </x:row>
    <x:row r="80">
      <x:c r="A80" s="14" t="n">
        <x:v>79</x:v>
      </x:c>
      <x:c r="B80" s="16" t="str">
        <x:v>Citadel</x:v>
      </x:c>
      <x:c r="C80" s="14" t="str"/>
      <x:c r="D80" s="12" t="str">
        <x:v>Magos Purple</x:v>
      </x:c>
      <x:c r="E80" s="14" t="str">
        <x:v>Contrast</x:v>
      </x:c>
      <x:c r="F80" s="14" t="str">
        <x:v>Фиолетовый</x:v>
      </x:c>
      <x:c r="G80" s="14" t="n">
        <x:v>1</x:v>
      </x:c>
      <x:c r="H80" s="14" t="str">
        <x:v>Не проверено</x:v>
      </x:c>
      <x:c r="I80" s="14" t="str">
        <x:v>Не проверено</x:v>
      </x:c>
      <x:c r="J80" s="14" t="str">
        <x:f>IF(OR(H80="Засохла",H80="Пустая",I80="&lt;25%"),"Да","")</x:f>
      </x:c>
      <x:c r="K80" s="14" t="str">
        <x:v>IMG_6714</x:v>
      </x:c>
      <x:c r="L80" s="14" t="n">
        <x:v>2</x:v>
      </x:c>
      <x:c r="M80" s="14" t="str"/>
      <x:c r="N80" s="12" t="str"/>
    </x:row>
    <x:row r="81">
      <x:c r="A81" s="14" t="n">
        <x:v>80</x:v>
      </x:c>
      <x:c r="B81" s="16" t="str">
        <x:v>Citadel</x:v>
      </x:c>
      <x:c r="C81" s="14" t="str"/>
      <x:c r="D81" s="12" t="str">
        <x:v>Dreadful Visage</x:v>
      </x:c>
      <x:c r="E81" s="14" t="str">
        <x:v>Contrast</x:v>
      </x:c>
      <x:c r="F81" s="14" t="str">
        <x:v>Серо-фиолетовый</x:v>
      </x:c>
      <x:c r="G81" s="14" t="n">
        <x:v>1</x:v>
      </x:c>
      <x:c r="H81" s="14" t="str">
        <x:v>Не проверено</x:v>
      </x:c>
      <x:c r="I81" s="14" t="str">
        <x:v>Не проверено</x:v>
      </x:c>
      <x:c r="J81" s="14" t="str">
        <x:f>IF(OR(H81="Засохла",H81="Пустая",I81="&lt;25%"),"Да","")</x:f>
      </x:c>
      <x:c r="K81" s="14" t="str">
        <x:v>IMG_6714</x:v>
      </x:c>
      <x:c r="L81" s="14" t="n">
        <x:v>3</x:v>
      </x:c>
      <x:c r="M81" s="14" t="str"/>
      <x:c r="N81" s="12" t="str"/>
    </x:row>
    <x:row r="82">
      <x:c r="A82" s="14" t="n">
        <x:v>81</x:v>
      </x:c>
      <x:c r="B82" s="16" t="str">
        <x:v>Citadel</x:v>
      </x:c>
      <x:c r="C82" s="14" t="str"/>
      <x:c r="D82" s="12" t="str">
        <x:v>Doomfire Magenta</x:v>
      </x:c>
      <x:c r="E82" s="14" t="str">
        <x:v>Contrast</x:v>
      </x:c>
      <x:c r="F82" s="14" t="str">
        <x:v>Розовый</x:v>
      </x:c>
      <x:c r="G82" s="14" t="n">
        <x:v>1</x:v>
      </x:c>
      <x:c r="H82" s="14" t="str">
        <x:v>Не проверено</x:v>
      </x:c>
      <x:c r="I82" s="14" t="str">
        <x:v>Не проверено</x:v>
      </x:c>
      <x:c r="J82" s="14" t="str">
        <x:f>IF(OR(H82="Засохла",H82="Пустая",I82="&lt;25%"),"Да","")</x:f>
      </x:c>
      <x:c r="K82" s="14" t="str">
        <x:v>IMG_6714</x:v>
      </x:c>
      <x:c r="L82" s="14" t="n">
        <x:v>4</x:v>
      </x:c>
      <x:c r="M82" s="14" t="str"/>
      <x:c r="N82" s="12" t="str"/>
    </x:row>
    <x:row r="83">
      <x:c r="A83" s="14" t="n">
        <x:v>82</x:v>
      </x:c>
      <x:c r="B83" s="16" t="str">
        <x:v>Citadel</x:v>
      </x:c>
      <x:c r="C83" s="14" t="str"/>
      <x:c r="D83" s="12" t="str">
        <x:v>Guilliman Flesh</x:v>
      </x:c>
      <x:c r="E83" s="14" t="str">
        <x:v>Contrast</x:v>
      </x:c>
      <x:c r="F83" s="14" t="str">
        <x:v>Телесный</x:v>
      </x:c>
      <x:c r="G83" s="14" t="n">
        <x:v>1</x:v>
      </x:c>
      <x:c r="H83" s="14" t="str">
        <x:v>Не проверено</x:v>
      </x:c>
      <x:c r="I83" s="14" t="str">
        <x:v>Не проверено</x:v>
      </x:c>
      <x:c r="J83" s="14" t="str">
        <x:f>IF(OR(H83="Засохла",H83="Пустая",I83="&lt;25%"),"Да","")</x:f>
      </x:c>
      <x:c r="K83" s="14" t="str">
        <x:v>IMG_6714</x:v>
      </x:c>
      <x:c r="L83" s="14" t="n">
        <x:v>5</x:v>
      </x:c>
      <x:c r="M83" s="14" t="str"/>
      <x:c r="N83" s="12" t="str"/>
    </x:row>
    <x:row r="84">
      <x:c r="A84" s="14" t="n">
        <x:v>83</x:v>
      </x:c>
      <x:c r="B84" s="16" t="str">
        <x:v>Citadel</x:v>
      </x:c>
      <x:c r="C84" s="14" t="str"/>
      <x:c r="D84" s="12" t="str">
        <x:v>Militarum Green</x:v>
      </x:c>
      <x:c r="E84" s="14" t="str">
        <x:v>Contrast</x:v>
      </x:c>
      <x:c r="F84" s="14" t="str">
        <x:v>Оливковый</x:v>
      </x:c>
      <x:c r="G84" s="14" t="n">
        <x:v>1</x:v>
      </x:c>
      <x:c r="H84" s="14" t="str">
        <x:v>Не проверено</x:v>
      </x:c>
      <x:c r="I84" s="14" t="str">
        <x:v>Не проверено</x:v>
      </x:c>
      <x:c r="J84" s="14" t="str">
        <x:f>IF(OR(H84="Засохла",H84="Пустая",I84="&lt;25%"),"Да","")</x:f>
      </x:c>
      <x:c r="K84" s="14" t="str">
        <x:v>IMG_6714</x:v>
      </x:c>
      <x:c r="L84" s="14" t="n">
        <x:v>6</x:v>
      </x:c>
      <x:c r="M84" s="14" t="str"/>
      <x:c r="N84" s="12" t="str"/>
    </x:row>
    <x:row r="85">
      <x:c r="A85" s="14" t="n">
        <x:v>84</x:v>
      </x:c>
      <x:c r="B85" s="16" t="str">
        <x:v>Citadel</x:v>
      </x:c>
      <x:c r="C85" s="14" t="str"/>
      <x:c r="D85" s="12" t="str">
        <x:v>Akhelian Green</x:v>
      </x:c>
      <x:c r="E85" s="14" t="str">
        <x:v>Contrast</x:v>
      </x:c>
      <x:c r="F85" s="14" t="str">
        <x:v>Сине-зелёный</x:v>
      </x:c>
      <x:c r="G85" s="14" t="n">
        <x:v>1</x:v>
      </x:c>
      <x:c r="H85" s="14" t="str">
        <x:v>Не проверено</x:v>
      </x:c>
      <x:c r="I85" s="14" t="str">
        <x:v>Не проверено</x:v>
      </x:c>
      <x:c r="J85" s="14" t="str">
        <x:f>IF(OR(H85="Засохла",H85="Пустая",I85="&lt;25%"),"Да","")</x:f>
      </x:c>
      <x:c r="K85" s="14" t="str">
        <x:v>IMG_6714</x:v>
      </x:c>
      <x:c r="L85" s="14" t="n">
        <x:v>7</x:v>
      </x:c>
      <x:c r="M85" s="14" t="str"/>
      <x:c r="N85" s="12" t="str"/>
    </x:row>
    <x:row r="86">
      <x:c r="A86" s="14" t="n">
        <x:v>85</x:v>
      </x:c>
      <x:c r="B86" s="16" t="str">
        <x:v>Citadel</x:v>
      </x:c>
      <x:c r="C86" s="14" t="str"/>
      <x:c r="D86" s="12" t="str">
        <x:v>Gore-Grunta Fur</x:v>
      </x:c>
      <x:c r="E86" s="14" t="str">
        <x:v>Contrast</x:v>
      </x:c>
      <x:c r="F86" s="14" t="str">
        <x:v>Коричневый</x:v>
      </x:c>
      <x:c r="G86" s="14" t="n">
        <x:v>1</x:v>
      </x:c>
      <x:c r="H86" s="14" t="str">
        <x:v>Не проверено</x:v>
      </x:c>
      <x:c r="I86" s="14" t="str">
        <x:v>Не проверено</x:v>
      </x:c>
      <x:c r="J86" s="14" t="str">
        <x:f>IF(OR(H86="Засохла",H86="Пустая",I86="&lt;25%"),"Да","")</x:f>
      </x:c>
      <x:c r="K86" s="14" t="str">
        <x:v>IMG_6715</x:v>
      </x:c>
      <x:c r="L86" s="14" t="n">
        <x:v>1</x:v>
      </x:c>
      <x:c r="M86" s="14" t="str"/>
      <x:c r="N86" s="12" t="str"/>
    </x:row>
    <x:row r="87">
      <x:c r="A87" s="14" t="n">
        <x:v>86</x:v>
      </x:c>
      <x:c r="B87" s="16" t="str">
        <x:v>Citadel</x:v>
      </x:c>
      <x:c r="C87" s="14" t="str"/>
      <x:c r="D87" s="12" t="str">
        <x:v>Kroxigor Scales</x:v>
      </x:c>
      <x:c r="E87" s="14" t="str">
        <x:v>Contrast</x:v>
      </x:c>
      <x:c r="F87" s="14" t="str">
        <x:v>Бирюзовый</x:v>
      </x:c>
      <x:c r="G87" s="14" t="n">
        <x:v>1</x:v>
      </x:c>
      <x:c r="H87" s="14" t="str">
        <x:v>Не проверено</x:v>
      </x:c>
      <x:c r="I87" s="14" t="str">
        <x:v>Не проверено</x:v>
      </x:c>
      <x:c r="J87" s="14" t="str">
        <x:f>IF(OR(H87="Засохла",H87="Пустая",I87="&lt;25%"),"Да","")</x:f>
      </x:c>
      <x:c r="K87" s="14" t="str">
        <x:v>IMG_6715</x:v>
      </x:c>
      <x:c r="L87" s="14" t="n">
        <x:v>2</x:v>
      </x:c>
      <x:c r="M87" s="14" t="str"/>
      <x:c r="N87" s="12" t="str"/>
    </x:row>
    <x:row r="88">
      <x:c r="A88" s="14" t="n">
        <x:v>87</x:v>
      </x:c>
      <x:c r="B88" s="16" t="str">
        <x:v>Citadel</x:v>
      </x:c>
      <x:c r="C88" s="14" t="str"/>
      <x:c r="D88" s="12" t="str">
        <x:v>Talassar Blue</x:v>
      </x:c>
      <x:c r="E88" s="14" t="str">
        <x:v>Contrast</x:v>
      </x:c>
      <x:c r="F88" s="14" t="str">
        <x:v>Синий</x:v>
      </x:c>
      <x:c r="G88" s="14" t="n">
        <x:v>1</x:v>
      </x:c>
      <x:c r="H88" s="14" t="str">
        <x:v>Не проверено</x:v>
      </x:c>
      <x:c r="I88" s="14" t="str">
        <x:v>Не проверено</x:v>
      </x:c>
      <x:c r="J88" s="14" t="str">
        <x:f>IF(OR(H88="Засохла",H88="Пустая",I88="&lt;25%"),"Да","")</x:f>
      </x:c>
      <x:c r="K88" s="14" t="str">
        <x:v>IMG_6715</x:v>
      </x:c>
      <x:c r="L88" s="14" t="n">
        <x:v>3</x:v>
      </x:c>
      <x:c r="M88" s="14" t="str"/>
      <x:c r="N88" s="12" t="str"/>
    </x:row>
    <x:row r="89">
      <x:c r="A89" s="14" t="n">
        <x:v>88</x:v>
      </x:c>
      <x:c r="B89" s="16" t="str">
        <x:v>Citadel</x:v>
      </x:c>
      <x:c r="C89" s="14" t="str"/>
      <x:c r="D89" s="12" t="str">
        <x:v>Iyanden Yellow</x:v>
      </x:c>
      <x:c r="E89" s="14" t="str">
        <x:v>Contrast</x:v>
      </x:c>
      <x:c r="F89" s="14" t="str">
        <x:v>Жёлтый</x:v>
      </x:c>
      <x:c r="G89" s="14" t="n">
        <x:v>1</x:v>
      </x:c>
      <x:c r="H89" s="14" t="str">
        <x:v>Не проверено</x:v>
      </x:c>
      <x:c r="I89" s="14" t="str">
        <x:v>Не проверено</x:v>
      </x:c>
      <x:c r="J89" s="14" t="str">
        <x:f>IF(OR(H89="Засохла",H89="Пустая",I89="&lt;25%"),"Да","")</x:f>
      </x:c>
      <x:c r="K89" s="14" t="str">
        <x:v>IMG_6715</x:v>
      </x:c>
      <x:c r="L89" s="14" t="n">
        <x:v>4</x:v>
      </x:c>
      <x:c r="M89" s="14" t="str"/>
      <x:c r="N89" s="12" t="str"/>
    </x:row>
    <x:row r="90">
      <x:c r="A90" s="14" t="n">
        <x:v>89</x:v>
      </x:c>
      <x:c r="B90" s="16" t="str">
        <x:v>Citadel</x:v>
      </x:c>
      <x:c r="C90" s="14" t="str"/>
      <x:c r="D90" s="12" t="str">
        <x:v>Magmadroth Flame</x:v>
      </x:c>
      <x:c r="E90" s="14" t="str">
        <x:v>Contrast</x:v>
      </x:c>
      <x:c r="F90" s="14" t="str">
        <x:v>Оранжевый</x:v>
      </x:c>
      <x:c r="G90" s="14" t="n">
        <x:v>1</x:v>
      </x:c>
      <x:c r="H90" s="14" t="str">
        <x:v>Не проверено</x:v>
      </x:c>
      <x:c r="I90" s="14" t="str">
        <x:v>Не проверено</x:v>
      </x:c>
      <x:c r="J90" s="14" t="str">
        <x:f>IF(OR(H90="Засохла",H90="Пустая",I90="&lt;25%"),"Да","")</x:f>
      </x:c>
      <x:c r="K90" s="14" t="str">
        <x:v>IMG_6715</x:v>
      </x:c>
      <x:c r="L90" s="14" t="n">
        <x:v>5</x:v>
      </x:c>
      <x:c r="M90" s="14" t="str"/>
      <x:c r="N90" s="12" t="str"/>
    </x:row>
    <x:row r="91">
      <x:c r="A91" s="14" t="n">
        <x:v>90</x:v>
      </x:c>
      <x:c r="B91" s="16" t="str">
        <x:v>Citadel</x:v>
      </x:c>
      <x:c r="C91" s="14" t="str"/>
      <x:c r="D91" s="12" t="str">
        <x:v>Frostheart</x:v>
      </x:c>
      <x:c r="E91" s="14" t="str">
        <x:v>Contrast</x:v>
      </x:c>
      <x:c r="F91" s="14" t="str">
        <x:v>Голубой</x:v>
      </x:c>
      <x:c r="G91" s="14" t="n">
        <x:v>1</x:v>
      </x:c>
      <x:c r="H91" s="14" t="str">
        <x:v>Не проверено</x:v>
      </x:c>
      <x:c r="I91" s="14" t="str">
        <x:v>Не проверено</x:v>
      </x:c>
      <x:c r="J91" s="14" t="str">
        <x:f>IF(OR(H91="Засохла",H91="Пустая",I91="&lt;25%"),"Да","")</x:f>
      </x:c>
      <x:c r="K91" s="14" t="str">
        <x:v>IMG_6715</x:v>
      </x:c>
      <x:c r="L91" s="14" t="n">
        <x:v>6</x:v>
      </x:c>
      <x:c r="M91" s="14" t="str"/>
      <x:c r="N91" s="12" t="str"/>
    </x:row>
    <x:row r="92">
      <x:c r="A92" s="14" t="n">
        <x:v>91</x:v>
      </x:c>
      <x:c r="B92" s="16" t="str">
        <x:v>Citadel</x:v>
      </x:c>
      <x:c r="C92" s="14" t="str"/>
      <x:c r="D92" s="12" t="str">
        <x:v>Luxion Purple</x:v>
      </x:c>
      <x:c r="E92" s="14" t="str">
        <x:v>Contrast</x:v>
      </x:c>
      <x:c r="F92" s="14" t="str">
        <x:v>Фиолетовый</x:v>
      </x:c>
      <x:c r="G92" s="14" t="n">
        <x:v>1</x:v>
      </x:c>
      <x:c r="H92" s="14" t="str">
        <x:v>Не проверено</x:v>
      </x:c>
      <x:c r="I92" s="14" t="str">
        <x:v>Не проверено</x:v>
      </x:c>
      <x:c r="J92" s="14" t="str">
        <x:f>IF(OR(H92="Засохла",H92="Пустая",I92="&lt;25%"),"Да","")</x:f>
      </x:c>
      <x:c r="K92" s="14" t="str">
        <x:v>IMG_6715</x:v>
      </x:c>
      <x:c r="L92" s="14" t="n">
        <x:v>7</x:v>
      </x:c>
      <x:c r="M92" s="14" t="str"/>
      <x:c r="N92" s="12" t="str"/>
    </x:row>
    <x:row r="93">
      <x:c r="A93" s="14" t="n">
        <x:v>92</x:v>
      </x:c>
      <x:c r="B93" s="16" t="str">
        <x:v>Citadel</x:v>
      </x:c>
      <x:c r="C93" s="14" t="str"/>
      <x:c r="D93" s="12" t="str">
        <x:v>Leviadon Blue</x:v>
      </x:c>
      <x:c r="E93" s="14" t="str">
        <x:v>Contrast</x:v>
      </x:c>
      <x:c r="F93" s="14" t="str">
        <x:v>Тёмно-синий</x:v>
      </x:c>
      <x:c r="G93" s="14" t="n">
        <x:v>1</x:v>
      </x:c>
      <x:c r="H93" s="14" t="str">
        <x:v>Не проверено</x:v>
      </x:c>
      <x:c r="I93" s="14" t="str">
        <x:v>Не проверено</x:v>
      </x:c>
      <x:c r="J93" s="14" t="str">
        <x:f>IF(OR(H93="Засохла",H93="Пустая",I93="&lt;25%"),"Да","")</x:f>
      </x:c>
      <x:c r="K93" s="14" t="str">
        <x:v>IMG_6716</x:v>
      </x:c>
      <x:c r="L93" s="14" t="n">
        <x:v>1</x:v>
      </x:c>
      <x:c r="M93" s="14" t="str"/>
      <x:c r="N93" s="12" t="str"/>
    </x:row>
    <x:row r="94">
      <x:c r="A94" s="14" t="n">
        <x:v>93</x:v>
      </x:c>
      <x:c r="B94" s="16" t="str">
        <x:v>Citadel</x:v>
      </x:c>
      <x:c r="C94" s="14" t="str"/>
      <x:c r="D94" s="12" t="str">
        <x:v>Leviathan Purple</x:v>
      </x:c>
      <x:c r="E94" s="14" t="str">
        <x:v>Contrast</x:v>
      </x:c>
      <x:c r="F94" s="14" t="str">
        <x:v>Фиолетовый</x:v>
      </x:c>
      <x:c r="G94" s="14" t="n">
        <x:v>1</x:v>
      </x:c>
      <x:c r="H94" s="14" t="str">
        <x:v>Не проверено</x:v>
      </x:c>
      <x:c r="I94" s="14" t="str">
        <x:v>Не проверено</x:v>
      </x:c>
      <x:c r="J94" s="14" t="str">
        <x:f>IF(OR(H94="Засохла",H94="Пустая",I94="&lt;25%"),"Да","")</x:f>
      </x:c>
      <x:c r="K94" s="14" t="str">
        <x:v>IMG_6716</x:v>
      </x:c>
      <x:c r="L94" s="14" t="n">
        <x:v>2</x:v>
      </x:c>
      <x:c r="M94" s="14" t="str"/>
      <x:c r="N94" s="12" t="str"/>
    </x:row>
    <x:row r="95">
      <x:c r="A95" s="14" t="n">
        <x:v>94</x:v>
      </x:c>
      <x:c r="B95" s="16" t="str">
        <x:v>Citadel</x:v>
      </x:c>
      <x:c r="C95" s="14" t="str"/>
      <x:c r="D95" s="12" t="str">
        <x:v>Black Templar</x:v>
      </x:c>
      <x:c r="E95" s="14" t="str">
        <x:v>Contrast</x:v>
      </x:c>
      <x:c r="F95" s="14" t="str">
        <x:v>Чёрный</x:v>
      </x:c>
      <x:c r="G95" s="14" t="n">
        <x:v>1</x:v>
      </x:c>
      <x:c r="H95" s="14" t="str">
        <x:v>Не проверено</x:v>
      </x:c>
      <x:c r="I95" s="14" t="str">
        <x:v>Не проверено</x:v>
      </x:c>
      <x:c r="J95" s="14" t="str">
        <x:f>IF(OR(H95="Засохла",H95="Пустая",I95="&lt;25%"),"Да","")</x:f>
      </x:c>
      <x:c r="K95" s="14" t="str">
        <x:v>IMG_6716</x:v>
      </x:c>
      <x:c r="L95" s="14" t="n">
        <x:v>3</x:v>
      </x:c>
      <x:c r="M95" s="14" t="str"/>
      <x:c r="N95" s="12" t="str"/>
    </x:row>
    <x:row r="96">
      <x:c r="A96" s="14" t="n">
        <x:v>95</x:v>
      </x:c>
      <x:c r="B96" s="16" t="str">
        <x:v>Citadel</x:v>
      </x:c>
      <x:c r="C96" s="14" t="str"/>
      <x:c r="D96" s="12" t="str">
        <x:v>Garaghak's Sewer</x:v>
      </x:c>
      <x:c r="E96" s="14" t="str">
        <x:v>Contrast</x:v>
      </x:c>
      <x:c r="F96" s="14" t="str">
        <x:v>Коричневый</x:v>
      </x:c>
      <x:c r="G96" s="14" t="n">
        <x:v>1</x:v>
      </x:c>
      <x:c r="H96" s="14" t="str">
        <x:v>Не проверено</x:v>
      </x:c>
      <x:c r="I96" s="14" t="str">
        <x:v>Не проверено</x:v>
      </x:c>
      <x:c r="J96" s="14" t="str">
        <x:f>IF(OR(H96="Засохла",H96="Пустая",I96="&lt;25%"),"Да","")</x:f>
      </x:c>
      <x:c r="K96" s="14" t="str">
        <x:v>IMG_6716</x:v>
      </x:c>
      <x:c r="L96" s="14" t="n">
        <x:v>4</x:v>
      </x:c>
      <x:c r="M96" s="14" t="str"/>
      <x:c r="N96" s="12" t="str"/>
    </x:row>
    <x:row r="97">
      <x:c r="A97" s="14" t="n">
        <x:v>96</x:v>
      </x:c>
      <x:c r="B97" s="16" t="str">
        <x:v>Citadel</x:v>
      </x:c>
      <x:c r="C97" s="14" t="str"/>
      <x:c r="D97" s="12" t="str">
        <x:v>Space Wolves Grey</x:v>
      </x:c>
      <x:c r="E97" s="14" t="str">
        <x:v>Contrast</x:v>
      </x:c>
      <x:c r="F97" s="14" t="str">
        <x:v>Серо-голубой</x:v>
      </x:c>
      <x:c r="G97" s="14" t="n">
        <x:v>1</x:v>
      </x:c>
      <x:c r="H97" s="14" t="str">
        <x:v>Не проверено</x:v>
      </x:c>
      <x:c r="I97" s="14" t="str">
        <x:v>Не проверено</x:v>
      </x:c>
      <x:c r="J97" s="14" t="str">
        <x:f>IF(OR(H97="Засохла",H97="Пустая",I97="&lt;25%"),"Да","")</x:f>
      </x:c>
      <x:c r="K97" s="14" t="str">
        <x:v>IMG_6716</x:v>
      </x:c>
      <x:c r="L97" s="14" t="n">
        <x:v>5</x:v>
      </x:c>
      <x:c r="M97" s="14" t="str"/>
      <x:c r="N97" s="12" t="str"/>
    </x:row>
    <x:row r="98">
      <x:c r="A98" s="14" t="n">
        <x:v>97</x:v>
      </x:c>
      <x:c r="B98" s="16" t="str">
        <x:v>Citadel</x:v>
      </x:c>
      <x:c r="C98" s="14" t="str"/>
      <x:c r="D98" s="12" t="str">
        <x:v>Cygor Brown</x:v>
      </x:c>
      <x:c r="E98" s="14" t="str">
        <x:v>Contrast</x:v>
      </x:c>
      <x:c r="F98" s="14" t="str">
        <x:v>Коричневый</x:v>
      </x:c>
      <x:c r="G98" s="14" t="n">
        <x:v>1</x:v>
      </x:c>
      <x:c r="H98" s="14" t="str">
        <x:v>Не проверено</x:v>
      </x:c>
      <x:c r="I98" s="14" t="str">
        <x:v>Не проверено</x:v>
      </x:c>
      <x:c r="J98" s="14" t="str">
        <x:f>IF(OR(H98="Засохла",H98="Пустая",I98="&lt;25%"),"Да","")</x:f>
      </x:c>
      <x:c r="K98" s="14" t="str">
        <x:v>IMG_6716</x:v>
      </x:c>
      <x:c r="L98" s="14" t="n">
        <x:v>6</x:v>
      </x:c>
      <x:c r="M98" s="14" t="str"/>
      <x:c r="N98" s="12" t="str"/>
    </x:row>
    <x:row r="99">
      <x:c r="A99" s="14" t="n">
        <x:v>98</x:v>
      </x:c>
      <x:c r="B99" s="16" t="str">
        <x:v>Citadel</x:v>
      </x:c>
      <x:c r="C99" s="14" t="str"/>
      <x:c r="D99" s="12" t="str">
        <x:v>Basilicanum Grey</x:v>
      </x:c>
      <x:c r="E99" s="14" t="str">
        <x:v>Contrast</x:v>
      </x:c>
      <x:c r="F99" s="14" t="str">
        <x:v>Серый</x:v>
      </x:c>
      <x:c r="G99" s="14" t="n">
        <x:v>1</x:v>
      </x:c>
      <x:c r="H99" s="14" t="str">
        <x:v>Не проверено</x:v>
      </x:c>
      <x:c r="I99" s="14" t="str">
        <x:v>Не проверено</x:v>
      </x:c>
      <x:c r="J99" s="14" t="str">
        <x:f>IF(OR(H99="Засохла",H99="Пустая",I99="&lt;25%"),"Да","")</x:f>
      </x:c>
      <x:c r="K99" s="14" t="str">
        <x:v>IMG_6716</x:v>
      </x:c>
      <x:c r="L99" s="14" t="n">
        <x:v>7</x:v>
      </x:c>
      <x:c r="M99" s="14" t="str"/>
      <x:c r="N99" s="12" t="str"/>
    </x:row>
    <x:row r="100">
      <x:c r="A100" s="14" t="n">
        <x:v>99</x:v>
      </x:c>
      <x:c r="B100" s="16" t="str">
        <x:v>Citadel</x:v>
      </x:c>
      <x:c r="C100" s="14" t="str"/>
      <x:c r="D100" s="12" t="str">
        <x:v>Wyldwood</x:v>
      </x:c>
      <x:c r="E100" s="14" t="str">
        <x:v>Contrast</x:v>
      </x:c>
      <x:c r="F100" s="14" t="str">
        <x:v>Коричневый</x:v>
      </x:c>
      <x:c r="G100" s="14" t="n">
        <x:v>1</x:v>
      </x:c>
      <x:c r="H100" s="14" t="str">
        <x:v>Не проверено</x:v>
      </x:c>
      <x:c r="I100" s="14" t="str">
        <x:v>Не проверено</x:v>
      </x:c>
      <x:c r="J100" s="14" t="str">
        <x:f>IF(OR(H100="Засохла",H100="Пустая",I100="&lt;25%"),"Да","")</x:f>
      </x:c>
      <x:c r="K100" s="14" t="str">
        <x:v>IMG_6717</x:v>
      </x:c>
      <x:c r="L100" s="14" t="n">
        <x:v>1</x:v>
      </x:c>
      <x:c r="M100" s="14" t="str"/>
      <x:c r="N100" s="12" t="str"/>
    </x:row>
    <x:row r="101">
      <x:c r="A101" s="14" t="n">
        <x:v>100</x:v>
      </x:c>
      <x:c r="B101" s="16" t="str">
        <x:v>Citadel</x:v>
      </x:c>
      <x:c r="C101" s="14" t="str"/>
      <x:c r="D101" s="12" t="str">
        <x:v>Lahmian Medium</x:v>
      </x:c>
      <x:c r="E101" s="14" t="str">
        <x:v>Technical</x:v>
      </x:c>
      <x:c r="F101" s="14" t="str">
        <x:v>Прозрачный</x:v>
      </x:c>
      <x:c r="G101" s="14" t="n">
        <x:v>1</x:v>
      </x:c>
      <x:c r="H101" s="14" t="str">
        <x:v>Не проверено</x:v>
      </x:c>
      <x:c r="I101" s="14" t="str">
        <x:v>Не проверено</x:v>
      </x:c>
      <x:c r="J101" s="14" t="str">
        <x:f>IF(OR(H101="Засохла",H101="Пустая",I101="&lt;25%"),"Да","")</x:f>
      </x:c>
      <x:c r="K101" s="14" t="str">
        <x:v>IMG_6717</x:v>
      </x:c>
      <x:c r="L101" s="14" t="n">
        <x:v>2</x:v>
      </x:c>
      <x:c r="M101" s="14" t="str">
        <x:v>Да — 2 шт.</x:v>
      </x:c>
      <x:c r="N101" s="12" t="str">
        <x:v>Повтор: 2 банки в коллекции.</x:v>
      </x:c>
    </x:row>
    <x:row r="102">
      <x:c r="A102" s="14" t="n">
        <x:v>101</x:v>
      </x:c>
      <x:c r="B102" s="16" t="str">
        <x:v>Citadel</x:v>
      </x:c>
      <x:c r="C102" s="14" t="str"/>
      <x:c r="D102" s="12" t="str">
        <x:v>Plaguebearer Flesh</x:v>
      </x:c>
      <x:c r="E102" s="14" t="str">
        <x:v>Contrast</x:v>
      </x:c>
      <x:c r="F102" s="14" t="str">
        <x:v>Жёлто-зелёный</x:v>
      </x:c>
      <x:c r="G102" s="14" t="n">
        <x:v>1</x:v>
      </x:c>
      <x:c r="H102" s="14" t="str">
        <x:v>Не проверено</x:v>
      </x:c>
      <x:c r="I102" s="14" t="str">
        <x:v>Не проверено</x:v>
      </x:c>
      <x:c r="J102" s="14" t="str">
        <x:f>IF(OR(H102="Засохла",H102="Пустая",I102="&lt;25%"),"Да","")</x:f>
      </x:c>
      <x:c r="K102" s="14" t="str">
        <x:v>IMG_6717</x:v>
      </x:c>
      <x:c r="L102" s="14" t="n">
        <x:v>3</x:v>
      </x:c>
      <x:c r="M102" s="14" t="str"/>
      <x:c r="N102" s="12" t="str"/>
    </x:row>
    <x:row r="103">
      <x:c r="A103" s="14" t="n">
        <x:v>102</x:v>
      </x:c>
      <x:c r="B103" s="16" t="str">
        <x:v>Citadel</x:v>
      </x:c>
      <x:c r="C103" s="14" t="str"/>
      <x:c r="D103" s="12" t="str">
        <x:v>Darkoath Flesh</x:v>
      </x:c>
      <x:c r="E103" s="14" t="str">
        <x:v>Contrast</x:v>
      </x:c>
      <x:c r="F103" s="14" t="str">
        <x:v>Телесный</x:v>
      </x:c>
      <x:c r="G103" s="14" t="n">
        <x:v>1</x:v>
      </x:c>
      <x:c r="H103" s="14" t="str">
        <x:v>Не проверено</x:v>
      </x:c>
      <x:c r="I103" s="14" t="str">
        <x:v>Не проверено</x:v>
      </x:c>
      <x:c r="J103" s="14" t="str">
        <x:f>IF(OR(H103="Засохла",H103="Пустая",I103="&lt;25%"),"Да","")</x:f>
      </x:c>
      <x:c r="K103" s="14" t="str">
        <x:v>IMG_6717</x:v>
      </x:c>
      <x:c r="L103" s="14" t="n">
        <x:v>4</x:v>
      </x:c>
      <x:c r="M103" s="14" t="str"/>
      <x:c r="N103" s="12" t="str"/>
    </x:row>
    <x:row r="104">
      <x:c r="A104" s="14" t="n">
        <x:v>103</x:v>
      </x:c>
      <x:c r="B104" s="16" t="str">
        <x:v>Citadel</x:v>
      </x:c>
      <x:c r="C104" s="14" t="str"/>
      <x:c r="D104" s="12" t="str">
        <x:v>Apothecary White</x:v>
      </x:c>
      <x:c r="E104" s="14" t="str">
        <x:v>Contrast</x:v>
      </x:c>
      <x:c r="F104" s="14" t="str">
        <x:v>Светло-серый</x:v>
      </x:c>
      <x:c r="G104" s="14" t="n">
        <x:v>1</x:v>
      </x:c>
      <x:c r="H104" s="14" t="str">
        <x:v>Не проверено</x:v>
      </x:c>
      <x:c r="I104" s="14" t="str">
        <x:v>Не проверено</x:v>
      </x:c>
      <x:c r="J104" s="14" t="str">
        <x:f>IF(OR(H104="Засохла",H104="Пустая",I104="&lt;25%"),"Да","")</x:f>
      </x:c>
      <x:c r="K104" s="14" t="str">
        <x:v>IMG_6717</x:v>
      </x:c>
      <x:c r="L104" s="14" t="n">
        <x:v>5</x:v>
      </x:c>
      <x:c r="M104" s="14" t="str"/>
      <x:c r="N104" s="12" t="str"/>
    </x:row>
    <x:row r="105">
      <x:c r="A105" s="14" t="n">
        <x:v>104</x:v>
      </x:c>
      <x:c r="B105" s="16" t="str">
        <x:v>Citadel</x:v>
      </x:c>
      <x:c r="C105" s="14" t="str"/>
      <x:c r="D105" s="12" t="str">
        <x:v>Warp Lightning</x:v>
      </x:c>
      <x:c r="E105" s="14" t="str">
        <x:v>Contrast</x:v>
      </x:c>
      <x:c r="F105" s="14" t="str">
        <x:v>Зелёный</x:v>
      </x:c>
      <x:c r="G105" s="14" t="n">
        <x:v>1</x:v>
      </x:c>
      <x:c r="H105" s="14" t="str">
        <x:v>Не проверено</x:v>
      </x:c>
      <x:c r="I105" s="14" t="str">
        <x:v>Не проверено</x:v>
      </x:c>
      <x:c r="J105" s="14" t="str">
        <x:f>IF(OR(H105="Засохла",H105="Пустая",I105="&lt;25%"),"Да","")</x:f>
      </x:c>
      <x:c r="K105" s="14" t="str">
        <x:v>IMG_6717</x:v>
      </x:c>
      <x:c r="L105" s="14" t="n">
        <x:v>6</x:v>
      </x:c>
      <x:c r="M105" s="14" t="str"/>
      <x:c r="N105" s="12" t="str"/>
    </x:row>
    <x:row r="106">
      <x:c r="A106" s="14" t="n">
        <x:v>105</x:v>
      </x:c>
      <x:c r="B106" s="16" t="str">
        <x:v>Citadel</x:v>
      </x:c>
      <x:c r="C106" s="14" t="str"/>
      <x:c r="D106" s="12" t="str">
        <x:v>Mordant Earth</x:v>
      </x:c>
      <x:c r="E106" s="14" t="str">
        <x:v>Technical</x:v>
      </x:c>
      <x:c r="F106" s="14" t="str">
        <x:v>Чёрный</x:v>
      </x:c>
      <x:c r="G106" s="14" t="n">
        <x:v>1</x:v>
      </x:c>
      <x:c r="H106" s="14" t="str">
        <x:v>Не проверено</x:v>
      </x:c>
      <x:c r="I106" s="14" t="str">
        <x:v>Не проверено</x:v>
      </x:c>
      <x:c r="J106" s="14" t="str">
        <x:f>IF(OR(H106="Засохла",H106="Пустая",I106="&lt;25%"),"Да","")</x:f>
      </x:c>
      <x:c r="K106" s="14" t="str">
        <x:v>IMG_6717</x:v>
      </x:c>
      <x:c r="L106" s="14" t="n">
        <x:v>7</x:v>
      </x:c>
      <x:c r="M106" s="14" t="str"/>
      <x:c r="N106" s="12" t="str"/>
    </x:row>
    <x:row r="107">
      <x:c r="A107" s="14" t="n">
        <x:v>106</x:v>
      </x:c>
      <x:c r="B107" s="16" t="str">
        <x:v>Citadel</x:v>
      </x:c>
      <x:c r="C107" s="14" t="str"/>
      <x:c r="D107" s="12" t="str">
        <x:v>Snakebite Leather</x:v>
      </x:c>
      <x:c r="E107" s="14" t="str">
        <x:v>Contrast</x:v>
      </x:c>
      <x:c r="F107" s="14" t="str">
        <x:v>Коричневый</x:v>
      </x:c>
      <x:c r="G107" s="14" t="n">
        <x:v>1</x:v>
      </x:c>
      <x:c r="H107" s="14" t="str">
        <x:v>Не проверено</x:v>
      </x:c>
      <x:c r="I107" s="14" t="str">
        <x:v>Не проверено</x:v>
      </x:c>
      <x:c r="J107" s="14" t="str">
        <x:f>IF(OR(H107="Засохла",H107="Пустая",I107="&lt;25%"),"Да","")</x:f>
      </x:c>
      <x:c r="K107" s="14" t="str">
        <x:v>IMG_6718</x:v>
      </x:c>
      <x:c r="L107" s="14" t="n">
        <x:v>1</x:v>
      </x:c>
      <x:c r="M107" s="14" t="str"/>
      <x:c r="N107" s="12" t="str"/>
    </x:row>
    <x:row r="108">
      <x:c r="A108" s="14" t="n">
        <x:v>107</x:v>
      </x:c>
      <x:c r="B108" s="16" t="str">
        <x:v>Citadel</x:v>
      </x:c>
      <x:c r="C108" s="14" t="str"/>
      <x:c r="D108" s="12" t="str">
        <x:v>Seraphim Sepia</x:v>
      </x:c>
      <x:c r="E108" s="14" t="str">
        <x:v>Shade</x:v>
      </x:c>
      <x:c r="F108" s="14" t="str">
        <x:v>Коричневый</x:v>
      </x:c>
      <x:c r="G108" s="14" t="n">
        <x:v>1</x:v>
      </x:c>
      <x:c r="H108" s="14" t="str">
        <x:v>Не проверено</x:v>
      </x:c>
      <x:c r="I108" s="14" t="str">
        <x:v>Не проверено</x:v>
      </x:c>
      <x:c r="J108" s="14" t="str">
        <x:f>IF(OR(H108="Засохла",H108="Пустая",I108="&lt;25%"),"Да","")</x:f>
      </x:c>
      <x:c r="K108" s="14" t="str">
        <x:v>IMG_6718</x:v>
      </x:c>
      <x:c r="L108" s="14" t="n">
        <x:v>2</x:v>
      </x:c>
      <x:c r="M108" s="14" t="str">
        <x:v>Да — 2 шт.</x:v>
      </x:c>
      <x:c r="N108" s="12" t="str">
        <x:v>Повтор: 2 банки в коллекции.</x:v>
      </x:c>
    </x:row>
    <x:row r="109">
      <x:c r="A109" s="14" t="n">
        <x:v>108</x:v>
      </x:c>
      <x:c r="B109" s="16" t="str">
        <x:v>Citadel</x:v>
      </x:c>
      <x:c r="C109" s="14" t="str"/>
      <x:c r="D109" s="12" t="str">
        <x:v>Contrast Medium</x:v>
      </x:c>
      <x:c r="E109" s="14" t="str">
        <x:v>Technical</x:v>
      </x:c>
      <x:c r="F109" s="14" t="str">
        <x:v>Прозрачный</x:v>
      </x:c>
      <x:c r="G109" s="14" t="n">
        <x:v>1</x:v>
      </x:c>
      <x:c r="H109" s="14" t="str">
        <x:v>Не проверено</x:v>
      </x:c>
      <x:c r="I109" s="14" t="str">
        <x:v>Не проверено</x:v>
      </x:c>
      <x:c r="J109" s="14" t="str">
        <x:f>IF(OR(H109="Засохла",H109="Пустая",I109="&lt;25%"),"Да","")</x:f>
      </x:c>
      <x:c r="K109" s="14" t="str">
        <x:v>IMG_6718</x:v>
      </x:c>
      <x:c r="L109" s="14" t="n">
        <x:v>3</x:v>
      </x:c>
      <x:c r="M109" s="14" t="str"/>
      <x:c r="N109" s="12" t="str"/>
    </x:row>
    <x:row r="110">
      <x:c r="A110" s="14" t="n">
        <x:v>109</x:v>
      </x:c>
      <x:c r="B110" s="16" t="str">
        <x:v>Citadel</x:v>
      </x:c>
      <x:c r="C110" s="14" t="str"/>
      <x:c r="D110" s="12" t="str">
        <x:v>Striking Scorpion Green</x:v>
      </x:c>
      <x:c r="E110" s="14" t="str">
        <x:v>Contrast</x:v>
      </x:c>
      <x:c r="F110" s="14" t="str">
        <x:v>Зелёный</x:v>
      </x:c>
      <x:c r="G110" s="14" t="n">
        <x:v>1</x:v>
      </x:c>
      <x:c r="H110" s="14" t="str">
        <x:v>Не проверено</x:v>
      </x:c>
      <x:c r="I110" s="14" t="str">
        <x:v>Не проверено</x:v>
      </x:c>
      <x:c r="J110" s="14" t="str">
        <x:f>IF(OR(H110="Засохла",H110="Пустая",I110="&lt;25%"),"Да","")</x:f>
      </x:c>
      <x:c r="K110" s="14" t="str">
        <x:v>IMG_6718</x:v>
      </x:c>
      <x:c r="L110" s="14" t="n">
        <x:v>4</x:v>
      </x:c>
      <x:c r="M110" s="14" t="str"/>
      <x:c r="N110" s="12" t="str"/>
    </x:row>
    <x:row r="111">
      <x:c r="A111" s="14" t="n">
        <x:v>110</x:v>
      </x:c>
      <x:c r="B111" s="16" t="str">
        <x:v>Citadel</x:v>
      </x:c>
      <x:c r="C111" s="14" t="str"/>
      <x:c r="D111" s="12" t="str">
        <x:v>Lahmian Medium</x:v>
      </x:c>
      <x:c r="E111" s="14" t="str">
        <x:v>Technical</x:v>
      </x:c>
      <x:c r="F111" s="14" t="str">
        <x:v>Прозрачный</x:v>
      </x:c>
      <x:c r="G111" s="14" t="n">
        <x:v>1</x:v>
      </x:c>
      <x:c r="H111" s="14" t="str">
        <x:v>Не проверено</x:v>
      </x:c>
      <x:c r="I111" s="14" t="str">
        <x:v>Не проверено</x:v>
      </x:c>
      <x:c r="J111" s="14" t="str">
        <x:f>IF(OR(H111="Засохла",H111="Пустая",I111="&lt;25%"),"Да","")</x:f>
      </x:c>
      <x:c r="K111" s="14" t="str">
        <x:v>IMG_6718</x:v>
      </x:c>
      <x:c r="L111" s="14" t="n">
        <x:v>5</x:v>
      </x:c>
      <x:c r="M111" s="14" t="str">
        <x:v>Да — 2 шт.</x:v>
      </x:c>
      <x:c r="N111" s="12" t="str">
        <x:v>Повтор: 2 банки в коллекции.</x:v>
      </x:c>
    </x:row>
    <x:row r="112">
      <x:c r="A112" s="14" t="n">
        <x:v>111</x:v>
      </x:c>
      <x:c r="B112" s="16" t="str">
        <x:v>Citadel</x:v>
      </x:c>
      <x:c r="C112" s="14" t="str"/>
      <x:c r="D112" s="12" t="str">
        <x:v>Blood for the Blood God</x:v>
      </x:c>
      <x:c r="E112" s="14" t="str">
        <x:v>Technical</x:v>
      </x:c>
      <x:c r="F112" s="14" t="str">
        <x:v>Красный</x:v>
      </x:c>
      <x:c r="G112" s="14" t="n">
        <x:v>1</x:v>
      </x:c>
      <x:c r="H112" s="14" t="str">
        <x:v>Не проверено</x:v>
      </x:c>
      <x:c r="I112" s="14" t="str">
        <x:v>Не проверено</x:v>
      </x:c>
      <x:c r="J112" s="14" t="str">
        <x:f>IF(OR(H112="Засохла",H112="Пустая",I112="&lt;25%"),"Да","")</x:f>
      </x:c>
      <x:c r="K112" s="14" t="str">
        <x:v>IMG_6718</x:v>
      </x:c>
      <x:c r="L112" s="14" t="n">
        <x:v>6</x:v>
      </x:c>
      <x:c r="M112" s="14" t="str"/>
      <x:c r="N112" s="12" t="str"/>
    </x:row>
    <x:row r="113">
      <x:c r="A113" s="14" t="n">
        <x:v>112</x:v>
      </x:c>
      <x:c r="B113" s="16" t="str">
        <x:v>Citadel</x:v>
      </x:c>
      <x:c r="C113" s="14" t="str"/>
      <x:c r="D113" s="12" t="str">
        <x:v>Agrax Earthshade</x:v>
      </x:c>
      <x:c r="E113" s="14" t="str">
        <x:v>Shade</x:v>
      </x:c>
      <x:c r="F113" s="14" t="str">
        <x:v>Коричневый</x:v>
      </x:c>
      <x:c r="G113" s="14" t="n">
        <x:v>1</x:v>
      </x:c>
      <x:c r="H113" s="14" t="str">
        <x:v>Не проверено</x:v>
      </x:c>
      <x:c r="I113" s="14" t="str">
        <x:v>Не проверено</x:v>
      </x:c>
      <x:c r="J113" s="14" t="str">
        <x:f>IF(OR(H113="Засохла",H113="Пустая",I113="&lt;25%"),"Да","")</x:f>
      </x:c>
      <x:c r="K113" s="14" t="str">
        <x:v>IMG_6719</x:v>
      </x:c>
      <x:c r="L113" s="14" t="n">
        <x:v>1</x:v>
      </x:c>
      <x:c r="M113" s="14" t="str"/>
      <x:c r="N113" s="12" t="str"/>
    </x:row>
    <x:row r="114">
      <x:c r="A114" s="14" t="n">
        <x:v>113</x:v>
      </x:c>
      <x:c r="B114" s="16" t="str">
        <x:v>Citadel</x:v>
      </x:c>
      <x:c r="C114" s="14" t="str"/>
      <x:c r="D114" s="12" t="str">
        <x:v>Targor Rageshade</x:v>
      </x:c>
      <x:c r="E114" s="14" t="str">
        <x:v>Shade</x:v>
      </x:c>
      <x:c r="F114" s="14" t="str">
        <x:v>Серо-коричневый</x:v>
      </x:c>
      <x:c r="G114" s="14" t="n">
        <x:v>1</x:v>
      </x:c>
      <x:c r="H114" s="14" t="str">
        <x:v>Не проверено</x:v>
      </x:c>
      <x:c r="I114" s="14" t="str">
        <x:v>Не проверено</x:v>
      </x:c>
      <x:c r="J114" s="14" t="str">
        <x:f>IF(OR(H114="Засохла",H114="Пустая",I114="&lt;25%"),"Да","")</x:f>
      </x:c>
      <x:c r="K114" s="14" t="str">
        <x:v>IMG_6719</x:v>
      </x:c>
      <x:c r="L114" s="14" t="n">
        <x:v>2</x:v>
      </x:c>
      <x:c r="M114" s="14" t="str"/>
      <x:c r="N114" s="12" t="str"/>
    </x:row>
    <x:row r="115">
      <x:c r="A115" s="14" t="n">
        <x:v>114</x:v>
      </x:c>
      <x:c r="B115" s="16" t="str">
        <x:v>Citadel</x:v>
      </x:c>
      <x:c r="C115" s="14" t="str"/>
      <x:c r="D115" s="12" t="str">
        <x:v>Nuln Oil</x:v>
      </x:c>
      <x:c r="E115" s="14" t="str">
        <x:v>Shade</x:v>
      </x:c>
      <x:c r="F115" s="14" t="str">
        <x:v>Чёрный</x:v>
      </x:c>
      <x:c r="G115" s="14" t="n">
        <x:v>1</x:v>
      </x:c>
      <x:c r="H115" s="14" t="str">
        <x:v>Не проверено</x:v>
      </x:c>
      <x:c r="I115" s="14" t="str">
        <x:v>Не проверено</x:v>
      </x:c>
      <x:c r="J115" s="14" t="str">
        <x:f>IF(OR(H115="Засохла",H115="Пустая",I115="&lt;25%"),"Да","")</x:f>
      </x:c>
      <x:c r="K115" s="14" t="str">
        <x:v>IMG_6719</x:v>
      </x:c>
      <x:c r="L115" s="14" t="n">
        <x:v>3</x:v>
      </x:c>
      <x:c r="M115" s="14" t="str">
        <x:v>Да — 2 шт.</x:v>
      </x:c>
      <x:c r="N115" s="12" t="str">
        <x:v>Повтор: 2 банки в коллекции.</x:v>
      </x:c>
    </x:row>
    <x:row r="116">
      <x:c r="A116" s="14" t="n">
        <x:v>115</x:v>
      </x:c>
      <x:c r="B116" s="16" t="str">
        <x:v>Citadel</x:v>
      </x:c>
      <x:c r="C116" s="14" t="str"/>
      <x:c r="D116" s="12" t="str">
        <x:v>Reikland Fleshshade</x:v>
      </x:c>
      <x:c r="E116" s="14" t="str">
        <x:v>Shade</x:v>
      </x:c>
      <x:c r="F116" s="14" t="str">
        <x:v>Телесный</x:v>
      </x:c>
      <x:c r="G116" s="14" t="n">
        <x:v>1</x:v>
      </x:c>
      <x:c r="H116" s="14" t="str">
        <x:v>Не проверено</x:v>
      </x:c>
      <x:c r="I116" s="14" t="str">
        <x:v>Не проверено</x:v>
      </x:c>
      <x:c r="J116" s="14" t="str">
        <x:f>IF(OR(H116="Засохла",H116="Пустая",I116="&lt;25%"),"Да","")</x:f>
      </x:c>
      <x:c r="K116" s="14" t="str">
        <x:v>IMG_6719</x:v>
      </x:c>
      <x:c r="L116" s="14" t="n">
        <x:v>4</x:v>
      </x:c>
      <x:c r="M116" s="14" t="str"/>
      <x:c r="N116" s="12" t="str"/>
    </x:row>
    <x:row r="117">
      <x:c r="A117" s="14" t="n">
        <x:v>116</x:v>
      </x:c>
      <x:c r="B117" s="16" t="str">
        <x:v>Citadel</x:v>
      </x:c>
      <x:c r="C117" s="14" t="str"/>
      <x:c r="D117" s="12" t="str">
        <x:v>Nuln Oil</x:v>
      </x:c>
      <x:c r="E117" s="14" t="str">
        <x:v>Shade</x:v>
      </x:c>
      <x:c r="F117" s="14" t="str">
        <x:v>Чёрный</x:v>
      </x:c>
      <x:c r="G117" s="14" t="n">
        <x:v>1</x:v>
      </x:c>
      <x:c r="H117" s="14" t="str">
        <x:v>Не проверено</x:v>
      </x:c>
      <x:c r="I117" s="14" t="str">
        <x:v>Не проверено</x:v>
      </x:c>
      <x:c r="J117" s="14" t="str">
        <x:f>IF(OR(H117="Засохла",H117="Пустая",I117="&lt;25%"),"Да","")</x:f>
      </x:c>
      <x:c r="K117" s="14" t="str">
        <x:v>IMG_6719</x:v>
      </x:c>
      <x:c r="L117" s="14" t="n">
        <x:v>5</x:v>
      </x:c>
      <x:c r="M117" s="14" t="str">
        <x:v>Да — 2 шт.</x:v>
      </x:c>
      <x:c r="N117" s="12" t="str">
        <x:v>Повтор: 2 банки в коллекции.</x:v>
      </x:c>
    </x:row>
    <x:row r="118">
      <x:c r="A118" s="14" t="n">
        <x:v>117</x:v>
      </x:c>
      <x:c r="B118" s="16" t="str">
        <x:v>Citadel</x:v>
      </x:c>
      <x:c r="C118" s="14" t="str"/>
      <x:c r="D118" s="12" t="str">
        <x:v>Tyran Blue</x:v>
      </x:c>
      <x:c r="E118" s="14" t="str">
        <x:v>Shade</x:v>
      </x:c>
      <x:c r="F118" s="14" t="str">
        <x:v>Синий</x:v>
      </x:c>
      <x:c r="G118" s="14" t="n">
        <x:v>1</x:v>
      </x:c>
      <x:c r="H118" s="14" t="str">
        <x:v>Не проверено</x:v>
      </x:c>
      <x:c r="I118" s="14" t="str">
        <x:v>Не проверено</x:v>
      </x:c>
      <x:c r="J118" s="14" t="str">
        <x:f>IF(OR(H118="Засохла",H118="Пустая",I118="&lt;25%"),"Да","")</x:f>
      </x:c>
      <x:c r="K118" s="14" t="str">
        <x:v>IMG_6719</x:v>
      </x:c>
      <x:c r="L118" s="14" t="n">
        <x:v>6</x:v>
      </x:c>
      <x:c r="M118" s="14" t="str"/>
      <x:c r="N118" s="12" t="str"/>
    </x:row>
    <x:row r="119">
      <x:c r="A119" s="14" t="n">
        <x:v>118</x:v>
      </x:c>
      <x:c r="B119" s="16" t="str">
        <x:v>Citadel</x:v>
      </x:c>
      <x:c r="C119" s="14" t="str"/>
      <x:c r="D119" s="12" t="str">
        <x:v>Nuln Oil Gloss</x:v>
      </x:c>
      <x:c r="E119" s="14" t="str">
        <x:v>Shade (Gloss)</x:v>
      </x:c>
      <x:c r="F119" s="14" t="str">
        <x:v>Чёрный</x:v>
      </x:c>
      <x:c r="G119" s="14" t="n">
        <x:v>1</x:v>
      </x:c>
      <x:c r="H119" s="14" t="str">
        <x:v>Не проверено</x:v>
      </x:c>
      <x:c r="I119" s="14" t="str">
        <x:v>Не проверено</x:v>
      </x:c>
      <x:c r="J119" s="14" t="str">
        <x:f>IF(OR(H119="Засохла",H119="Пустая",I119="&lt;25%"),"Да","")</x:f>
      </x:c>
      <x:c r="K119" s="14" t="str">
        <x:v>IMG_6719</x:v>
      </x:c>
      <x:c r="L119" s="14" t="n">
        <x:v>7</x:v>
      </x:c>
      <x:c r="M119" s="14" t="str"/>
      <x:c r="N119" s="12" t="str"/>
    </x:row>
    <x:row r="120">
      <x:c r="A120" s="14" t="n">
        <x:v>119</x:v>
      </x:c>
      <x:c r="B120" s="16" t="str">
        <x:v>Citadel</x:v>
      </x:c>
      <x:c r="C120" s="14" t="str"/>
      <x:c r="D120" s="12" t="str">
        <x:v>Druchii Violet</x:v>
      </x:c>
      <x:c r="E120" s="14" t="str">
        <x:v>Shade</x:v>
      </x:c>
      <x:c r="F120" s="14" t="str">
        <x:v>Фиолетовый</x:v>
      </x:c>
      <x:c r="G120" s="14" t="n">
        <x:v>1</x:v>
      </x:c>
      <x:c r="H120" s="14" t="str">
        <x:v>Не проверено</x:v>
      </x:c>
      <x:c r="I120" s="14" t="str">
        <x:v>Не проверено</x:v>
      </x:c>
      <x:c r="J120" s="14" t="str">
        <x:f>IF(OR(H120="Засохла",H120="Пустая",I120="&lt;25%"),"Да","")</x:f>
      </x:c>
      <x:c r="K120" s="14" t="str">
        <x:v>IMG_6720</x:v>
      </x:c>
      <x:c r="L120" s="14" t="n">
        <x:v>1</x:v>
      </x:c>
      <x:c r="M120" s="14" t="str"/>
      <x:c r="N120" s="12" t="str"/>
    </x:row>
    <x:row r="121">
      <x:c r="A121" s="14" t="n">
        <x:v>120</x:v>
      </x:c>
      <x:c r="B121" s="16" t="str">
        <x:v>Citadel</x:v>
      </x:c>
      <x:c r="C121" s="14" t="str"/>
      <x:c r="D121" s="12" t="str">
        <x:v>Hexwraith Flame</x:v>
      </x:c>
      <x:c r="E121" s="14" t="str">
        <x:v>Technical</x:v>
      </x:c>
      <x:c r="F121" s="14" t="str">
        <x:v>Зелёный</x:v>
      </x:c>
      <x:c r="G121" s="14" t="n">
        <x:v>1</x:v>
      </x:c>
      <x:c r="H121" s="14" t="str">
        <x:v>Не проверено</x:v>
      </x:c>
      <x:c r="I121" s="14" t="str">
        <x:v>Не проверено</x:v>
      </x:c>
      <x:c r="J121" s="14" t="str">
        <x:f>IF(OR(H121="Засохла",H121="Пустая",I121="&lt;25%"),"Да","")</x:f>
      </x:c>
      <x:c r="K121" s="14" t="str">
        <x:v>IMG_6720</x:v>
      </x:c>
      <x:c r="L121" s="14" t="n">
        <x:v>2</x:v>
      </x:c>
      <x:c r="M121" s="14" t="str"/>
      <x:c r="N121" s="12" t="str"/>
    </x:row>
    <x:row r="122">
      <x:c r="A122" s="14" t="n">
        <x:v>121</x:v>
      </x:c>
      <x:c r="B122" s="16" t="str">
        <x:v>Citadel</x:v>
      </x:c>
      <x:c r="C122" s="14" t="str"/>
      <x:c r="D122" s="12" t="str">
        <x:v>Berserker Bloodshade</x:v>
      </x:c>
      <x:c r="E122" s="14" t="str">
        <x:v>Shade</x:v>
      </x:c>
      <x:c r="F122" s="14" t="str">
        <x:v>Красный</x:v>
      </x:c>
      <x:c r="G122" s="14" t="n">
        <x:v>1</x:v>
      </x:c>
      <x:c r="H122" s="14" t="str">
        <x:v>Не проверено</x:v>
      </x:c>
      <x:c r="I122" s="14" t="str">
        <x:v>Не проверено</x:v>
      </x:c>
      <x:c r="J122" s="14" t="str">
        <x:f>IF(OR(H122="Засохла",H122="Пустая",I122="&lt;25%"),"Да","")</x:f>
      </x:c>
      <x:c r="K122" s="14" t="str">
        <x:v>IMG_6720</x:v>
      </x:c>
      <x:c r="L122" s="14" t="n">
        <x:v>3</x:v>
      </x:c>
      <x:c r="M122" s="14" t="str"/>
      <x:c r="N122" s="12" t="str"/>
    </x:row>
    <x:row r="123">
      <x:c r="A123" s="14" t="n">
        <x:v>122</x:v>
      </x:c>
      <x:c r="B123" s="16" t="str">
        <x:v>Citadel</x:v>
      </x:c>
      <x:c r="C123" s="14" t="str"/>
      <x:c r="D123" s="12" t="str">
        <x:v>Casandora Yellow</x:v>
      </x:c>
      <x:c r="E123" s="14" t="str">
        <x:v>Shade</x:v>
      </x:c>
      <x:c r="F123" s="14" t="str">
        <x:v>Жёлтый</x:v>
      </x:c>
      <x:c r="G123" s="14" t="n">
        <x:v>1</x:v>
      </x:c>
      <x:c r="H123" s="14" t="str">
        <x:v>Не проверено</x:v>
      </x:c>
      <x:c r="I123" s="14" t="str">
        <x:v>Не проверено</x:v>
      </x:c>
      <x:c r="J123" s="14" t="str">
        <x:f>IF(OR(H123="Засохла",H123="Пустая",I123="&lt;25%"),"Да","")</x:f>
      </x:c>
      <x:c r="K123" s="14" t="str">
        <x:v>IMG_6720</x:v>
      </x:c>
      <x:c r="L123" s="14" t="n">
        <x:v>4</x:v>
      </x:c>
      <x:c r="M123" s="14" t="str"/>
      <x:c r="N123" s="12" t="str"/>
    </x:row>
    <x:row r="124">
      <x:c r="A124" s="14" t="n">
        <x:v>123</x:v>
      </x:c>
      <x:c r="B124" s="16" t="str">
        <x:v>Citadel</x:v>
      </x:c>
      <x:c r="C124" s="14" t="str"/>
      <x:c r="D124" s="12" t="str">
        <x:v>Biel-Tan Green</x:v>
      </x:c>
      <x:c r="E124" s="14" t="str">
        <x:v>Shade</x:v>
      </x:c>
      <x:c r="F124" s="14" t="str">
        <x:v>Зелёный</x:v>
      </x:c>
      <x:c r="G124" s="14" t="n">
        <x:v>1</x:v>
      </x:c>
      <x:c r="H124" s="14" t="str">
        <x:v>Не проверено</x:v>
      </x:c>
      <x:c r="I124" s="14" t="str">
        <x:v>Не проверено</x:v>
      </x:c>
      <x:c r="J124" s="14" t="str">
        <x:f>IF(OR(H124="Засохла",H124="Пустая",I124="&lt;25%"),"Да","")</x:f>
      </x:c>
      <x:c r="K124" s="14" t="str">
        <x:v>IMG_6720</x:v>
      </x:c>
      <x:c r="L124" s="14" t="n">
        <x:v>5</x:v>
      </x:c>
      <x:c r="M124" s="14" t="str"/>
      <x:c r="N124" s="12" t="str"/>
    </x:row>
    <x:row r="125">
      <x:c r="A125" s="14" t="n">
        <x:v>124</x:v>
      </x:c>
      <x:c r="B125" s="16" t="str">
        <x:v>Citadel</x:v>
      </x:c>
      <x:c r="C125" s="14" t="str"/>
      <x:c r="D125" s="12" t="str">
        <x:v>Seraphim Sepia</x:v>
      </x:c>
      <x:c r="E125" s="14" t="str">
        <x:v>Shade</x:v>
      </x:c>
      <x:c r="F125" s="14" t="str">
        <x:v>Коричневый</x:v>
      </x:c>
      <x:c r="G125" s="14" t="n">
        <x:v>1</x:v>
      </x:c>
      <x:c r="H125" s="14" t="str">
        <x:v>Не проверено</x:v>
      </x:c>
      <x:c r="I125" s="14" t="str">
        <x:v>Не проверено</x:v>
      </x:c>
      <x:c r="J125" s="14" t="str">
        <x:f>IF(OR(H125="Засохла",H125="Пустая",I125="&lt;25%"),"Да","")</x:f>
      </x:c>
      <x:c r="K125" s="14" t="str">
        <x:v>IMG_6720</x:v>
      </x:c>
      <x:c r="L125" s="14" t="n">
        <x:v>6</x:v>
      </x:c>
      <x:c r="M125" s="14" t="str">
        <x:v>Да — 2 шт.</x:v>
      </x:c>
      <x:c r="N125" s="12" t="str">
        <x:v>Повтор: 2 банки в коллекции.</x:v>
      </x:c>
    </x:row>
    <x:row r="126">
      <x:c r="A126" s="14" t="n">
        <x:v>125</x:v>
      </x:c>
      <x:c r="B126" s="16" t="str">
        <x:v>Citadel</x:v>
      </x:c>
      <x:c r="C126" s="14" t="str"/>
      <x:c r="D126" s="12" t="str">
        <x:v>Coelia Greenshade</x:v>
      </x:c>
      <x:c r="E126" s="14" t="str">
        <x:v>Shade</x:v>
      </x:c>
      <x:c r="F126" s="14" t="str">
        <x:v>Сине-зелёный</x:v>
      </x:c>
      <x:c r="G126" s="14" t="n">
        <x:v>1</x:v>
      </x:c>
      <x:c r="H126" s="14" t="str">
        <x:v>Не проверено</x:v>
      </x:c>
      <x:c r="I126" s="14" t="str">
        <x:v>Не проверено</x:v>
      </x:c>
      <x:c r="J126" s="14" t="str">
        <x:f>IF(OR(H126="Засохла",H126="Пустая",I126="&lt;25%"),"Да","")</x:f>
      </x:c>
      <x:c r="K126" s="14" t="str">
        <x:v>IMG_6720</x:v>
      </x:c>
      <x:c r="L126" s="14" t="n">
        <x:v>7</x:v>
      </x:c>
      <x:c r="M126" s="14" t="str"/>
      <x:c r="N126" s="12" t="str"/>
    </x:row>
    <x:row r="127">
      <x:c r="A127" s="14" t="n">
        <x:v>126</x:v>
      </x:c>
      <x:c r="B127" s="16" t="str">
        <x:v>Citadel</x:v>
      </x:c>
      <x:c r="C127" s="14" t="str"/>
      <x:c r="D127" s="12" t="str">
        <x:v>Soulblight Grey</x:v>
      </x:c>
      <x:c r="E127" s="14" t="str">
        <x:v>Shade</x:v>
      </x:c>
      <x:c r="F127" s="14" t="str">
        <x:v>Серый</x:v>
      </x:c>
      <x:c r="G127" s="14" t="n">
        <x:v>1</x:v>
      </x:c>
      <x:c r="H127" s="14" t="str">
        <x:v>Не проверено</x:v>
      </x:c>
      <x:c r="I127" s="14" t="str">
        <x:v>Не проверено</x:v>
      </x:c>
      <x:c r="J127" s="14" t="str">
        <x:f>IF(OR(H127="Засохла",H127="Пустая",I127="&lt;25%"),"Да","")</x:f>
      </x:c>
      <x:c r="K127" s="14" t="str">
        <x:v>IMG_6720</x:v>
      </x:c>
      <x:c r="L127" s="14" t="n">
        <x:v>8</x:v>
      </x:c>
      <x:c r="M127" s="14" t="str"/>
      <x:c r="N127" s="12" t="str"/>
    </x:row>
    <x:row r="128">
      <x:c r="A128" s="14" t="n">
        <x:v>127</x:v>
      </x:c>
      <x:c r="B128" s="16" t="str">
        <x:v>Citadel</x:v>
      </x:c>
      <x:c r="C128" s="14" t="str"/>
      <x:c r="D128" s="12" t="str">
        <x:v>Carroburg Crimson</x:v>
      </x:c>
      <x:c r="E128" s="14" t="str">
        <x:v>Shade</x:v>
      </x:c>
      <x:c r="F128" s="14" t="str">
        <x:v>Красный</x:v>
      </x:c>
      <x:c r="G128" s="14" t="n">
        <x:v>1</x:v>
      </x:c>
      <x:c r="H128" s="14" t="str">
        <x:v>Не проверено</x:v>
      </x:c>
      <x:c r="I128" s="14" t="str">
        <x:v>Не проверено</x:v>
      </x:c>
      <x:c r="J128" s="14" t="str">
        <x:f>IF(OR(H128="Засохла",H128="Пустая",I128="&lt;25%"),"Да","")</x:f>
      </x:c>
      <x:c r="K128" s="14" t="str">
        <x:v>IMG_6721</x:v>
      </x:c>
      <x:c r="L128" s="14" t="n">
        <x:v>1</x:v>
      </x:c>
      <x:c r="M128" s="14" t="str"/>
      <x:c r="N128" s="12" t="str"/>
    </x:row>
    <x:row r="129">
      <x:c r="A129" s="14" t="n">
        <x:v>128</x:v>
      </x:c>
      <x:c r="B129" s="16" t="str">
        <x:v>Citadel</x:v>
      </x:c>
      <x:c r="C129" s="14" t="str"/>
      <x:c r="D129" s="12" t="str">
        <x:v>Drakenhof Nightshade</x:v>
      </x:c>
      <x:c r="E129" s="14" t="str">
        <x:v>Shade</x:v>
      </x:c>
      <x:c r="F129" s="14" t="str">
        <x:v>Синий</x:v>
      </x:c>
      <x:c r="G129" s="14" t="n">
        <x:v>1</x:v>
      </x:c>
      <x:c r="H129" s="14" t="str">
        <x:v>Не проверено</x:v>
      </x:c>
      <x:c r="I129" s="14" t="str">
        <x:v>Не проверено</x:v>
      </x:c>
      <x:c r="J129" s="14" t="str">
        <x:f>IF(OR(H129="Засохла",H129="Пустая",I129="&lt;25%"),"Да","")</x:f>
      </x:c>
      <x:c r="K129" s="14" t="str">
        <x:v>IMG_6721</x:v>
      </x:c>
      <x:c r="L129" s="14" t="n">
        <x:v>2</x:v>
      </x:c>
      <x:c r="M129" s="14" t="str">
        <x:v>Да — 2 шт.</x:v>
      </x:c>
      <x:c r="N129" s="12" t="str">
        <x:v>Повтор: 2 банки в коллекции.</x:v>
      </x:c>
    </x:row>
    <x:row r="130">
      <x:c r="A130" s="14" t="n">
        <x:v>129</x:v>
      </x:c>
      <x:c r="B130" s="16" t="str">
        <x:v>Citadel</x:v>
      </x:c>
      <x:c r="C130" s="14" t="str"/>
      <x:c r="D130" s="12" t="str">
        <x:v>Drakenhof Nightshade</x:v>
      </x:c>
      <x:c r="E130" s="14" t="str">
        <x:v>Shade</x:v>
      </x:c>
      <x:c r="F130" s="14" t="str">
        <x:v>Синий</x:v>
      </x:c>
      <x:c r="G130" s="14" t="n">
        <x:v>1</x:v>
      </x:c>
      <x:c r="H130" s="14" t="str">
        <x:v>Не проверено</x:v>
      </x:c>
      <x:c r="I130" s="14" t="str">
        <x:v>Не проверено</x:v>
      </x:c>
      <x:c r="J130" s="14" t="str">
        <x:f>IF(OR(H130="Засохла",H130="Пустая",I130="&lt;25%"),"Да","")</x:f>
      </x:c>
      <x:c r="K130" s="14" t="str">
        <x:v>IMG_6721</x:v>
      </x:c>
      <x:c r="L130" s="14" t="n">
        <x:v>3</x:v>
      </x:c>
      <x:c r="M130" s="14" t="str">
        <x:v>Да — 2 шт.</x:v>
      </x:c>
      <x:c r="N130" s="12" t="str">
        <x:v>Повтор: 2 банки в коллекции.</x:v>
      </x:c>
    </x:row>
    <x:row r="131">
      <x:c r="A131" s="14" t="n">
        <x:v>130</x:v>
      </x:c>
      <x:c r="B131" s="16" t="str">
        <x:v>Citadel</x:v>
      </x:c>
      <x:c r="C131" s="14" t="str"/>
      <x:c r="D131" s="12" t="str">
        <x:v>Reikland Fleshshade Gloss</x:v>
      </x:c>
      <x:c r="E131" s="14" t="str">
        <x:v>Shade (Gloss)</x:v>
      </x:c>
      <x:c r="F131" s="14" t="str">
        <x:v>Телесный</x:v>
      </x:c>
      <x:c r="G131" s="14" t="n">
        <x:v>1</x:v>
      </x:c>
      <x:c r="H131" s="14" t="str">
        <x:v>Не проверено</x:v>
      </x:c>
      <x:c r="I131" s="14" t="str">
        <x:v>Не проверено</x:v>
      </x:c>
      <x:c r="J131" s="14" t="str">
        <x:f>IF(OR(H131="Засохла",H131="Пустая",I131="&lt;25%"),"Да","")</x:f>
      </x:c>
      <x:c r="K131" s="14" t="str">
        <x:v>IMG_6721</x:v>
      </x:c>
      <x:c r="L131" s="14" t="n">
        <x:v>4</x:v>
      </x:c>
      <x:c r="M131" s="14" t="str"/>
      <x:c r="N131" s="12" t="str"/>
    </x:row>
    <x:row r="132">
      <x:c r="A132" s="14" t="n">
        <x:v>131</x:v>
      </x:c>
      <x:c r="B132" s="16" t="str">
        <x:v>Citadel</x:v>
      </x:c>
      <x:c r="C132" s="14" t="str"/>
      <x:c r="D132" s="12" t="str">
        <x:v>Agrax Earthshade Gloss</x:v>
      </x:c>
      <x:c r="E132" s="14" t="str">
        <x:v>Shade (Gloss)</x:v>
      </x:c>
      <x:c r="F132" s="14" t="str">
        <x:v>Коричневый</x:v>
      </x:c>
      <x:c r="G132" s="14" t="n">
        <x:v>1</x:v>
      </x:c>
      <x:c r="H132" s="14" t="str">
        <x:v>Не проверено</x:v>
      </x:c>
      <x:c r="I132" s="14" t="str">
        <x:v>Не проверено</x:v>
      </x:c>
      <x:c r="J132" s="14" t="str">
        <x:f>IF(OR(H132="Засохла",H132="Пустая",I132="&lt;25%"),"Да","")</x:f>
      </x:c>
      <x:c r="K132" s="14" t="str">
        <x:v>IMG_6721</x:v>
      </x:c>
      <x:c r="L132" s="14" t="n">
        <x:v>5</x:v>
      </x:c>
      <x:c r="M132" s="14" t="str"/>
      <x:c r="N132" s="12" t="str"/>
    </x:row>
    <x:row r="133">
      <x:c r="A133" s="14" t="n">
        <x:v>132</x:v>
      </x:c>
      <x:c r="B133" s="18" t="str">
        <x:v>AK</x:v>
      </x:c>
      <x:c r="C133" s="14" t="str">
        <x:v>AK11107</x:v>
      </x:c>
      <x:c r="D133" s="12" t="str">
        <x:v>Dark Rust</x:v>
      </x:c>
      <x:c r="E133" s="14" t="str">
        <x:v>3rd Gen Acrylic — Standard</x:v>
      </x:c>
      <x:c r="F133" s="14" t="str">
        <x:v>Коричневый</x:v>
      </x:c>
      <x:c r="G133" s="14" t="n">
        <x:v>1</x:v>
      </x:c>
      <x:c r="H133" s="14" t="str">
        <x:v>Не проверено</x:v>
      </x:c>
      <x:c r="I133" s="14" t="str">
        <x:v>Не проверено</x:v>
      </x:c>
      <x:c r="J133" s="14" t="str">
        <x:f>IF(OR(H133="Засохла",H133="Пустая",I133="&lt;25%"),"Да","")</x:f>
      </x:c>
      <x:c r="K133" s="14" t="str">
        <x:v>IMG_6722</x:v>
      </x:c>
      <x:c r="L133" s="14" t="n">
        <x:v>1</x:v>
      </x:c>
      <x:c r="M133" s="14" t="str"/>
      <x:c r="N133" s="12" t="str"/>
    </x:row>
    <x:row r="134">
      <x:c r="A134" s="14" t="n">
        <x:v>133</x:v>
      </x:c>
      <x:c r="B134" s="18" t="str">
        <x:v>AK</x:v>
      </x:c>
      <x:c r="C134" s="14" t="str">
        <x:v>AK11189</x:v>
      </x:c>
      <x:c r="D134" s="12" t="str">
        <x:v>Dark Prussian Blue</x:v>
      </x:c>
      <x:c r="E134" s="14" t="str">
        <x:v>3rd Gen Acrylic — Standard</x:v>
      </x:c>
      <x:c r="F134" s="14" t="str">
        <x:v>Тёмно-синий</x:v>
      </x:c>
      <x:c r="G134" s="14" t="n">
        <x:v>1</x:v>
      </x:c>
      <x:c r="H134" s="14" t="str">
        <x:v>Не проверено</x:v>
      </x:c>
      <x:c r="I134" s="14" t="str">
        <x:v>Не проверено</x:v>
      </x:c>
      <x:c r="J134" s="14" t="str">
        <x:f>IF(OR(H134="Засохла",H134="Пустая",I134="&lt;25%"),"Да","")</x:f>
      </x:c>
      <x:c r="K134" s="14" t="str">
        <x:v>IMG_6722</x:v>
      </x:c>
      <x:c r="L134" s="14" t="n">
        <x:v>2</x:v>
      </x:c>
      <x:c r="M134" s="14" t="str"/>
      <x:c r="N134" s="12" t="str"/>
    </x:row>
    <x:row r="135">
      <x:c r="A135" s="14" t="n">
        <x:v>134</x:v>
      </x:c>
      <x:c r="B135" s="18" t="str">
        <x:v>AK</x:v>
      </x:c>
      <x:c r="C135" s="14" t="str">
        <x:v>AK11089</x:v>
      </x:c>
      <x:c r="D135" s="12" t="str">
        <x:v>Blood Red</x:v>
      </x:c>
      <x:c r="E135" s="14" t="str">
        <x:v>3rd Gen Acrylic — Standard</x:v>
      </x:c>
      <x:c r="F135" s="14" t="str">
        <x:v>Красный</x:v>
      </x:c>
      <x:c r="G135" s="14" t="n">
        <x:v>1</x:v>
      </x:c>
      <x:c r="H135" s="14" t="str">
        <x:v>Не проверено</x:v>
      </x:c>
      <x:c r="I135" s="14" t="str">
        <x:v>Не проверено</x:v>
      </x:c>
      <x:c r="J135" s="14" t="str">
        <x:f>IF(OR(H135="Засохла",H135="Пустая",I135="&lt;25%"),"Да","")</x:f>
      </x:c>
      <x:c r="K135" s="14" t="str">
        <x:v>IMG_6722</x:v>
      </x:c>
      <x:c r="L135" s="14" t="n">
        <x:v>3</x:v>
      </x:c>
      <x:c r="M135" s="14" t="str"/>
      <x:c r="N135" s="12" t="str"/>
    </x:row>
    <x:row r="136">
      <x:c r="A136" s="14" t="n">
        <x:v>135</x:v>
      </x:c>
      <x:c r="B136" s="18" t="str">
        <x:v>AK</x:v>
      </x:c>
      <x:c r="C136" s="14" t="str">
        <x:v>AK11043</x:v>
      </x:c>
      <x:c r="D136" s="12" t="str">
        <x:v>Dirty Yellow</x:v>
      </x:c>
      <x:c r="E136" s="14" t="str">
        <x:v>3rd Gen Acrylic — Standard</x:v>
      </x:c>
      <x:c r="F136" s="14" t="str">
        <x:v>Жёлто-охристый</x:v>
      </x:c>
      <x:c r="G136" s="14" t="n">
        <x:v>1</x:v>
      </x:c>
      <x:c r="H136" s="14" t="str">
        <x:v>Не проверено</x:v>
      </x:c>
      <x:c r="I136" s="14" t="str">
        <x:v>Не проверено</x:v>
      </x:c>
      <x:c r="J136" s="14" t="str">
        <x:f>IF(OR(H136="Засохла",H136="Пустая",I136="&lt;25%"),"Да","")</x:f>
      </x:c>
      <x:c r="K136" s="14" t="str">
        <x:v>IMG_6722</x:v>
      </x:c>
      <x:c r="L136" s="14" t="n">
        <x:v>4</x:v>
      </x:c>
      <x:c r="M136" s="14" t="str"/>
      <x:c r="N136" s="12" t="str"/>
    </x:row>
    <x:row r="137">
      <x:c r="A137" s="14" t="n">
        <x:v>136</x:v>
      </x:c>
      <x:c r="B137" s="18" t="str">
        <x:v>AK</x:v>
      </x:c>
      <x:c r="C137" s="14" t="str">
        <x:v>AK11029</x:v>
      </x:c>
      <x:c r="D137" s="12" t="str">
        <x:v>Black</x:v>
      </x:c>
      <x:c r="E137" s="14" t="str">
        <x:v>3rd Gen Acrylic — Intense</x:v>
      </x:c>
      <x:c r="F137" s="14" t="str">
        <x:v>Чёрный</x:v>
      </x:c>
      <x:c r="G137" s="14" t="n">
        <x:v>1</x:v>
      </x:c>
      <x:c r="H137" s="14" t="str">
        <x:v>Не проверено</x:v>
      </x:c>
      <x:c r="I137" s="14" t="str">
        <x:v>Не проверено</x:v>
      </x:c>
      <x:c r="J137" s="14" t="str">
        <x:f>IF(OR(H137="Засохла",H137="Пустая",I137="&lt;25%"),"Да","")</x:f>
      </x:c>
      <x:c r="K137" s="14" t="str">
        <x:v>IMG_6722</x:v>
      </x:c>
      <x:c r="L137" s="14" t="n">
        <x:v>5</x:v>
      </x:c>
      <x:c r="M137" s="14" t="str"/>
      <x:c r="N137" s="12" t="str"/>
    </x:row>
    <x:row r="138">
      <x:c r="A138" s="14" t="n">
        <x:v>137</x:v>
      </x:c>
      <x:c r="B138" s="18" t="str">
        <x:v>AK</x:v>
      </x:c>
      <x:c r="C138" s="14" t="str">
        <x:v>AK11095</x:v>
      </x:c>
      <x:c r="D138" s="12" t="str">
        <x:v>Dirty Red</x:v>
      </x:c>
      <x:c r="E138" s="14" t="str">
        <x:v>3rd Gen Acrylic — Standard</x:v>
      </x:c>
      <x:c r="F138" s="14" t="str">
        <x:v>Тёмно-красный</x:v>
      </x:c>
      <x:c r="G138" s="14" t="n">
        <x:v>1</x:v>
      </x:c>
      <x:c r="H138" s="14" t="str">
        <x:v>Не проверено</x:v>
      </x:c>
      <x:c r="I138" s="14" t="str">
        <x:v>Не проверено</x:v>
      </x:c>
      <x:c r="J138" s="14" t="str">
        <x:f>IF(OR(H138="Засохла",H138="Пустая",I138="&lt;25%"),"Да","")</x:f>
      </x:c>
      <x:c r="K138" s="14" t="str">
        <x:v>IMG_6722</x:v>
      </x:c>
      <x:c r="L138" s="14" t="n">
        <x:v>6</x:v>
      </x:c>
      <x:c r="M138" s="14" t="str"/>
      <x:c r="N138" s="12" t="str"/>
    </x:row>
    <x:row r="139">
      <x:c r="A139" s="14" t="n">
        <x:v>138</x:v>
      </x:c>
      <x:c r="B139" s="18" t="str">
        <x:v>AK</x:v>
      </x:c>
      <x:c r="C139" s="14" t="str">
        <x:v>AK11085</x:v>
      </x:c>
      <x:c r="D139" s="12" t="str">
        <x:v>Cadmium Red</x:v>
      </x:c>
      <x:c r="E139" s="14" t="str">
        <x:v>3rd Gen Acrylic — Standard</x:v>
      </x:c>
      <x:c r="F139" s="14" t="str">
        <x:v>Красный</x:v>
      </x:c>
      <x:c r="G139" s="14" t="n">
        <x:v>1</x:v>
      </x:c>
      <x:c r="H139" s="14" t="str">
        <x:v>Не проверено</x:v>
      </x:c>
      <x:c r="I139" s="14" t="str">
        <x:v>Не проверено</x:v>
      </x:c>
      <x:c r="J139" s="14" t="str">
        <x:f>IF(OR(H139="Засохла",H139="Пустая",I139="&lt;25%"),"Да","")</x:f>
      </x:c>
      <x:c r="K139" s="14" t="str">
        <x:v>IMG_6722</x:v>
      </x:c>
      <x:c r="L139" s="14" t="n">
        <x:v>7</x:v>
      </x:c>
      <x:c r="M139" s="14" t="str"/>
      <x:c r="N139" s="12" t="str"/>
    </x:row>
    <x:row r="140">
      <x:c r="A140" s="14" t="n">
        <x:v>139</x:v>
      </x:c>
      <x:c r="B140" s="18" t="str">
        <x:v>AK</x:v>
      </x:c>
      <x:c r="C140" s="14" t="str">
        <x:v>AK11044</x:v>
      </x:c>
      <x:c r="D140" s="12" t="str">
        <x:v>Yellow</x:v>
      </x:c>
      <x:c r="E140" s="14" t="str">
        <x:v>3rd Gen Acrylic — Standard</x:v>
      </x:c>
      <x:c r="F140" s="14" t="str">
        <x:v>Жёлтый</x:v>
      </x:c>
      <x:c r="G140" s="14" t="n">
        <x:v>1</x:v>
      </x:c>
      <x:c r="H140" s="14" t="str">
        <x:v>Не проверено</x:v>
      </x:c>
      <x:c r="I140" s="14" t="str">
        <x:v>Не проверено</x:v>
      </x:c>
      <x:c r="J140" s="14" t="str">
        <x:f>IF(OR(H140="Засохла",H140="Пустая",I140="&lt;25%"),"Да","")</x:f>
      </x:c>
      <x:c r="K140" s="14" t="str">
        <x:v>IMG_6723</x:v>
      </x:c>
      <x:c r="L140" s="14" t="n">
        <x:v>1</x:v>
      </x:c>
      <x:c r="M140" s="14" t="str"/>
      <x:c r="N140" s="12" t="str"/>
    </x:row>
    <x:row r="141">
      <x:c r="A141" s="14" t="n">
        <x:v>140</x:v>
      </x:c>
      <x:c r="B141" s="18" t="str">
        <x:v>AK</x:v>
      </x:c>
      <x:c r="C141" s="14" t="str">
        <x:v>AK11102</x:v>
      </x:c>
      <x:c r="D141" s="12" t="str">
        <x:v>Deep Brown</x:v>
      </x:c>
      <x:c r="E141" s="14" t="str">
        <x:v>3rd Gen Acrylic — Intense</x:v>
      </x:c>
      <x:c r="F141" s="14" t="str">
        <x:v>Коричневый</x:v>
      </x:c>
      <x:c r="G141" s="14" t="n">
        <x:v>1</x:v>
      </x:c>
      <x:c r="H141" s="14" t="str">
        <x:v>Не проверено</x:v>
      </x:c>
      <x:c r="I141" s="14" t="str">
        <x:v>Не проверено</x:v>
      </x:c>
      <x:c r="J141" s="14" t="str">
        <x:f>IF(OR(H141="Засохла",H141="Пустая",I141="&lt;25%"),"Да","")</x:f>
      </x:c>
      <x:c r="K141" s="14" t="str">
        <x:v>IMG_6723</x:v>
      </x:c>
      <x:c r="L141" s="14" t="n">
        <x:v>2</x:v>
      </x:c>
      <x:c r="M141" s="14" t="str"/>
      <x:c r="N141" s="12" t="str"/>
    </x:row>
    <x:row r="142">
      <x:c r="A142" s="14" t="n">
        <x:v>141</x:v>
      </x:c>
      <x:c r="B142" s="18" t="str">
        <x:v>AK</x:v>
      </x:c>
      <x:c r="C142" s="14" t="str">
        <x:v>AK11033</x:v>
      </x:c>
      <x:c r="D142" s="12" t="str">
        <x:v>Dark Sand</x:v>
      </x:c>
      <x:c r="E142" s="14" t="str">
        <x:v>3rd Gen Acrylic — Standard</x:v>
      </x:c>
      <x:c r="F142" s="14" t="str">
        <x:v>Бежевый</x:v>
      </x:c>
      <x:c r="G142" s="14" t="n">
        <x:v>1</x:v>
      </x:c>
      <x:c r="H142" s="14" t="str">
        <x:v>Не проверено</x:v>
      </x:c>
      <x:c r="I142" s="14" t="str">
        <x:v>Не проверено</x:v>
      </x:c>
      <x:c r="J142" s="14" t="str">
        <x:f>IF(OR(H142="Засохла",H142="Пустая",I142="&lt;25%"),"Да","")</x:f>
      </x:c>
      <x:c r="K142" s="14" t="str">
        <x:v>IMG_6723</x:v>
      </x:c>
      <x:c r="L142" s="14" t="n">
        <x:v>3</x:v>
      </x:c>
      <x:c r="M142" s="14" t="str"/>
      <x:c r="N142" s="12" t="str"/>
    </x:row>
    <x:row r="143">
      <x:c r="A143" s="14" t="n">
        <x:v>142</x:v>
      </x:c>
      <x:c r="B143" s="18" t="str">
        <x:v>AK</x:v>
      </x:c>
      <x:c r="C143" s="14" t="str">
        <x:v>AK11111</x:v>
      </x:c>
      <x:c r="D143" s="12" t="str">
        <x:v>Burnt Umber</x:v>
      </x:c>
      <x:c r="E143" s="14" t="str">
        <x:v>3rd Gen Acrylic — Standard</x:v>
      </x:c>
      <x:c r="F143" s="14" t="str">
        <x:v>Коричневый</x:v>
      </x:c>
      <x:c r="G143" s="14" t="n">
        <x:v>1</x:v>
      </x:c>
      <x:c r="H143" s="14" t="str">
        <x:v>Не проверено</x:v>
      </x:c>
      <x:c r="I143" s="14" t="str">
        <x:v>Не проверено</x:v>
      </x:c>
      <x:c r="J143" s="14" t="str">
        <x:f>IF(OR(H143="Засохла",H143="Пустая",I143="&lt;25%"),"Да","")</x:f>
      </x:c>
      <x:c r="K143" s="14" t="str">
        <x:v>IMG_6723</x:v>
      </x:c>
      <x:c r="L143" s="14" t="n">
        <x:v>4</x:v>
      </x:c>
      <x:c r="M143" s="14" t="str"/>
      <x:c r="N143" s="12" t="str"/>
    </x:row>
    <x:row r="144">
      <x:c r="A144" s="14" t="n">
        <x:v>143</x:v>
      </x:c>
      <x:c r="B144" s="18" t="str">
        <x:v>AK</x:v>
      </x:c>
      <x:c r="C144" s="14" t="str">
        <x:v>AK11101</x:v>
      </x:c>
      <x:c r="D144" s="12" t="str">
        <x:v>Orange Brown</x:v>
      </x:c>
      <x:c r="E144" s="14" t="str">
        <x:v>3rd Gen Acrylic — Standard</x:v>
      </x:c>
      <x:c r="F144" s="14" t="str">
        <x:v>Оранжево-коричневый</x:v>
      </x:c>
      <x:c r="G144" s="14" t="n">
        <x:v>1</x:v>
      </x:c>
      <x:c r="H144" s="14" t="str">
        <x:v>Не проверено</x:v>
      </x:c>
      <x:c r="I144" s="14" t="str">
        <x:v>Не проверено</x:v>
      </x:c>
      <x:c r="J144" s="14" t="str">
        <x:f>IF(OR(H144="Засохла",H144="Пустая",I144="&lt;25%"),"Да","")</x:f>
      </x:c>
      <x:c r="K144" s="14" t="str">
        <x:v>IMG_6723</x:v>
      </x:c>
      <x:c r="L144" s="14" t="n">
        <x:v>5</x:v>
      </x:c>
      <x:c r="M144" s="14" t="str"/>
      <x:c r="N144" s="12" t="str"/>
    </x:row>
    <x:row r="145">
      <x:c r="A145" s="14" t="n">
        <x:v>144</x:v>
      </x:c>
      <x:c r="B145" s="20" t="str">
        <x:v>Vallejo</x:v>
      </x:c>
      <x:c r="C145" s="14" t="str">
        <x:v>72.011</x:v>
      </x:c>
      <x:c r="D145" s="12" t="str">
        <x:v>Gory Red</x:v>
      </x:c>
      <x:c r="E145" s="14" t="str">
        <x:v>Game Color</x:v>
      </x:c>
      <x:c r="F145" s="14" t="str">
        <x:v>Красный</x:v>
      </x:c>
      <x:c r="G145" s="14" t="n">
        <x:v>1</x:v>
      </x:c>
      <x:c r="H145" s="14" t="str">
        <x:v>Не проверено</x:v>
      </x:c>
      <x:c r="I145" s="14" t="str">
        <x:v>Не проверено</x:v>
      </x:c>
      <x:c r="J145" s="14" t="str">
        <x:f>IF(OR(H145="Засохла",H145="Пустая",I145="&lt;25%"),"Да","")</x:f>
      </x:c>
      <x:c r="K145" s="14" t="str">
        <x:v>IMG_6723</x:v>
      </x:c>
      <x:c r="L145" s="14" t="n">
        <x:v>6</x:v>
      </x:c>
      <x:c r="M145" s="14" t="str"/>
      <x:c r="N145" s="12" t="str"/>
    </x:row>
    <x:row r="146">
      <x:c r="A146" s="14" t="n">
        <x:v>145</x:v>
      </x:c>
      <x:c r="B146" s="20" t="str">
        <x:v>Vallejo</x:v>
      </x:c>
      <x:c r="C146" s="14" t="str">
        <x:v>70.951</x:v>
      </x:c>
      <x:c r="D146" s="12" t="str">
        <x:v>White</x:v>
      </x:c>
      <x:c r="E146" s="14" t="str">
        <x:v>Model Color</x:v>
      </x:c>
      <x:c r="F146" s="14" t="str">
        <x:v>Белый</x:v>
      </x:c>
      <x:c r="G146" s="14" t="n">
        <x:v>1</x:v>
      </x:c>
      <x:c r="H146" s="14" t="str">
        <x:v>Не проверено</x:v>
      </x:c>
      <x:c r="I146" s="14" t="str">
        <x:v>Не проверено</x:v>
      </x:c>
      <x:c r="J146" s="14" t="str">
        <x:f>IF(OR(H146="Засохла",H146="Пустая",I146="&lt;25%"),"Да","")</x:f>
      </x:c>
      <x:c r="K146" s="14" t="str">
        <x:v>IMG_6723</x:v>
      </x:c>
      <x:c r="L146" s="14" t="n">
        <x:v>7</x:v>
      </x:c>
      <x:c r="M146" s="14" t="str"/>
      <x:c r="N146" s="12" t="str"/>
    </x:row>
    <x:row r="147">
      <x:c r="A147" s="14" t="n">
        <x:v>146</x:v>
      </x:c>
      <x:c r="B147" s="18" t="str">
        <x:v>AK</x:v>
      </x:c>
      <x:c r="C147" s="14" t="str">
        <x:v>AK11063</x:v>
      </x:c>
      <x:c r="D147" s="12" t="str">
        <x:v>Brown Rose</x:v>
      </x:c>
      <x:c r="E147" s="14" t="str">
        <x:v>3rd Gen Acrylic — Standard</x:v>
      </x:c>
      <x:c r="F147" s="14" t="str">
        <x:v>Телесный</x:v>
      </x:c>
      <x:c r="G147" s="14" t="n">
        <x:v>1</x:v>
      </x:c>
      <x:c r="H147" s="14" t="str">
        <x:v>Не проверено</x:v>
      </x:c>
      <x:c r="I147" s="14" t="str">
        <x:v>Не проверено</x:v>
      </x:c>
      <x:c r="J147" s="14" t="str">
        <x:f>IF(OR(H147="Засохла",H147="Пустая",I147="&lt;25%"),"Да","")</x:f>
      </x:c>
      <x:c r="K147" s="14" t="str">
        <x:v>IMG_6723</x:v>
      </x:c>
      <x:c r="L147" s="14" t="n">
        <x:v>8</x:v>
      </x:c>
      <x:c r="M147" s="14" t="str"/>
      <x:c r="N147" s="12" t="str"/>
    </x:row>
    <x:row r="148">
      <x:c r="A148" s="14" t="n">
        <x:v>147</x:v>
      </x:c>
      <x:c r="B148" s="18" t="str">
        <x:v>AK</x:v>
      </x:c>
      <x:c r="C148" s="14" t="str">
        <x:v>AK11010</x:v>
      </x:c>
      <x:c r="D148" s="12" t="str">
        <x:v>Medium Grey</x:v>
      </x:c>
      <x:c r="E148" s="14" t="str">
        <x:v>3rd Gen Acrylic — Standard</x:v>
      </x:c>
      <x:c r="F148" s="14" t="str">
        <x:v>Серый</x:v>
      </x:c>
      <x:c r="G148" s="14" t="n">
        <x:v>1</x:v>
      </x:c>
      <x:c r="H148" s="14" t="str">
        <x:v>Не проверено</x:v>
      </x:c>
      <x:c r="I148" s="14" t="str">
        <x:v>Не проверено</x:v>
      </x:c>
      <x:c r="J148" s="14" t="str">
        <x:f>IF(OR(H148="Засохла",H148="Пустая",I148="&lt;25%"),"Да","")</x:f>
      </x:c>
      <x:c r="K148" s="14" t="str">
        <x:v>IMG_6724</x:v>
      </x:c>
      <x:c r="L148" s="14" t="n">
        <x:v>1</x:v>
      </x:c>
      <x:c r="M148" s="14" t="str"/>
      <x:c r="N148" s="12" t="str"/>
    </x:row>
    <x:row r="149">
      <x:c r="A149" s="14" t="n">
        <x:v>148</x:v>
      </x:c>
      <x:c r="B149" s="18" t="str">
        <x:v>AK</x:v>
      </x:c>
      <x:c r="C149" s="14" t="str">
        <x:v>AK11032</x:v>
      </x:c>
      <x:c r="D149" s="12" t="str">
        <x:v>Pale Sand</x:v>
      </x:c>
      <x:c r="E149" s="14" t="str">
        <x:v>3rd Gen Acrylic — Standard</x:v>
      </x:c>
      <x:c r="F149" s="14" t="str">
        <x:v>Бежевый</x:v>
      </x:c>
      <x:c r="G149" s="14" t="n">
        <x:v>1</x:v>
      </x:c>
      <x:c r="H149" s="14" t="str">
        <x:v>Не проверено</x:v>
      </x:c>
      <x:c r="I149" s="14" t="str">
        <x:v>Не проверено</x:v>
      </x:c>
      <x:c r="J149" s="14" t="str">
        <x:f>IF(OR(H149="Засохла",H149="Пустая",I149="&lt;25%"),"Да","")</x:f>
      </x:c>
      <x:c r="K149" s="14" t="str">
        <x:v>IMG_6724</x:v>
      </x:c>
      <x:c r="L149" s="14" t="n">
        <x:v>2</x:v>
      </x:c>
      <x:c r="M149" s="14" t="str"/>
      <x:c r="N149" s="12" t="str"/>
    </x:row>
    <x:row r="150">
      <x:c r="A150" s="14" t="n">
        <x:v>149</x:v>
      </x:c>
      <x:c r="B150" s="18" t="str">
        <x:v>AK</x:v>
      </x:c>
      <x:c r="C150" s="14" t="str">
        <x:v>AK11105</x:v>
      </x:c>
      <x:c r="D150" s="12" t="str">
        <x:v>Light Rust</x:v>
      </x:c>
      <x:c r="E150" s="14" t="str">
        <x:v>3rd Gen Acrylic — Standard</x:v>
      </x:c>
      <x:c r="F150" s="14" t="str">
        <x:v>Оранжево-коричневый</x:v>
      </x:c>
      <x:c r="G150" s="14" t="n">
        <x:v>1</x:v>
      </x:c>
      <x:c r="H150" s="14" t="str">
        <x:v>Не проверено</x:v>
      </x:c>
      <x:c r="I150" s="14" t="str">
        <x:v>Не проверено</x:v>
      </x:c>
      <x:c r="J150" s="14" t="str">
        <x:f>IF(OR(H150="Засохла",H150="Пустая",I150="&lt;25%"),"Да","")</x:f>
      </x:c>
      <x:c r="K150" s="14" t="str">
        <x:v>IMG_6724</x:v>
      </x:c>
      <x:c r="L150" s="14" t="n">
        <x:v>3</x:v>
      </x:c>
      <x:c r="M150" s="14" t="str"/>
      <x:c r="N150" s="12" t="str"/>
    </x:row>
    <x:row r="151">
      <x:c r="A151" s="14" t="n">
        <x:v>150</x:v>
      </x:c>
      <x:c r="B151" s="18" t="str">
        <x:v>AK</x:v>
      </x:c>
      <x:c r="C151" s="14" t="str">
        <x:v>AK11073</x:v>
      </x:c>
      <x:c r="D151" s="12" t="str">
        <x:v>Purple</x:v>
      </x:c>
      <x:c r="E151" s="14" t="str">
        <x:v>3rd Gen Acrylic — Standard</x:v>
      </x:c>
      <x:c r="F151" s="14" t="str">
        <x:v>Фиолетовый</x:v>
      </x:c>
      <x:c r="G151" s="14" t="n">
        <x:v>1</x:v>
      </x:c>
      <x:c r="H151" s="14" t="str">
        <x:v>Не проверено</x:v>
      </x:c>
      <x:c r="I151" s="14" t="str">
        <x:v>Не проверено</x:v>
      </x:c>
      <x:c r="J151" s="14" t="str">
        <x:f>IF(OR(H151="Засохла",H151="Пустая",I151="&lt;25%"),"Да","")</x:f>
      </x:c>
      <x:c r="K151" s="14" t="str">
        <x:v>IMG_6724</x:v>
      </x:c>
      <x:c r="L151" s="14" t="n">
        <x:v>4</x:v>
      </x:c>
      <x:c r="M151" s="14" t="str"/>
      <x:c r="N151" s="12" t="str"/>
    </x:row>
    <x:row r="152">
      <x:c r="A152" s="14" t="n">
        <x:v>151</x:v>
      </x:c>
      <x:c r="B152" s="20" t="str">
        <x:v>Vallejo</x:v>
      </x:c>
      <x:c r="C152" s="14" t="str">
        <x:v>72.703</x:v>
      </x:c>
      <x:c r="D152" s="12" t="str">
        <x:v>Pale Flesh</x:v>
      </x:c>
      <x:c r="E152" s="14" t="str">
        <x:v>Game Air</x:v>
      </x:c>
      <x:c r="F152" s="14" t="str">
        <x:v>Телесный</x:v>
      </x:c>
      <x:c r="G152" s="14" t="n">
        <x:v>1</x:v>
      </x:c>
      <x:c r="H152" s="14" t="str">
        <x:v>Не проверено</x:v>
      </x:c>
      <x:c r="I152" s="14" t="str">
        <x:v>Не проверено</x:v>
      </x:c>
      <x:c r="J152" s="14" t="str">
        <x:f>IF(OR(H152="Засохла",H152="Пустая",I152="&lt;25%"),"Да","")</x:f>
      </x:c>
      <x:c r="K152" s="14" t="str">
        <x:v>IMG_6724</x:v>
      </x:c>
      <x:c r="L152" s="14" t="n">
        <x:v>5</x:v>
      </x:c>
      <x:c r="M152" s="14" t="str"/>
      <x:c r="N152" s="12" t="str"/>
    </x:row>
    <x:row r="153">
      <x:c r="A153" s="14" t="n">
        <x:v>152</x:v>
      </x:c>
      <x:c r="B153" s="20" t="str">
        <x:v>Vallejo</x:v>
      </x:c>
      <x:c r="C153" s="14" t="str">
        <x:v>72.734</x:v>
      </x:c>
      <x:c r="D153" s="12" t="str">
        <x:v>Bonewhite</x:v>
      </x:c>
      <x:c r="E153" s="14" t="str">
        <x:v>Game Air</x:v>
      </x:c>
      <x:c r="F153" s="14" t="str">
        <x:v>Кость</x:v>
      </x:c>
      <x:c r="G153" s="14" t="n">
        <x:v>1</x:v>
      </x:c>
      <x:c r="H153" s="14" t="str">
        <x:v>Не проверено</x:v>
      </x:c>
      <x:c r="I153" s="14" t="str">
        <x:v>Не проверено</x:v>
      </x:c>
      <x:c r="J153" s="14" t="str">
        <x:f>IF(OR(H153="Засохла",H153="Пустая",I153="&lt;25%"),"Да","")</x:f>
      </x:c>
      <x:c r="K153" s="14" t="str">
        <x:v>IMG_6724</x:v>
      </x:c>
      <x:c r="L153" s="14" t="n">
        <x:v>6</x:v>
      </x:c>
      <x:c r="M153" s="14" t="str"/>
      <x:c r="N153" s="12" t="str"/>
    </x:row>
    <x:row r="154">
      <x:c r="A154" s="14" t="n">
        <x:v>153</x:v>
      </x:c>
      <x:c r="B154" s="20" t="str">
        <x:v>Vallejo</x:v>
      </x:c>
      <x:c r="C154" s="14" t="str">
        <x:v>69.055</x:v>
      </x:c>
      <x:c r="D154" s="12" t="str">
        <x:v>Orange Fluorescent</x:v>
      </x:c>
      <x:c r="E154" s="14" t="str">
        <x:v>Mecha Color — Fluorescent</x:v>
      </x:c>
      <x:c r="F154" s="14" t="str">
        <x:v>Флуоресцентный оранжевый</x:v>
      </x:c>
      <x:c r="G154" s="14" t="n">
        <x:v>1</x:v>
      </x:c>
      <x:c r="H154" s="14" t="str">
        <x:v>Не проверено</x:v>
      </x:c>
      <x:c r="I154" s="14" t="str">
        <x:v>Не проверено</x:v>
      </x:c>
      <x:c r="J154" s="14" t="str">
        <x:f>IF(OR(H154="Засохла",H154="Пустая",I154="&lt;25%"),"Да","")</x:f>
      </x:c>
      <x:c r="K154" s="14" t="str">
        <x:v>IMG_6724</x:v>
      </x:c>
      <x:c r="L154" s="14" t="n">
        <x:v>7</x:v>
      </x:c>
      <x:c r="M154" s="14" t="str"/>
      <x:c r="N154" s="12" t="str"/>
    </x:row>
    <x:row r="155">
      <x:c r="A155" s="14" t="n">
        <x:v>154</x:v>
      </x:c>
      <x:c r="B155" s="20" t="str">
        <x:v>Vallejo</x:v>
      </x:c>
      <x:c r="C155" s="14" t="str">
        <x:v>72.085</x:v>
      </x:c>
      <x:c r="D155" s="12" t="str">
        <x:v>Yellow</x:v>
      </x:c>
      <x:c r="E155" s="14" t="str">
        <x:v>Game Ink</x:v>
      </x:c>
      <x:c r="F155" s="14" t="str">
        <x:v>Жёлтый</x:v>
      </x:c>
      <x:c r="G155" s="14" t="n">
        <x:v>1</x:v>
      </x:c>
      <x:c r="H155" s="14" t="str">
        <x:v>Не проверено</x:v>
      </x:c>
      <x:c r="I155" s="14" t="str">
        <x:v>Не проверено</x:v>
      </x:c>
      <x:c r="J155" s="14" t="str">
        <x:f>IF(OR(H155="Засохла",H155="Пустая",I155="&lt;25%"),"Да","")</x:f>
      </x:c>
      <x:c r="K155" s="14" t="str">
        <x:v>IMG_6724</x:v>
      </x:c>
      <x:c r="L155" s="14" t="n">
        <x:v>8</x:v>
      </x:c>
      <x:c r="M155" s="14" t="str"/>
      <x:c r="N155" s="12" t="str"/>
    </x:row>
    <x:row r="156">
      <x:c r="A156" s="14" t="n">
        <x:v>155</x:v>
      </x:c>
      <x:c r="B156" s="20" t="str">
        <x:v>Vallejo</x:v>
      </x:c>
      <x:c r="C156" s="14" t="str">
        <x:v>72.708</x:v>
      </x:c>
      <x:c r="D156" s="12" t="str">
        <x:v>Orange Fire</x:v>
      </x:c>
      <x:c r="E156" s="14" t="str">
        <x:v>Game Air</x:v>
      </x:c>
      <x:c r="F156" s="14" t="str">
        <x:v>Оранжевый</x:v>
      </x:c>
      <x:c r="G156" s="14" t="n">
        <x:v>1</x:v>
      </x:c>
      <x:c r="H156" s="14" t="str">
        <x:v>Не проверено</x:v>
      </x:c>
      <x:c r="I156" s="14" t="str">
        <x:v>Не проверено</x:v>
      </x:c>
      <x:c r="J156" s="14" t="str">
        <x:f>IF(OR(H156="Засохла",H156="Пустая",I156="&lt;25%"),"Да","")</x:f>
      </x:c>
      <x:c r="K156" s="14" t="str">
        <x:v>IMG_6725</x:v>
      </x:c>
      <x:c r="L156" s="14" t="n">
        <x:v>1</x:v>
      </x:c>
      <x:c r="M156" s="14" t="str"/>
      <x:c r="N156" s="12" t="str"/>
    </x:row>
    <x:row r="157">
      <x:c r="A157" s="14" t="n">
        <x:v>156</x:v>
      </x:c>
      <x:c r="B157" s="20" t="str">
        <x:v>Vallejo</x:v>
      </x:c>
      <x:c r="C157" s="14" t="str">
        <x:v>72.086</x:v>
      </x:c>
      <x:c r="D157" s="12" t="str">
        <x:v>Red</x:v>
      </x:c>
      <x:c r="E157" s="14" t="str">
        <x:v>Game Ink</x:v>
      </x:c>
      <x:c r="F157" s="14" t="str">
        <x:v>Красный</x:v>
      </x:c>
      <x:c r="G157" s="14" t="n">
        <x:v>1</x:v>
      </x:c>
      <x:c r="H157" s="14" t="str">
        <x:v>Не проверено</x:v>
      </x:c>
      <x:c r="I157" s="14" t="str">
        <x:v>Не проверено</x:v>
      </x:c>
      <x:c r="J157" s="14" t="str">
        <x:f>IF(OR(H157="Засохла",H157="Пустая",I157="&lt;25%"),"Да","")</x:f>
      </x:c>
      <x:c r="K157" s="14" t="str">
        <x:v>IMG_6725</x:v>
      </x:c>
      <x:c r="L157" s="14" t="n">
        <x:v>2</x:v>
      </x:c>
      <x:c r="M157" s="14" t="str"/>
      <x:c r="N157" s="12" t="str"/>
    </x:row>
    <x:row r="158">
      <x:c r="A158" s="14" t="n">
        <x:v>157</x:v>
      </x:c>
      <x:c r="B158" s="20" t="str">
        <x:v>Vallejo</x:v>
      </x:c>
      <x:c r="C158" s="14" t="str">
        <x:v>70.997</x:v>
      </x:c>
      <x:c r="D158" s="12" t="str">
        <x:v>Silver</x:v>
      </x:c>
      <x:c r="E158" s="14" t="str">
        <x:v>Model Color — Metallic</x:v>
      </x:c>
      <x:c r="F158" s="14" t="str">
        <x:v>Металлик</x:v>
      </x:c>
      <x:c r="G158" s="14" t="n">
        <x:v>1</x:v>
      </x:c>
      <x:c r="H158" s="14" t="str">
        <x:v>Не проверено</x:v>
      </x:c>
      <x:c r="I158" s="14" t="str">
        <x:v>Не проверено</x:v>
      </x:c>
      <x:c r="J158" s="14" t="str">
        <x:f>IF(OR(H158="Засохла",H158="Пустая",I158="&lt;25%"),"Да","")</x:f>
      </x:c>
      <x:c r="K158" s="14" t="str">
        <x:v>IMG_6725</x:v>
      </x:c>
      <x:c r="L158" s="14" t="n">
        <x:v>3</x:v>
      </x:c>
      <x:c r="M158" s="14" t="str"/>
      <x:c r="N158" s="12" t="str"/>
    </x:row>
    <x:row r="159">
      <x:c r="A159" s="14" t="n">
        <x:v>158</x:v>
      </x:c>
      <x:c r="B159" s="20" t="str">
        <x:v>Vallejo</x:v>
      </x:c>
      <x:c r="C159" s="14" t="str">
        <x:v>72.148</x:v>
      </x:c>
      <x:c r="D159" s="12" t="str">
        <x:v>Heavy Warmgrey</x:v>
      </x:c>
      <x:c r="E159" s="14" t="str">
        <x:v>Game Extra Opaque</x:v>
      </x:c>
      <x:c r="F159" s="14" t="str">
        <x:v>Серо-бежевый</x:v>
      </x:c>
      <x:c r="G159" s="14" t="n">
        <x:v>1</x:v>
      </x:c>
      <x:c r="H159" s="14" t="str">
        <x:v>Не проверено</x:v>
      </x:c>
      <x:c r="I159" s="14" t="str">
        <x:v>Не проверено</x:v>
      </x:c>
      <x:c r="J159" s="14" t="str">
        <x:f>IF(OR(H159="Засохла",H159="Пустая",I159="&lt;25%"),"Да","")</x:f>
      </x:c>
      <x:c r="K159" s="14" t="str">
        <x:v>IMG_6725</x:v>
      </x:c>
      <x:c r="L159" s="14" t="n">
        <x:v>4</x:v>
      </x:c>
      <x:c r="M159" s="14" t="str"/>
      <x:c r="N159" s="12" t="str"/>
    </x:row>
    <x:row r="160">
      <x:c r="A160" s="14" t="n">
        <x:v>159</x:v>
      </x:c>
      <x:c r="B160" s="20" t="str">
        <x:v>Vallejo</x:v>
      </x:c>
      <x:c r="C160" s="14" t="str">
        <x:v>70.735</x:v>
      </x:c>
      <x:c r="D160" s="12" t="str">
        <x:v>Magenta Fluorescent</x:v>
      </x:c>
      <x:c r="E160" s="14" t="str">
        <x:v>Model Color — Fluorescent</x:v>
      </x:c>
      <x:c r="F160" s="14" t="str">
        <x:v>Флуоресцентный розовый</x:v>
      </x:c>
      <x:c r="G160" s="14" t="n">
        <x:v>1</x:v>
      </x:c>
      <x:c r="H160" s="14" t="str">
        <x:v>Не проверено</x:v>
      </x:c>
      <x:c r="I160" s="14" t="str">
        <x:v>Не проверено</x:v>
      </x:c>
      <x:c r="J160" s="14" t="str">
        <x:f>IF(OR(H160="Засохла",H160="Пустая",I160="&lt;25%"),"Да","")</x:f>
      </x:c>
      <x:c r="K160" s="14" t="str">
        <x:v>IMG_6725</x:v>
      </x:c>
      <x:c r="L160" s="14" t="n">
        <x:v>5</x:v>
      </x:c>
      <x:c r="M160" s="14" t="str"/>
      <x:c r="N160" s="12" t="str"/>
    </x:row>
    <x:row r="161">
      <x:c r="A161" s="14" t="n">
        <x:v>160</x:v>
      </x:c>
      <x:c r="B161" s="20" t="str">
        <x:v>Vallejo</x:v>
      </x:c>
      <x:c r="C161" s="14" t="str">
        <x:v>72.140</x:v>
      </x:c>
      <x:c r="D161" s="12" t="str">
        <x:v>Heavy Skintone</x:v>
      </x:c>
      <x:c r="E161" s="14" t="str">
        <x:v>Game Extra Opaque</x:v>
      </x:c>
      <x:c r="F161" s="14" t="str">
        <x:v>Телесный</x:v>
      </x:c>
      <x:c r="G161" s="14" t="n">
        <x:v>1</x:v>
      </x:c>
      <x:c r="H161" s="14" t="str">
        <x:v>Не проверено</x:v>
      </x:c>
      <x:c r="I161" s="14" t="str">
        <x:v>Не проверено</x:v>
      </x:c>
      <x:c r="J161" s="14" t="str">
        <x:f>IF(OR(H161="Засохла",H161="Пустая",I161="&lt;25%"),"Да","")</x:f>
      </x:c>
      <x:c r="K161" s="14" t="str">
        <x:v>IMG_6725</x:v>
      </x:c>
      <x:c r="L161" s="14" t="n">
        <x:v>6</x:v>
      </x:c>
      <x:c r="M161" s="14" t="str"/>
      <x:c r="N161" s="12" t="str"/>
    </x:row>
    <x:row r="162">
      <x:c r="A162" s="14" t="n">
        <x:v>161</x:v>
      </x:c>
      <x:c r="B162" s="20" t="str">
        <x:v>Vallejo</x:v>
      </x:c>
      <x:c r="C162" s="14" t="str">
        <x:v>71.068</x:v>
      </x:c>
      <x:c r="D162" s="12" t="str">
        <x:v>Copper</x:v>
      </x:c>
      <x:c r="E162" s="14" t="str">
        <x:v>Model Air — Metallic</x:v>
      </x:c>
      <x:c r="F162" s="14" t="str">
        <x:v>Металлик</x:v>
      </x:c>
      <x:c r="G162" s="14" t="n">
        <x:v>1</x:v>
      </x:c>
      <x:c r="H162" s="14" t="str">
        <x:v>Не проверено</x:v>
      </x:c>
      <x:c r="I162" s="14" t="str">
        <x:v>Не проверено</x:v>
      </x:c>
      <x:c r="J162" s="14" t="str">
        <x:f>IF(OR(H162="Засохла",H162="Пустая",I162="&lt;25%"),"Да","")</x:f>
      </x:c>
      <x:c r="K162" s="14" t="str">
        <x:v>IMG_6725</x:v>
      </x:c>
      <x:c r="L162" s="14" t="n">
        <x:v>7</x:v>
      </x:c>
      <x:c r="M162" s="14" t="str"/>
      <x:c r="N162" s="12" t="str"/>
    </x:row>
    <x:row r="163">
      <x:c r="A163" s="14" t="n">
        <x:v>162</x:v>
      </x:c>
      <x:c r="B163" s="20" t="str">
        <x:v>Vallejo</x:v>
      </x:c>
      <x:c r="C163" s="14" t="str">
        <x:v>71.072</x:v>
      </x:c>
      <x:c r="D163" s="12" t="str">
        <x:v>Gunmetal</x:v>
      </x:c>
      <x:c r="E163" s="14" t="str">
        <x:v>Model Air — Metallic</x:v>
      </x:c>
      <x:c r="F163" s="14" t="str">
        <x:v>Металлик</x:v>
      </x:c>
      <x:c r="G163" s="14" t="n">
        <x:v>1</x:v>
      </x:c>
      <x:c r="H163" s="14" t="str">
        <x:v>Не проверено</x:v>
      </x:c>
      <x:c r="I163" s="14" t="str">
        <x:v>Не проверено</x:v>
      </x:c>
      <x:c r="J163" s="14" t="str">
        <x:f>IF(OR(H163="Засохла",H163="Пустая",I163="&lt;25%"),"Да","")</x:f>
      </x:c>
      <x:c r="K163" s="14" t="str">
        <x:v>IMG_6726</x:v>
      </x:c>
      <x:c r="L163" s="14" t="n">
        <x:v>1</x:v>
      </x:c>
      <x:c r="M163" s="14" t="str"/>
      <x:c r="N163" s="12" t="str"/>
    </x:row>
    <x:row r="164">
      <x:c r="A164" s="14" t="n">
        <x:v>163</x:v>
      </x:c>
      <x:c r="B164" s="20" t="str">
        <x:v>Vallejo</x:v>
      </x:c>
      <x:c r="C164" s="14" t="str">
        <x:v>69.058</x:v>
      </x:c>
      <x:c r="D164" s="12" t="str">
        <x:v>Gunmetal</x:v>
      </x:c>
      <x:c r="E164" s="14" t="str">
        <x:v>Mecha Color — Metallic</x:v>
      </x:c>
      <x:c r="F164" s="14" t="str">
        <x:v>Металлик</x:v>
      </x:c>
      <x:c r="G164" s="14" t="n">
        <x:v>1</x:v>
      </x:c>
      <x:c r="H164" s="14" t="str">
        <x:v>Не проверено</x:v>
      </x:c>
      <x:c r="I164" s="14" t="str">
        <x:v>Не проверено</x:v>
      </x:c>
      <x:c r="J164" s="14" t="str">
        <x:f>IF(OR(H164="Засохла",H164="Пустая",I164="&lt;25%"),"Да","")</x:f>
      </x:c>
      <x:c r="K164" s="14" t="str">
        <x:v>IMG_6726</x:v>
      </x:c>
      <x:c r="L164" s="14" t="n">
        <x:v>2</x:v>
      </x:c>
      <x:c r="M164" s="14" t="str"/>
      <x:c r="N164" s="12" t="str"/>
    </x:row>
    <x:row r="165">
      <x:c r="A165" s="14" t="n">
        <x:v>164</x:v>
      </x:c>
      <x:c r="B165" s="20" t="str">
        <x:v>Vallejo</x:v>
      </x:c>
      <x:c r="C165" s="14" t="str">
        <x:v>69.002</x:v>
      </x:c>
      <x:c r="D165" s="12" t="str">
        <x:v>White Grey</x:v>
      </x:c>
      <x:c r="E165" s="14" t="str">
        <x:v>Mecha Color</x:v>
      </x:c>
      <x:c r="F165" s="14" t="str">
        <x:v>Светло-серый</x:v>
      </x:c>
      <x:c r="G165" s="14" t="n">
        <x:v>1</x:v>
      </x:c>
      <x:c r="H165" s="14" t="str">
        <x:v>Не проверено</x:v>
      </x:c>
      <x:c r="I165" s="14" t="str">
        <x:v>Не проверено</x:v>
      </x:c>
      <x:c r="J165" s="14" t="str">
        <x:f>IF(OR(H165="Засохла",H165="Пустая",I165="&lt;25%"),"Да","")</x:f>
      </x:c>
      <x:c r="K165" s="14" t="str">
        <x:v>IMG_6726</x:v>
      </x:c>
      <x:c r="L165" s="14" t="n">
        <x:v>3</x:v>
      </x:c>
      <x:c r="M165" s="14" t="str"/>
      <x:c r="N165" s="12" t="str"/>
    </x:row>
    <x:row r="166">
      <x:c r="A166" s="14" t="n">
        <x:v>165</x:v>
      </x:c>
      <x:c r="B166" s="20" t="str">
        <x:v>Vallejo</x:v>
      </x:c>
      <x:c r="C166" s="14" t="str">
        <x:v>71.049</x:v>
      </x:c>
      <x:c r="D166" s="12" t="str">
        <x:v>Sea Grey</x:v>
      </x:c>
      <x:c r="E166" s="14" t="str">
        <x:v>Model Air</x:v>
      </x:c>
      <x:c r="F166" s="14" t="str">
        <x:v>Серый</x:v>
      </x:c>
      <x:c r="G166" s="14" t="n">
        <x:v>1</x:v>
      </x:c>
      <x:c r="H166" s="14" t="str">
        <x:v>Не проверено</x:v>
      </x:c>
      <x:c r="I166" s="14" t="str">
        <x:v>Не проверено</x:v>
      </x:c>
      <x:c r="J166" s="14" t="str">
        <x:f>IF(OR(H166="Засохла",H166="Пустая",I166="&lt;25%"),"Да","")</x:f>
      </x:c>
      <x:c r="K166" s="14" t="str">
        <x:v>IMG_6726</x:v>
      </x:c>
      <x:c r="L166" s="14" t="n">
        <x:v>4</x:v>
      </x:c>
      <x:c r="M166" s="14" t="str"/>
      <x:c r="N166" s="12" t="str"/>
    </x:row>
    <x:row r="167">
      <x:c r="A167" s="14" t="n">
        <x:v>166</x:v>
      </x:c>
      <x:c r="B167" s="18" t="str">
        <x:v>AK</x:v>
      </x:c>
      <x:c r="C167" s="14" t="str">
        <x:v>AK3145</x:v>
      </x:c>
      <x:c r="D167" s="12" t="str">
        <x:v>German Grey Uniform</x:v>
      </x:c>
      <x:c r="E167" s="14" t="str">
        <x:v>Figure Series</x:v>
      </x:c>
      <x:c r="F167" s="14" t="str">
        <x:v>Серый</x:v>
      </x:c>
      <x:c r="G167" s="14" t="n">
        <x:v>1</x:v>
      </x:c>
      <x:c r="H167" s="14" t="str">
        <x:v>Не проверено</x:v>
      </x:c>
      <x:c r="I167" s="14" t="str">
        <x:v>Не проверено</x:v>
      </x:c>
      <x:c r="J167" s="14" t="str">
        <x:f>IF(OR(H167="Засохла",H167="Пустая",I167="&lt;25%"),"Да","")</x:f>
      </x:c>
      <x:c r="K167" s="14" t="str">
        <x:v>IMG_6726</x:v>
      </x:c>
      <x:c r="L167" s="14" t="n">
        <x:v>5</x:v>
      </x:c>
      <x:c r="M167" s="14" t="str"/>
      <x:c r="N167" s="12" t="str"/>
    </x:row>
    <x:row r="168">
      <x:c r="A168" s="14" t="n">
        <x:v>167</x:v>
      </x:c>
      <x:c r="B168" s="20" t="str">
        <x:v>Vallejo</x:v>
      </x:c>
      <x:c r="C168" s="14" t="str">
        <x:v>71.069</x:v>
      </x:c>
      <x:c r="D168" s="12" t="str">
        <x:v>Rust</x:v>
      </x:c>
      <x:c r="E168" s="14" t="str">
        <x:v>Model Air — Metallic</x:v>
      </x:c>
      <x:c r="F168" s="14" t="str">
        <x:v>Металлик</x:v>
      </x:c>
      <x:c r="G168" s="14" t="n">
        <x:v>1</x:v>
      </x:c>
      <x:c r="H168" s="14" t="str">
        <x:v>Не проверено</x:v>
      </x:c>
      <x:c r="I168" s="14" t="str">
        <x:v>Не проверено</x:v>
      </x:c>
      <x:c r="J168" s="14" t="str">
        <x:f>IF(OR(H168="Засохла",H168="Пустая",I168="&lt;25%"),"Да","")</x:f>
      </x:c>
      <x:c r="K168" s="14" t="str">
        <x:v>IMG_6726</x:v>
      </x:c>
      <x:c r="L168" s="14" t="n">
        <x:v>6</x:v>
      </x:c>
      <x:c r="M168" s="14" t="str"/>
      <x:c r="N168" s="12" t="str"/>
    </x:row>
    <x:row r="169">
      <x:c r="A169" s="14" t="n">
        <x:v>168</x:v>
      </x:c>
      <x:c r="B169" s="20" t="str">
        <x:v>Vallejo</x:v>
      </x:c>
      <x:c r="C169" s="14" t="str">
        <x:v>70.643</x:v>
      </x:c>
      <x:c r="D169" s="12" t="str">
        <x:v>Ivory Primer</x:v>
      </x:c>
      <x:c r="E169" s="14" t="str">
        <x:v>Mecha Primer</x:v>
      </x:c>
      <x:c r="F169" s="14" t="str">
        <x:v>Кость</x:v>
      </x:c>
      <x:c r="G169" s="14" t="n">
        <x:v>1</x:v>
      </x:c>
      <x:c r="H169" s="14" t="str">
        <x:v>Не проверено</x:v>
      </x:c>
      <x:c r="I169" s="14" t="str">
        <x:v>Не проверено</x:v>
      </x:c>
      <x:c r="J169" s="14" t="str">
        <x:f>IF(OR(H169="Засохла",H169="Пустая",I169="&lt;25%"),"Да","")</x:f>
      </x:c>
      <x:c r="K169" s="14" t="str">
        <x:v>IMG_6726</x:v>
      </x:c>
      <x:c r="L169" s="14" t="n">
        <x:v>7</x:v>
      </x:c>
      <x:c r="M169" s="14" t="str"/>
      <x:c r="N169" s="12" t="str"/>
    </x:row>
    <x:row r="170">
      <x:c r="A170" s="14" t="n">
        <x:v>169</x:v>
      </x:c>
      <x:c r="B170" s="20" t="str">
        <x:v>Vallejo</x:v>
      </x:c>
      <x:c r="C170" s="14" t="str">
        <x:v>71.113</x:v>
      </x:c>
      <x:c r="D170" s="12" t="str">
        <x:v>US Interior Yellow</x:v>
      </x:c>
      <x:c r="E170" s="14" t="str">
        <x:v>Model Air</x:v>
      </x:c>
      <x:c r="F170" s="14" t="str">
        <x:v>Жёлто-оливковый</x:v>
      </x:c>
      <x:c r="G170" s="14" t="n">
        <x:v>1</x:v>
      </x:c>
      <x:c r="H170" s="14" t="str">
        <x:v>Не проверено</x:v>
      </x:c>
      <x:c r="I170" s="14" t="str">
        <x:v>Не проверено</x:v>
      </x:c>
      <x:c r="J170" s="14" t="str">
        <x:f>IF(OR(H170="Засохла",H170="Пустая",I170="&lt;25%"),"Да","")</x:f>
      </x:c>
      <x:c r="K170" s="14" t="str">
        <x:v>IMG_6727</x:v>
      </x:c>
      <x:c r="L170" s="14" t="n">
        <x:v>1</x:v>
      </x:c>
      <x:c r="M170" s="14" t="str"/>
      <x:c r="N170" s="12" t="str"/>
    </x:row>
    <x:row r="171">
      <x:c r="A171" s="14" t="n">
        <x:v>170</x:v>
      </x:c>
      <x:c r="B171" s="20" t="str">
        <x:v>Vallejo</x:v>
      </x:c>
      <x:c r="C171" s="14" t="str">
        <x:v>70.878</x:v>
      </x:c>
      <x:c r="D171" s="12" t="str">
        <x:v>Old Gold</x:v>
      </x:c>
      <x:c r="E171" s="14" t="str">
        <x:v>Model Color — Metallic</x:v>
      </x:c>
      <x:c r="F171" s="14" t="str">
        <x:v>Металлик</x:v>
      </x:c>
      <x:c r="G171" s="14" t="n">
        <x:v>1</x:v>
      </x:c>
      <x:c r="H171" s="14" t="str">
        <x:v>Не проверено</x:v>
      </x:c>
      <x:c r="I171" s="14" t="str">
        <x:v>Не проверено</x:v>
      </x:c>
      <x:c r="J171" s="14" t="str">
        <x:f>IF(OR(H171="Засохла",H171="Пустая",I171="&lt;25%"),"Да","")</x:f>
      </x:c>
      <x:c r="K171" s="14" t="str">
        <x:v>IMG_6727</x:v>
      </x:c>
      <x:c r="L171" s="14" t="n">
        <x:v>2</x:v>
      </x:c>
      <x:c r="M171" s="14" t="str"/>
      <x:c r="N171" s="12" t="str"/>
    </x:row>
    <x:row r="172">
      <x:c r="A172" s="14" t="n">
        <x:v>171</x:v>
      </x:c>
      <x:c r="B172" s="20" t="str">
        <x:v>Vallejo</x:v>
      </x:c>
      <x:c r="C172" s="14" t="str">
        <x:v>72.089</x:v>
      </x:c>
      <x:c r="D172" s="12" t="str">
        <x:v>Green</x:v>
      </x:c>
      <x:c r="E172" s="14" t="str">
        <x:v>Game Ink</x:v>
      </x:c>
      <x:c r="F172" s="14" t="str">
        <x:v>Зелёный</x:v>
      </x:c>
      <x:c r="G172" s="14" t="n">
        <x:v>1</x:v>
      </x:c>
      <x:c r="H172" s="14" t="str">
        <x:v>Не проверено</x:v>
      </x:c>
      <x:c r="I172" s="14" t="str">
        <x:v>Не проверено</x:v>
      </x:c>
      <x:c r="J172" s="14" t="str">
        <x:f>IF(OR(H172="Засохла",H172="Пустая",I172="&lt;25%"),"Да","")</x:f>
      </x:c>
      <x:c r="K172" s="14" t="str">
        <x:v>IMG_6727</x:v>
      </x:c>
      <x:c r="L172" s="14" t="n">
        <x:v>3</x:v>
      </x:c>
      <x:c r="M172" s="14" t="str"/>
      <x:c r="N172" s="12" t="str"/>
    </x:row>
    <x:row r="173">
      <x:c r="A173" s="14" t="n">
        <x:v>172</x:v>
      </x:c>
      <x:c r="B173" s="20" t="str">
        <x:v>Vallejo</x:v>
      </x:c>
      <x:c r="C173" s="14" t="str">
        <x:v>72.423</x:v>
      </x:c>
      <x:c r="D173" s="12" t="str">
        <x:v>Black Lotus</x:v>
      </x:c>
      <x:c r="E173" s="14" t="str">
        <x:v>Xpress Color</x:v>
      </x:c>
      <x:c r="F173" s="14" t="str">
        <x:v>Фиолетовый</x:v>
      </x:c>
      <x:c r="G173" s="14" t="n">
        <x:v>1</x:v>
      </x:c>
      <x:c r="H173" s="14" t="str">
        <x:v>Не проверено</x:v>
      </x:c>
      <x:c r="I173" s="14" t="str">
        <x:v>Не проверено</x:v>
      </x:c>
      <x:c r="J173" s="14" t="str">
        <x:f>IF(OR(H173="Засохла",H173="Пустая",I173="&lt;25%"),"Да","")</x:f>
      </x:c>
      <x:c r="K173" s="14" t="str">
        <x:v>IMG_6727</x:v>
      </x:c>
      <x:c r="L173" s="14" t="n">
        <x:v>4</x:v>
      </x:c>
      <x:c r="M173" s="14" t="str"/>
      <x:c r="N173" s="12" t="str"/>
    </x:row>
    <x:row r="174">
      <x:c r="A174" s="14" t="n">
        <x:v>173</x:v>
      </x:c>
      <x:c r="B174" s="20" t="str">
        <x:v>Vallejo</x:v>
      </x:c>
      <x:c r="C174" s="14" t="str">
        <x:v>70.737</x:v>
      </x:c>
      <x:c r="D174" s="12" t="str">
        <x:v>Green Fluorescent</x:v>
      </x:c>
      <x:c r="E174" s="14" t="str">
        <x:v>Model Color — Fluorescent</x:v>
      </x:c>
      <x:c r="F174" s="14" t="str">
        <x:v>Флуоресцентный зелёный</x:v>
      </x:c>
      <x:c r="G174" s="14" t="n">
        <x:v>1</x:v>
      </x:c>
      <x:c r="H174" s="14" t="str">
        <x:v>Не проверено</x:v>
      </x:c>
      <x:c r="I174" s="14" t="str">
        <x:v>Не проверено</x:v>
      </x:c>
      <x:c r="J174" s="14" t="str">
        <x:f>IF(OR(H174="Засохла",H174="Пустая",I174="&lt;25%"),"Да","")</x:f>
      </x:c>
      <x:c r="K174" s="14" t="str">
        <x:v>IMG_6727</x:v>
      </x:c>
      <x:c r="L174" s="14" t="n">
        <x:v>5</x:v>
      </x:c>
      <x:c r="M174" s="14" t="str"/>
      <x:c r="N174" s="12" t="str"/>
    </x:row>
    <x:row r="175">
      <x:c r="A175" s="14" t="n">
        <x:v>174</x:v>
      </x:c>
      <x:c r="B175" s="20" t="str">
        <x:v>Vallejo</x:v>
      </x:c>
      <x:c r="C175" s="14" t="str">
        <x:v>69.004</x:v>
      </x:c>
      <x:c r="D175" s="12" t="str">
        <x:v>Yellow</x:v>
      </x:c>
      <x:c r="E175" s="14" t="str">
        <x:v>Mecha Color</x:v>
      </x:c>
      <x:c r="F175" s="14" t="str">
        <x:v>Жёлтый</x:v>
      </x:c>
      <x:c r="G175" s="14" t="n">
        <x:v>1</x:v>
      </x:c>
      <x:c r="H175" s="14" t="str">
        <x:v>Не проверено</x:v>
      </x:c>
      <x:c r="I175" s="14" t="str">
        <x:v>Не проверено</x:v>
      </x:c>
      <x:c r="J175" s="14" t="str">
        <x:f>IF(OR(H175="Засохла",H175="Пустая",I175="&lt;25%"),"Да","")</x:f>
      </x:c>
      <x:c r="K175" s="14" t="str">
        <x:v>IMG_6727</x:v>
      </x:c>
      <x:c r="L175" s="14" t="n">
        <x:v>6</x:v>
      </x:c>
      <x:c r="M175" s="14" t="str"/>
      <x:c r="N175" s="12" t="str"/>
    </x:row>
    <x:row r="176">
      <x:c r="A176" s="14" t="n">
        <x:v>175</x:v>
      </x:c>
      <x:c r="B176" s="20" t="str">
        <x:v>Vallejo</x:v>
      </x:c>
      <x:c r="C176" s="14" t="str">
        <x:v>72.087</x:v>
      </x:c>
      <x:c r="D176" s="12" t="str">
        <x:v>Violet</x:v>
      </x:c>
      <x:c r="E176" s="14" t="str">
        <x:v>Game Ink</x:v>
      </x:c>
      <x:c r="F176" s="14" t="str">
        <x:v>Фиолетовый</x:v>
      </x:c>
      <x:c r="G176" s="14" t="n">
        <x:v>1</x:v>
      </x:c>
      <x:c r="H176" s="14" t="str">
        <x:v>Не проверено</x:v>
      </x:c>
      <x:c r="I176" s="14" t="str">
        <x:v>Не проверено</x:v>
      </x:c>
      <x:c r="J176" s="14" t="str">
        <x:f>IF(OR(H176="Засохла",H176="Пустая",I176="&lt;25%"),"Да","")</x:f>
      </x:c>
      <x:c r="K176" s="14" t="str">
        <x:v>IMG_6727</x:v>
      </x:c>
      <x:c r="L176" s="14" t="n">
        <x:v>7</x:v>
      </x:c>
      <x:c r="M176" s="14" t="str"/>
      <x:c r="N176" s="12" t="str"/>
    </x:row>
    <x:row r="177">
      <x:c r="A177" s="14" t="n">
        <x:v>176</x:v>
      </x:c>
      <x:c r="B177" s="20" t="str">
        <x:v>Vallejo</x:v>
      </x:c>
      <x:c r="C177" s="14" t="str">
        <x:v>72.088</x:v>
      </x:c>
      <x:c r="D177" s="12" t="str">
        <x:v>Blue</x:v>
      </x:c>
      <x:c r="E177" s="14" t="str">
        <x:v>Game Ink</x:v>
      </x:c>
      <x:c r="F177" s="14" t="str">
        <x:v>Синий</x:v>
      </x:c>
      <x:c r="G177" s="14" t="n">
        <x:v>1</x:v>
      </x:c>
      <x:c r="H177" s="14" t="str">
        <x:v>Не проверено</x:v>
      </x:c>
      <x:c r="I177" s="14" t="str">
        <x:v>Не проверено</x:v>
      </x:c>
      <x:c r="J177" s="14" t="str">
        <x:f>IF(OR(H177="Засохла",H177="Пустая",I177="&lt;25%"),"Да","")</x:f>
      </x:c>
      <x:c r="K177" s="14" t="str">
        <x:v>IMG_6727</x:v>
      </x:c>
      <x:c r="L177" s="14" t="n">
        <x:v>8</x:v>
      </x:c>
      <x:c r="M177" s="14" t="str"/>
      <x:c r="N177" s="12" t="str"/>
    </x:row>
    <x:row r="178">
      <x:c r="A178" s="14" t="n">
        <x:v>177</x:v>
      </x:c>
      <x:c r="B178" s="20" t="str">
        <x:v>Vallejo</x:v>
      </x:c>
      <x:c r="C178" s="14" t="str">
        <x:v>69.703</x:v>
      </x:c>
      <x:c r="D178" s="12" t="str">
        <x:v>Satin Varnish</x:v>
      </x:c>
      <x:c r="E178" s="14" t="str">
        <x:v>Mecha Varnish</x:v>
      </x:c>
      <x:c r="F178" s="14" t="str">
        <x:v>Прозрачный</x:v>
      </x:c>
      <x:c r="G178" s="14" t="n">
        <x:v>1</x:v>
      </x:c>
      <x:c r="H178" s="14" t="str">
        <x:v>Не проверено</x:v>
      </x:c>
      <x:c r="I178" s="14" t="str">
        <x:v>Не проверено</x:v>
      </x:c>
      <x:c r="J178" s="14" t="str">
        <x:f>IF(OR(H178="Засохла",H178="Пустая",I178="&lt;25%"),"Да","")</x:f>
      </x:c>
      <x:c r="K178" s="14" t="str">
        <x:v>IMG_6728</x:v>
      </x:c>
      <x:c r="L178" s="14" t="n">
        <x:v>1</x:v>
      </x:c>
      <x:c r="M178" s="14" t="str"/>
      <x:c r="N178" s="12" t="str"/>
    </x:row>
    <x:row r="179">
      <x:c r="A179" s="14" t="n">
        <x:v>178</x:v>
      </x:c>
      <x:c r="B179" s="20" t="str">
        <x:v>Vallejo</x:v>
      </x:c>
      <x:c r="C179" s="14" t="str">
        <x:v>69.009</x:v>
      </x:c>
      <x:c r="D179" s="12" t="str">
        <x:v>SZ Red</x:v>
      </x:c>
      <x:c r="E179" s="14" t="str">
        <x:v>Mecha Color</x:v>
      </x:c>
      <x:c r="F179" s="14" t="str">
        <x:v>Красный</x:v>
      </x:c>
      <x:c r="G179" s="14" t="n">
        <x:v>1</x:v>
      </x:c>
      <x:c r="H179" s="14" t="str">
        <x:v>Не проверено</x:v>
      </x:c>
      <x:c r="I179" s="14" t="str">
        <x:v>Не проверено</x:v>
      </x:c>
      <x:c r="J179" s="14" t="str">
        <x:f>IF(OR(H179="Засохла",H179="Пустая",I179="&lt;25%"),"Да","")</x:f>
      </x:c>
      <x:c r="K179" s="14" t="str">
        <x:v>IMG_6728</x:v>
      </x:c>
      <x:c r="L179" s="14" t="n">
        <x:v>2</x:v>
      </x:c>
      <x:c r="M179" s="14" t="str"/>
      <x:c r="N179" s="12" t="str"/>
    </x:row>
    <x:row r="180">
      <x:c r="A180" s="14" t="n">
        <x:v>179</x:v>
      </x:c>
      <x:c r="B180" s="20" t="str">
        <x:v>Vallejo</x:v>
      </x:c>
      <x:c r="C180" s="14" t="str">
        <x:v>72.448</x:v>
      </x:c>
      <x:c r="D180" s="12" t="str">
        <x:v>Xpress Medium</x:v>
      </x:c>
      <x:c r="E180" s="14" t="str">
        <x:v>Xpress Color — Medium</x:v>
      </x:c>
      <x:c r="F180" s="14" t="str">
        <x:v>Прозрачный</x:v>
      </x:c>
      <x:c r="G180" s="14" t="n">
        <x:v>1</x:v>
      </x:c>
      <x:c r="H180" s="14" t="str">
        <x:v>Не проверено</x:v>
      </x:c>
      <x:c r="I180" s="14" t="str">
        <x:v>Не проверено</x:v>
      </x:c>
      <x:c r="J180" s="14" t="str">
        <x:f>IF(OR(H180="Засохла",H180="Пустая",I180="&lt;25%"),"Да","")</x:f>
      </x:c>
      <x:c r="K180" s="14" t="str">
        <x:v>IMG_6728</x:v>
      </x:c>
      <x:c r="L180" s="14" t="n">
        <x:v>3</x:v>
      </x:c>
      <x:c r="M180" s="14" t="str"/>
      <x:c r="N180" s="12" t="str"/>
    </x:row>
    <x:row r="181">
      <x:c r="A181" s="14" t="n">
        <x:v>180</x:v>
      </x:c>
      <x:c r="B181" s="20" t="str">
        <x:v>Vallejo</x:v>
      </x:c>
      <x:c r="C181" s="14" t="str">
        <x:v>70.730</x:v>
      </x:c>
      <x:c r="D181" s="12" t="str">
        <x:v>Yellow Fluorescent</x:v>
      </x:c>
      <x:c r="E181" s="14" t="str">
        <x:v>Model Color — Fluorescent</x:v>
      </x:c>
      <x:c r="F181" s="14" t="str">
        <x:v>Флуоресцентный жёлтый</x:v>
      </x:c>
      <x:c r="G181" s="14" t="n">
        <x:v>1</x:v>
      </x:c>
      <x:c r="H181" s="14" t="str">
        <x:v>Не проверено</x:v>
      </x:c>
      <x:c r="I181" s="14" t="str">
        <x:v>Не проверено</x:v>
      </x:c>
      <x:c r="J181" s="14" t="str">
        <x:f>IF(OR(H181="Засохла",H181="Пустая",I181="&lt;25%"),"Да","")</x:f>
      </x:c>
      <x:c r="K181" s="14" t="str">
        <x:v>IMG_6728</x:v>
      </x:c>
      <x:c r="L181" s="14" t="n">
        <x:v>4</x:v>
      </x:c>
      <x:c r="M181" s="14" t="str"/>
      <x:c r="N181" s="12" t="str"/>
    </x:row>
    <x:row r="182">
      <x:c r="A182" s="14" t="n">
        <x:v>181</x:v>
      </x:c>
      <x:c r="B182" s="20" t="str">
        <x:v>Vallejo</x:v>
      </x:c>
      <x:c r="C182" s="14" t="str">
        <x:v>72.411</x:v>
      </x:c>
      <x:c r="D182" s="12" t="str">
        <x:v>Mystic Blue</x:v>
      </x:c>
      <x:c r="E182" s="14" t="str">
        <x:v>Xpress Color</x:v>
      </x:c>
      <x:c r="F182" s="14" t="str">
        <x:v>Синий</x:v>
      </x:c>
      <x:c r="G182" s="14" t="n">
        <x:v>1</x:v>
      </x:c>
      <x:c r="H182" s="14" t="str">
        <x:v>Не проверено</x:v>
      </x:c>
      <x:c r="I182" s="14" t="str">
        <x:v>Не проверено</x:v>
      </x:c>
      <x:c r="J182" s="14" t="str">
        <x:f>IF(OR(H182="Засохла",H182="Пустая",I182="&lt;25%"),"Да","")</x:f>
      </x:c>
      <x:c r="K182" s="14" t="str">
        <x:v>IMG_6728</x:v>
      </x:c>
      <x:c r="L182" s="14" t="n">
        <x:v>5</x:v>
      </x:c>
      <x:c r="M182" s="14" t="str"/>
      <x:c r="N182" s="12" t="str"/>
    </x:row>
    <x:row r="183">
      <x:c r="A183" s="14" t="n">
        <x:v>182</x:v>
      </x:c>
      <x:c r="B183" s="22" t="str">
        <x:v>Army Painter</x:v>
      </x:c>
      <x:c r="C183" s="14" t="str"/>
      <x:c r="D183" s="12" t="str">
        <x:v>Pure Red</x:v>
      </x:c>
      <x:c r="E183" s="14" t="str">
        <x:v>Warpaints</x:v>
      </x:c>
      <x:c r="F183" s="14" t="str">
        <x:v>Красный</x:v>
      </x:c>
      <x:c r="G183" s="14" t="n">
        <x:v>1</x:v>
      </x:c>
      <x:c r="H183" s="14" t="str">
        <x:v>Не проверено</x:v>
      </x:c>
      <x:c r="I183" s="14" t="str">
        <x:v>Не проверено</x:v>
      </x:c>
      <x:c r="J183" s="14" t="str">
        <x:f>IF(OR(H183="Засохла",H183="Пустая",I183="&lt;25%"),"Да","")</x:f>
      </x:c>
      <x:c r="K183" s="14" t="str">
        <x:v>IMG_6728</x:v>
      </x:c>
      <x:c r="L183" s="14" t="n">
        <x:v>6</x:v>
      </x:c>
      <x:c r="M183" s="14" t="str"/>
      <x:c r="N183" s="12" t="str"/>
    </x:row>
    <x:row r="184">
      <x:c r="A184" s="14" t="n">
        <x:v>183</x:v>
      </x:c>
      <x:c r="B184" s="20" t="str">
        <x:v>Vallejo</x:v>
      </x:c>
      <x:c r="C184" s="14" t="str">
        <x:v>73.214</x:v>
      </x:c>
      <x:c r="D184" s="12" t="str">
        <x:v>Chipping Medium</x:v>
      </x:c>
      <x:c r="E184" s="14" t="str">
        <x:v>Auxiliary / Medium</x:v>
      </x:c>
      <x:c r="F184" s="14" t="str">
        <x:v>Прозрачный</x:v>
      </x:c>
      <x:c r="G184" s="14" t="n">
        <x:v>1</x:v>
      </x:c>
      <x:c r="H184" s="14" t="str">
        <x:v>Не проверено</x:v>
      </x:c>
      <x:c r="I184" s="14" t="str">
        <x:v>Не проверено</x:v>
      </x:c>
      <x:c r="J184" s="14" t="str">
        <x:f>IF(OR(H184="Засохла",H184="Пустая",I184="&lt;25%"),"Да","")</x:f>
      </x:c>
      <x:c r="K184" s="14" t="str">
        <x:v>IMG_6728</x:v>
      </x:c>
      <x:c r="L184" s="14" t="n">
        <x:v>7</x:v>
      </x:c>
      <x:c r="M184" s="14" t="str"/>
      <x:c r="N184" s="12" t="str"/>
    </x:row>
    <x:row r="185">
      <x:c r="A185" s="14" t="n">
        <x:v>184</x:v>
      </x:c>
      <x:c r="B185" s="20" t="str">
        <x:v>Vallejo</x:v>
      </x:c>
      <x:c r="C185" s="14" t="str">
        <x:v>70.598</x:v>
      </x:c>
      <x:c r="D185" s="12" t="str">
        <x:v>Crackle Medium</x:v>
      </x:c>
      <x:c r="E185" s="14" t="str">
        <x:v>Auxiliary / Medium</x:v>
      </x:c>
      <x:c r="F185" s="14" t="str">
        <x:v>Прозрачный</x:v>
      </x:c>
      <x:c r="G185" s="14" t="n">
        <x:v>1</x:v>
      </x:c>
      <x:c r="H185" s="14" t="str">
        <x:v>Не проверено</x:v>
      </x:c>
      <x:c r="I185" s="14" t="str">
        <x:v>Не проверено</x:v>
      </x:c>
      <x:c r="J185" s="14" t="str">
        <x:f>IF(OR(H185="Засохла",H185="Пустая",I185="&lt;25%"),"Да","")</x:f>
      </x:c>
      <x:c r="K185" s="14" t="str">
        <x:v>IMG_6728</x:v>
      </x:c>
      <x:c r="L185" s="14" t="n">
        <x:v>8</x:v>
      </x:c>
      <x:c r="M185" s="14" t="str"/>
      <x:c r="N185" s="12" t="str"/>
    </x:row>
    <x:row r="186">
      <x:c r="A186" s="14" t="n">
        <x:v>185</x:v>
      </x:c>
      <x:c r="B186" s="58" t="str">
        <x:v>AK</x:v>
      </x:c>
      <x:c r="C186" s="14" t="str">
        <x:v>AK11242</x:v>
      </x:c>
      <x:c r="D186" s="12" t="str">
        <x:v>Black Primer</x:v>
      </x:c>
      <x:c r="E186" s="14" t="str">
        <x:v>3rd Gen Acrylic — Primer</x:v>
      </x:c>
      <x:c r="F186" s="14" t="str">
        <x:v>Чёрный</x:v>
      </x:c>
      <x:c r="G186" s="14" t="n">
        <x:v>1</x:v>
      </x:c>
      <x:c r="H186" s="14" t="str">
        <x:v>Не проверено</x:v>
      </x:c>
      <x:c r="I186" s="14" t="str">
        <x:v>Не проверено</x:v>
      </x:c>
      <x:c r="J186" s="14" t="str">
        <x:f>IF(OR(H186="Засохла",H186="Пустая",I186="&lt;25%"),"Да","")</x:f>
      </x:c>
      <x:c r="K186" s="14" t="str">
        <x:v>IMG_6729</x:v>
      </x:c>
      <x:c r="L186" s="14" t="n">
        <x:v>1</x:v>
      </x:c>
      <x:c r="M186" s="14" t="str"/>
      <x:c r="N186" s="12" t="str"/>
    </x:row>
    <x:row r="187">
      <x:c r="A187" s="14" t="n">
        <x:v>186</x:v>
      </x:c>
      <x:c r="B187" s="58" t="str">
        <x:v>AK</x:v>
      </x:c>
      <x:c r="C187" s="14" t="str">
        <x:v>AK11237</x:v>
      </x:c>
      <x:c r="D187" s="12" t="str">
        <x:v>Matt Varnish</x:v>
      </x:c>
      <x:c r="E187" s="14" t="str">
        <x:v>3rd Gen Acrylic — Varnish</x:v>
      </x:c>
      <x:c r="F187" s="14" t="str">
        <x:v>Прозрачный</x:v>
      </x:c>
      <x:c r="G187" s="14" t="n">
        <x:v>1</x:v>
      </x:c>
      <x:c r="H187" s="14" t="str">
        <x:v>Не проверено</x:v>
      </x:c>
      <x:c r="I187" s="14" t="str">
        <x:v>Не проверено</x:v>
      </x:c>
      <x:c r="J187" s="14" t="str">
        <x:f>IF(OR(H187="Засохла",H187="Пустая",I187="&lt;25%"),"Да","")</x:f>
      </x:c>
      <x:c r="K187" s="14" t="str">
        <x:v>IMG_6729</x:v>
      </x:c>
      <x:c r="L187" s="14" t="n">
        <x:v>2</x:v>
      </x:c>
      <x:c r="M187" s="14" t="str"/>
      <x:c r="N187" s="12" t="str"/>
    </x:row>
    <x:row r="188">
      <x:c r="A188" s="14" t="n">
        <x:v>187</x:v>
      </x:c>
      <x:c r="B188" s="59" t="str">
        <x:v>Vallejo</x:v>
      </x:c>
      <x:c r="C188" s="14" t="str">
        <x:v>70.510</x:v>
      </x:c>
      <x:c r="D188" s="12" t="str">
        <x:v>Gloss Varnish</x:v>
      </x:c>
      <x:c r="E188" s="14" t="str">
        <x:v>Auxiliary / Varnish</x:v>
      </x:c>
      <x:c r="F188" s="14" t="str">
        <x:v>Прозрачный</x:v>
      </x:c>
      <x:c r="G188" s="14" t="n">
        <x:v>1</x:v>
      </x:c>
      <x:c r="H188" s="14" t="str">
        <x:v>Не проверено</x:v>
      </x:c>
      <x:c r="I188" s="14" t="str">
        <x:v>Не проверено</x:v>
      </x:c>
      <x:c r="J188" s="14" t="str">
        <x:f>IF(OR(H188="Засохла",H188="Пустая",I188="&lt;25%"),"Да","")</x:f>
      </x:c>
      <x:c r="K188" s="14" t="str">
        <x:v>IMG_6729</x:v>
      </x:c>
      <x:c r="L188" s="14" t="n">
        <x:v>3</x:v>
      </x:c>
      <x:c r="M188" s="14" t="str"/>
      <x:c r="N188" s="12" t="str"/>
    </x:row>
    <x:row r="189">
      <x:c r="A189" s="14" t="n">
        <x:v>188</x:v>
      </x:c>
      <x:c r="B189" s="59" t="str">
        <x:v>Vallejo</x:v>
      </x:c>
      <x:c r="C189" s="14" t="str">
        <x:v>77.657</x:v>
      </x:c>
      <x:c r="D189" s="12" t="str">
        <x:v>Metal Varnish</x:v>
      </x:c>
      <x:c r="E189" s="14" t="str">
        <x:v>Metal Color — Varnish</x:v>
      </x:c>
      <x:c r="F189" s="14" t="str">
        <x:v>Прозрачный</x:v>
      </x:c>
      <x:c r="G189" s="14" t="n">
        <x:v>1</x:v>
      </x:c>
      <x:c r="H189" s="14" t="str">
        <x:v>Не проверено</x:v>
      </x:c>
      <x:c r="I189" s="14" t="str">
        <x:v>Не проверено</x:v>
      </x:c>
      <x:c r="J189" s="14" t="str">
        <x:f>IF(OR(H189="Засохла",H189="Пустая",I189="&lt;25%"),"Да","")</x:f>
      </x:c>
      <x:c r="K189" s="14" t="str">
        <x:v>IMG_6729</x:v>
      </x:c>
      <x:c r="L189" s="14" t="n">
        <x:v>4</x:v>
      </x:c>
      <x:c r="M189" s="14" t="str"/>
      <x:c r="N189" s="12" t="str"/>
    </x:row>
    <x:row r="190">
      <x:c r="A190" s="14" t="n">
        <x:v>189</x:v>
      </x:c>
      <x:c r="B190" s="59" t="str">
        <x:v>Vallejo</x:v>
      </x:c>
      <x:c r="C190" s="14" t="str">
        <x:v>77.725</x:v>
      </x:c>
      <x:c r="D190" s="12" t="str">
        <x:v>Gold</x:v>
      </x:c>
      <x:c r="E190" s="14" t="str">
        <x:v>Metal Color — Metallic</x:v>
      </x:c>
      <x:c r="F190" s="14" t="str">
        <x:v>Металлик</x:v>
      </x:c>
      <x:c r="G190" s="14" t="n">
        <x:v>1</x:v>
      </x:c>
      <x:c r="H190" s="14" t="str">
        <x:v>Не проверено</x:v>
      </x:c>
      <x:c r="I190" s="14" t="str">
        <x:v>Не проверено</x:v>
      </x:c>
      <x:c r="J190" s="14" t="str">
        <x:f>IF(OR(H190="Засохла",H190="Пустая",I190="&lt;25%"),"Да","")</x:f>
      </x:c>
      <x:c r="K190" s="14" t="str">
        <x:v>IMG_6729</x:v>
      </x:c>
      <x:c r="L190" s="14" t="n">
        <x:v>5</x:v>
      </x:c>
      <x:c r="M190" s="14" t="str"/>
      <x:c r="N190" s="12" t="str"/>
    </x:row>
    <x:row r="191">
      <x:c r="A191" s="14" t="n">
        <x:v>190</x:v>
      </x:c>
      <x:c r="B191" s="58" t="str">
        <x:v>AK</x:v>
      </x:c>
      <x:c r="C191" s="14" t="str">
        <x:v>AK16010</x:v>
      </x:c>
      <x:c r="D191" s="12" t="str">
        <x:v>Intense Sienna</x:v>
      </x:c>
      <x:c r="E191" s="14" t="str">
        <x:v>The Inks</x:v>
      </x:c>
      <x:c r="F191" s="14" t="str">
        <x:v>Коричневый</x:v>
      </x:c>
      <x:c r="G191" s="14" t="n">
        <x:v>1</x:v>
      </x:c>
      <x:c r="H191" s="14" t="str">
        <x:v>Не проверено</x:v>
      </x:c>
      <x:c r="I191" s="14" t="str">
        <x:v>Не проверено</x:v>
      </x:c>
      <x:c r="J191" s="14" t="str">
        <x:f>IF(OR(H191="Засохла",H191="Пустая",I191="&lt;25%"),"Да","")</x:f>
      </x:c>
      <x:c r="K191" s="14" t="str">
        <x:v>IMG_6729</x:v>
      </x:c>
      <x:c r="L191" s="14" t="n">
        <x:v>6</x:v>
      </x:c>
      <x:c r="M191" s="14" t="str"/>
      <x:c r="N191" s="12" t="str"/>
    </x:row>
    <x:row r="192">
      <x:c r="A192" s="14" t="n">
        <x:v>191</x:v>
      </x:c>
      <x:c r="B192" s="59" t="str">
        <x:v>Vallejo</x:v>
      </x:c>
      <x:c r="C192" s="14" t="str">
        <x:v>71.073</x:v>
      </x:c>
      <x:c r="D192" s="12" t="str">
        <x:v>Black Metallic</x:v>
      </x:c>
      <x:c r="E192" s="14" t="str">
        <x:v>Model Air — Metallic</x:v>
      </x:c>
      <x:c r="F192" s="14" t="str">
        <x:v>Металлик</x:v>
      </x:c>
      <x:c r="G192" s="14" t="n">
        <x:v>1</x:v>
      </x:c>
      <x:c r="H192" s="14" t="str">
        <x:v>Не проверено</x:v>
      </x:c>
      <x:c r="I192" s="14" t="str">
        <x:v>Не проверено</x:v>
      </x:c>
      <x:c r="J192" s="14" t="str">
        <x:f>IF(OR(H192="Засохла",H192="Пустая",I192="&lt;25%"),"Да","")</x:f>
      </x:c>
      <x:c r="K192" s="14" t="str">
        <x:v>IMG_6729</x:v>
      </x:c>
      <x:c r="L192" s="14" t="n">
        <x:v>7</x:v>
      </x:c>
      <x:c r="M192" s="14" t="str"/>
      <x:c r="N192" s="12" t="str"/>
    </x:row>
    <x:row r="193">
      <x:c r="A193" s="14" t="n">
        <x:v>192</x:v>
      </x:c>
      <x:c r="B193" s="60" t="str">
        <x:v>Citadel</x:v>
      </x:c>
      <x:c r="C193" s="14" t="str"/>
      <x:c r="D193" s="12" t="str">
        <x:v>Golden Griffon</x:v>
      </x:c>
      <x:c r="E193" s="14" t="str">
        <x:v>Dry</x:v>
      </x:c>
      <x:c r="F193" s="14" t="str">
        <x:v>Металлик</x:v>
      </x:c>
      <x:c r="G193" s="14" t="n">
        <x:v>1</x:v>
      </x:c>
      <x:c r="H193" s="14" t="str">
        <x:v>Не проверено</x:v>
      </x:c>
      <x:c r="I193" s="14" t="str">
        <x:v>Не проверено</x:v>
      </x:c>
      <x:c r="J193" s="14" t="str">
        <x:f>IF(OR(H193="Засохла",H193="Пустая",I193="&lt;25%"),"Да","")</x:f>
      </x:c>
      <x:c r="K193" s="14" t="str">
        <x:v>IMG_6729</x:v>
      </x:c>
      <x:c r="L193" s="14" t="n">
        <x:v>8</x:v>
      </x:c>
      <x:c r="M193" s="14" t="str"/>
      <x:c r="N193" s="12" t="str"/>
    </x:row>
    <x:row r="194">
      <x:c r="A194" s="14" t="n">
        <x:v>193</x:v>
      </x:c>
      <x:c r="B194" s="58" t="str">
        <x:v>AK</x:v>
      </x:c>
      <x:c r="C194" s="14" t="str">
        <x:v>AK11240</x:v>
      </x:c>
      <x:c r="D194" s="12" t="str">
        <x:v>White Primer</x:v>
      </x:c>
      <x:c r="E194" s="14" t="str">
        <x:v>3rd Gen Acrylic — Primer</x:v>
      </x:c>
      <x:c r="F194" s="14" t="str">
        <x:v>Белый</x:v>
      </x:c>
      <x:c r="G194" s="14" t="n">
        <x:v>1</x:v>
      </x:c>
      <x:c r="H194" s="14" t="str">
        <x:v>Не проверено</x:v>
      </x:c>
      <x:c r="I194" s="14" t="str">
        <x:v>Не проверено</x:v>
      </x:c>
      <x:c r="J194" s="14" t="str">
        <x:f>IF(OR(H194="Засохла",H194="Пустая",I194="&lt;25%"),"Да","")</x:f>
      </x:c>
      <x:c r="K194" s="14" t="str">
        <x:v>IMG_6730</x:v>
      </x:c>
      <x:c r="L194" s="14" t="n">
        <x:v>1</x:v>
      </x:c>
      <x:c r="M194" s="14" t="str"/>
      <x:c r="N194" s="12" t="str"/>
    </x:row>
    <x:row r="195">
      <x:c r="A195" s="14" t="n">
        <x:v>194</x:v>
      </x:c>
      <x:c r="B195" s="58" t="str">
        <x:v>AK</x:v>
      </x:c>
      <x:c r="C195" s="14" t="str">
        <x:v>AK8013</x:v>
      </x:c>
      <x:c r="D195" s="12" t="str">
        <x:v>Asphalt</x:v>
      </x:c>
      <x:c r="E195" s="14" t="str">
        <x:v>Terrains / Diorama</x:v>
      </x:c>
      <x:c r="F195" s="14" t="str">
        <x:v>Чёрный</x:v>
      </x:c>
      <x:c r="G195" s="14" t="n">
        <x:v>1</x:v>
      </x:c>
      <x:c r="H195" s="14" t="str">
        <x:v>Не проверено</x:v>
      </x:c>
      <x:c r="I195" s="14" t="str">
        <x:v>Не проверено</x:v>
      </x:c>
      <x:c r="J195" s="14" t="str">
        <x:f>IF(OR(H195="Засохла",H195="Пустая",I195="&lt;25%"),"Да","")</x:f>
      </x:c>
      <x:c r="K195" s="14" t="str">
        <x:v>IMG_6730</x:v>
      </x:c>
      <x:c r="L195" s="14" t="n">
        <x:v>2</x:v>
      </x:c>
      <x:c r="M195" s="14" t="str"/>
      <x:c r="N195" s="12" t="str"/>
    </x:row>
    <x:row r="196">
      <x:c r="A196" s="14" t="n">
        <x:v>195</x:v>
      </x:c>
      <x:c r="B196" s="58" t="str">
        <x:v>AK</x:v>
      </x:c>
      <x:c r="C196" s="14" t="str">
        <x:v>AK8021</x:v>
      </x:c>
      <x:c r="D196" s="12" t="str">
        <x:v>Light Earth</x:v>
      </x:c>
      <x:c r="E196" s="14" t="str">
        <x:v>Terrains / Diorama</x:v>
      </x:c>
      <x:c r="F196" s="14" t="str">
        <x:v>Бежевый</x:v>
      </x:c>
      <x:c r="G196" s="14" t="n">
        <x:v>1</x:v>
      </x:c>
      <x:c r="H196" s="14" t="str">
        <x:v>Не проверено</x:v>
      </x:c>
      <x:c r="I196" s="14" t="str">
        <x:v>Не проверено</x:v>
      </x:c>
      <x:c r="J196" s="14" t="str">
        <x:f>IF(OR(H196="Засохла",H196="Пустая",I196="&lt;25%"),"Да","")</x:f>
      </x:c>
      <x:c r="K196" s="14" t="str">
        <x:v>IMG_6730</x:v>
      </x:c>
      <x:c r="L196" s="14" t="n">
        <x:v>3</x:v>
      </x:c>
      <x:c r="M196" s="14" t="str"/>
      <x:c r="N196" s="12" t="str"/>
    </x:row>
    <x:row r="197">
      <x:c r="A197" s="14" t="n">
        <x:v>196</x:v>
      </x:c>
      <x:c r="B197" s="59" t="str">
        <x:v>Vallejo</x:v>
      </x:c>
      <x:c r="C197" s="14" t="str">
        <x:v>76.506</x:v>
      </x:c>
      <x:c r="D197" s="12" t="str">
        <x:v>Rust</x:v>
      </x:c>
      <x:c r="E197" s="14" t="str">
        <x:v>Model Wash</x:v>
      </x:c>
      <x:c r="F197" s="14" t="str">
        <x:v>Коричневый</x:v>
      </x:c>
      <x:c r="G197" s="14" t="n">
        <x:v>1</x:v>
      </x:c>
      <x:c r="H197" s="14" t="str">
        <x:v>Не проверено</x:v>
      </x:c>
      <x:c r="I197" s="14" t="str">
        <x:v>Не проверено</x:v>
      </x:c>
      <x:c r="J197" s="14" t="str">
        <x:f>IF(OR(H197="Засохла",H197="Пустая",I197="&lt;25%"),"Да","")</x:f>
      </x:c>
      <x:c r="K197" s="14" t="str">
        <x:v>IMG_6730</x:v>
      </x:c>
      <x:c r="L197" s="14" t="n">
        <x:v>4</x:v>
      </x:c>
      <x:c r="M197" s="14" t="str"/>
      <x:c r="N197" s="12" t="str"/>
    </x:row>
    <x:row r="198">
      <x:c r="A198" s="14" t="n">
        <x:v>197</x:v>
      </x:c>
      <x:c r="B198" s="59" t="str">
        <x:v>Vallejo</x:v>
      </x:c>
      <x:c r="C198" s="14" t="str">
        <x:v>77.723</x:v>
      </x:c>
      <x:c r="D198" s="12" t="str">
        <x:v>Exhaust Manifold</x:v>
      </x:c>
      <x:c r="E198" s="14" t="str">
        <x:v>Metal Color — Metallic</x:v>
      </x:c>
      <x:c r="F198" s="14" t="str">
        <x:v>Металлик</x:v>
      </x:c>
      <x:c r="G198" s="14" t="n">
        <x:v>1</x:v>
      </x:c>
      <x:c r="H198" s="14" t="str">
        <x:v>Не проверено</x:v>
      </x:c>
      <x:c r="I198" s="14" t="str">
        <x:v>Не проверено</x:v>
      </x:c>
      <x:c r="J198" s="14" t="str">
        <x:f>IF(OR(H198="Засохла",H198="Пустая",I198="&lt;25%"),"Да","")</x:f>
      </x:c>
      <x:c r="K198" s="14" t="str">
        <x:v>IMG_6731</x:v>
      </x:c>
      <x:c r="L198" s="14" t="n">
        <x:v>1</x:v>
      </x:c>
      <x:c r="M198" s="14" t="str"/>
      <x:c r="N198" s="12" t="str"/>
    </x:row>
    <x:row r="199">
      <x:c r="A199" s="14" t="n">
        <x:v>198</x:v>
      </x:c>
      <x:c r="B199" s="60" t="str">
        <x:v>Citadel</x:v>
      </x:c>
      <x:c r="C199" s="14" t="str"/>
      <x:c r="D199" s="12" t="str">
        <x:v>Ryza Rust</x:v>
      </x:c>
      <x:c r="E199" s="14" t="str">
        <x:v>Dry</x:v>
      </x:c>
      <x:c r="F199" s="14" t="str">
        <x:v>Оранжевый</x:v>
      </x:c>
      <x:c r="G199" s="14" t="n">
        <x:v>1</x:v>
      </x:c>
      <x:c r="H199" s="14" t="str">
        <x:v>Не проверено</x:v>
      </x:c>
      <x:c r="I199" s="14" t="str">
        <x:v>Не проверено</x:v>
      </x:c>
      <x:c r="J199" s="14" t="str">
        <x:f>IF(OR(H199="Засохла",H199="Пустая",I199="&lt;25%"),"Да","")</x:f>
      </x:c>
      <x:c r="K199" s="14" t="str">
        <x:v>IMG_6731</x:v>
      </x:c>
      <x:c r="L199" s="14" t="n">
        <x:v>2</x:v>
      </x:c>
      <x:c r="M199" s="14" t="str"/>
      <x:c r="N199" s="12" t="str"/>
    </x:row>
    <x:row r="200">
      <x:c r="A200" s="14" t="n">
        <x:v>199</x:v>
      </x:c>
      <x:c r="B200" s="58" t="str">
        <x:v>AK</x:v>
      </x:c>
      <x:c r="C200" s="14" t="str">
        <x:v>AK11261</x:v>
      </x:c>
      <x:c r="D200" s="12" t="str">
        <x:v>Viscera Effect</x:v>
      </x:c>
      <x:c r="E200" s="14" t="str">
        <x:v>3rd Gen Acrylic — Effect</x:v>
      </x:c>
      <x:c r="F200" s="14" t="str">
        <x:v>Красный</x:v>
      </x:c>
      <x:c r="G200" s="14" t="n">
        <x:v>1</x:v>
      </x:c>
      <x:c r="H200" s="14" t="str">
        <x:v>Не проверено</x:v>
      </x:c>
      <x:c r="I200" s="14" t="str">
        <x:v>Не проверено</x:v>
      </x:c>
      <x:c r="J200" s="14" t="str">
        <x:f>IF(OR(H200="Засохла",H200="Пустая",I200="&lt;25%"),"Да","")</x:f>
      </x:c>
      <x:c r="K200" s="14" t="str">
        <x:v>IMG_6731</x:v>
      </x:c>
      <x:c r="L200" s="14" t="n">
        <x:v>3</x:v>
      </x:c>
      <x:c r="M200" s="14" t="str"/>
      <x:c r="N200" s="12" t="str"/>
    </x:row>
    <x:row r="201">
      <x:c r="A201" s="14" t="n">
        <x:v>200</x:v>
      </x:c>
      <x:c r="B201" s="58" t="str">
        <x:v>AK</x:v>
      </x:c>
      <x:c r="C201" s="14" t="str">
        <x:v>AK11260</x:v>
      </x:c>
      <x:c r="D201" s="12" t="str">
        <x:v>Blood Effect</x:v>
      </x:c>
      <x:c r="E201" s="14" t="str">
        <x:v>3rd Gen Acrylic — Effect</x:v>
      </x:c>
      <x:c r="F201" s="14" t="str">
        <x:v>Красный</x:v>
      </x:c>
      <x:c r="G201" s="14" t="n">
        <x:v>1</x:v>
      </x:c>
      <x:c r="H201" s="14" t="str">
        <x:v>Не проверено</x:v>
      </x:c>
      <x:c r="I201" s="14" t="str">
        <x:v>Не проверено</x:v>
      </x:c>
      <x:c r="J201" s="14" t="str">
        <x:f>IF(OR(H201="Засохла",H201="Пустая",I201="&lt;25%"),"Да","")</x:f>
      </x:c>
      <x:c r="K201" s="14" t="str">
        <x:v>IMG_6731</x:v>
      </x:c>
      <x:c r="L201" s="14" t="n">
        <x:v>4</x:v>
      </x:c>
      <x:c r="M201" s="14" t="str"/>
      <x:c r="N201" s="12" t="str"/>
    </x:row>
    <x:row r="202">
      <x:c r="A202" s="14" t="n">
        <x:v>201</x:v>
      </x:c>
      <x:c r="B202" s="60" t="str">
        <x:v>Citadel</x:v>
      </x:c>
      <x:c r="C202" s="14" t="str"/>
      <x:c r="D202" s="12" t="str">
        <x:v>Typhus Corrosion</x:v>
      </x:c>
      <x:c r="E202" s="14" t="str">
        <x:v>Technical</x:v>
      </x:c>
      <x:c r="F202" s="14" t="str">
        <x:v>Коричневый</x:v>
      </x:c>
      <x:c r="G202" s="14" t="n">
        <x:v>1</x:v>
      </x:c>
      <x:c r="H202" s="14" t="str">
        <x:v>Не проверено</x:v>
      </x:c>
      <x:c r="I202" s="14" t="str">
        <x:v>Не проверено</x:v>
      </x:c>
      <x:c r="J202" s="14" t="str">
        <x:f>IF(OR(H202="Засохла",H202="Пустая",I202="&lt;25%"),"Да","")</x:f>
      </x:c>
      <x:c r="K202" s="14" t="str">
        <x:v>IMG_6731</x:v>
      </x:c>
      <x:c r="L202" s="14" t="n">
        <x:v>5</x:v>
      </x:c>
      <x:c r="M202" s="14" t="str"/>
      <x:c r="N202" s="12" t="str"/>
    </x:row>
    <x:row r="203">
      <x:c r="A203" s="14" t="n">
        <x:v>202</x:v>
      </x:c>
      <x:c r="B203" s="60" t="str">
        <x:v>Citadel</x:v>
      </x:c>
      <x:c r="C203" s="14" t="str"/>
      <x:c r="D203" s="12" t="str">
        <x:v>Nurgle's Rot</x:v>
      </x:c>
      <x:c r="E203" s="14" t="str">
        <x:v>Technical</x:v>
      </x:c>
      <x:c r="F203" s="14" t="str">
        <x:v>Жёлто-зелёный</x:v>
      </x:c>
      <x:c r="G203" s="14" t="n">
        <x:v>1</x:v>
      </x:c>
      <x:c r="H203" s="14" t="str">
        <x:v>Не проверено</x:v>
      </x:c>
      <x:c r="I203" s="14" t="str">
        <x:v>Не проверено</x:v>
      </x:c>
      <x:c r="J203" s="14" t="str">
        <x:f>IF(OR(H203="Засохла",H203="Пустая",I203="&lt;25%"),"Да","")</x:f>
      </x:c>
      <x:c r="K203" s="14" t="str">
        <x:v>IMG_6732</x:v>
      </x:c>
      <x:c r="L203" s="14" t="n">
        <x:v>1</x:v>
      </x:c>
      <x:c r="M203" s="14" t="str"/>
      <x:c r="N203" s="12" t="str"/>
    </x:row>
    <x:row r="204">
      <x:c r="A204" s="14" t="n">
        <x:v>203</x:v>
      </x:c>
      <x:c r="B204" s="60" t="str">
        <x:v>Citadel</x:v>
      </x:c>
      <x:c r="C204" s="14" t="str"/>
      <x:c r="D204" s="12" t="str">
        <x:v>Necron Compound</x:v>
      </x:c>
      <x:c r="E204" s="14" t="str">
        <x:v>Dry</x:v>
      </x:c>
      <x:c r="F204" s="14" t="str">
        <x:v>Металлик</x:v>
      </x:c>
      <x:c r="G204" s="14" t="n">
        <x:v>1</x:v>
      </x:c>
      <x:c r="H204" s="14" t="str">
        <x:v>Не проверено</x:v>
      </x:c>
      <x:c r="I204" s="14" t="str">
        <x:v>Не проверено</x:v>
      </x:c>
      <x:c r="J204" s="14" t="str">
        <x:f>IF(OR(H204="Засохла",H204="Пустая",I204="&lt;25%"),"Да","")</x:f>
      </x:c>
      <x:c r="K204" s="14" t="str">
        <x:v>IMG_6732</x:v>
      </x:c>
      <x:c r="L204" s="14" t="n">
        <x:v>2</x:v>
      </x:c>
      <x:c r="M204" s="14" t="str">
        <x:v>Да — 2 шт.</x:v>
      </x:c>
      <x:c r="N204" s="12" t="str">
        <x:v>Повтор на этом же снимке.</x:v>
      </x:c>
    </x:row>
    <x:row r="205">
      <x:c r="A205" s="14" t="n">
        <x:v>204</x:v>
      </x:c>
      <x:c r="B205" s="60" t="str">
        <x:v>Citadel</x:v>
      </x:c>
      <x:c r="C205" s="14" t="str"/>
      <x:c r="D205" s="12" t="str">
        <x:v>Longbeard Grey</x:v>
      </x:c>
      <x:c r="E205" s="14" t="str">
        <x:v>Dry</x:v>
      </x:c>
      <x:c r="F205" s="14" t="str">
        <x:v>Серый</x:v>
      </x:c>
      <x:c r="G205" s="14" t="n">
        <x:v>1</x:v>
      </x:c>
      <x:c r="H205" s="14" t="str">
        <x:v>Не проверено</x:v>
      </x:c>
      <x:c r="I205" s="14" t="str">
        <x:v>Не проверено</x:v>
      </x:c>
      <x:c r="J205" s="14" t="str">
        <x:f>IF(OR(H205="Засохла",H205="Пустая",I205="&lt;25%"),"Да","")</x:f>
      </x:c>
      <x:c r="K205" s="14" t="str">
        <x:v>IMG_6732</x:v>
      </x:c>
      <x:c r="L205" s="14" t="n">
        <x:v>3</x:v>
      </x:c>
      <x:c r="M205" s="14" t="str"/>
      <x:c r="N205" s="12" t="str"/>
    </x:row>
    <x:row r="206">
      <x:c r="A206" s="14" t="n">
        <x:v>205</x:v>
      </x:c>
      <x:c r="B206" s="60" t="str">
        <x:v>Citadel</x:v>
      </x:c>
      <x:c r="C206" s="14" t="str"/>
      <x:c r="D206" s="12" t="str">
        <x:v>Necron Compound</x:v>
      </x:c>
      <x:c r="E206" s="14" t="str">
        <x:v>Dry</x:v>
      </x:c>
      <x:c r="F206" s="14" t="str">
        <x:v>Металлик</x:v>
      </x:c>
      <x:c r="G206" s="14" t="n">
        <x:v>1</x:v>
      </x:c>
      <x:c r="H206" s="14" t="str">
        <x:v>Не проверено</x:v>
      </x:c>
      <x:c r="I206" s="14" t="str">
        <x:v>Не проверено</x:v>
      </x:c>
      <x:c r="J206" s="14" t="str">
        <x:f>IF(OR(H206="Засохла",H206="Пустая",I206="&lt;25%"),"Да","")</x:f>
      </x:c>
      <x:c r="K206" s="14" t="str">
        <x:v>IMG_6732</x:v>
      </x:c>
      <x:c r="L206" s="14" t="n">
        <x:v>4</x:v>
      </x:c>
      <x:c r="M206" s="14" t="str">
        <x:v>Да — 2 шт.</x:v>
      </x:c>
      <x:c r="N206" s="12" t="str">
        <x:v>Повтор на этом же снимке.</x:v>
      </x:c>
    </x:row>
    <x:row r="207">
      <x:c r="A207" s="14" t="n">
        <x:v>206</x:v>
      </x:c>
      <x:c r="B207" s="60" t="str">
        <x:v>Citadel</x:v>
      </x:c>
      <x:c r="C207" s="14" t="str"/>
      <x:c r="D207" s="12" t="str">
        <x:v>Soulstone Blue</x:v>
      </x:c>
      <x:c r="E207" s="14" t="str">
        <x:v>Technical</x:v>
      </x:c>
      <x:c r="F207" s="14" t="str">
        <x:v>Синий</x:v>
      </x:c>
      <x:c r="G207" s="14" t="n">
        <x:v>1</x:v>
      </x:c>
      <x:c r="H207" s="14" t="str">
        <x:v>Не проверено</x:v>
      </x:c>
      <x:c r="I207" s="14" t="str">
        <x:v>Не проверено</x:v>
      </x:c>
      <x:c r="J207" s="14" t="str">
        <x:f>IF(OR(H207="Засохла",H207="Пустая",I207="&lt;25%"),"Да","")</x:f>
      </x:c>
      <x:c r="K207" s="14" t="str">
        <x:v>IMG_6732</x:v>
      </x:c>
      <x:c r="L207" s="14" t="n">
        <x:v>5</x:v>
      </x:c>
      <x:c r="M207" s="14" t="str"/>
      <x:c r="N207" s="12" t="str"/>
    </x:row>
    <x:row r="208">
      <x:c r="A208" s="14" t="n">
        <x:v>207</x:v>
      </x:c>
      <x:c r="B208" s="60" t="str">
        <x:v>Citadel</x:v>
      </x:c>
      <x:c r="C208" s="14" t="str"/>
      <x:c r="D208" s="12" t="str">
        <x:v>Spiritstone Red</x:v>
      </x:c>
      <x:c r="E208" s="14" t="str">
        <x:v>Technical</x:v>
      </x:c>
      <x:c r="F208" s="14" t="str">
        <x:v>Красный</x:v>
      </x:c>
      <x:c r="G208" s="14" t="n">
        <x:v>1</x:v>
      </x:c>
      <x:c r="H208" s="14" t="str">
        <x:v>Не проверено</x:v>
      </x:c>
      <x:c r="I208" s="14" t="str">
        <x:v>Не проверено</x:v>
      </x:c>
      <x:c r="J208" s="14" t="str">
        <x:f>IF(OR(H208="Засохла",H208="Пустая",I208="&lt;25%"),"Да","")</x:f>
      </x:c>
      <x:c r="K208" s="14" t="str">
        <x:v>IMG_6732</x:v>
      </x:c>
      <x:c r="L208" s="14" t="n">
        <x:v>6</x:v>
      </x:c>
      <x:c r="M208" s="14" t="str"/>
      <x:c r="N208" s="12" t="str"/>
    </x:row>
    <x:row r="209">
      <x:c r="A209" s="14" t="n">
        <x:v>208</x:v>
      </x:c>
      <x:c r="B209" s="60" t="str">
        <x:v>Citadel</x:v>
      </x:c>
      <x:c r="C209" s="14" t="str"/>
      <x:c r="D209" s="12" t="str">
        <x:v>Corvus Black</x:v>
      </x:c>
      <x:c r="E209" s="14" t="str">
        <x:v>Base</x:v>
      </x:c>
      <x:c r="F209" s="14" t="str">
        <x:v>Чёрный</x:v>
      </x:c>
      <x:c r="G209" s="14" t="n">
        <x:v>1</x:v>
      </x:c>
      <x:c r="H209" s="14" t="str">
        <x:v>Не проверено</x:v>
      </x:c>
      <x:c r="I209" s="14" t="str">
        <x:v>Не проверено</x:v>
      </x:c>
      <x:c r="J209" s="14" t="str">
        <x:f>IF(OR(H209="Засохла",H209="Пустая",I209="&lt;25%"),"Да","")</x:f>
      </x:c>
      <x:c r="K209" s="14" t="str">
        <x:v>IMG_6732</x:v>
      </x:c>
      <x:c r="L209" s="14" t="n">
        <x:v>7</x:v>
      </x:c>
      <x:c r="M209" s="14" t="str"/>
      <x:c r="N209" s="12" t="str"/>
    </x:row>
    <x:row r="210">
      <x:c r="A210" s="14" t="n">
        <x:v>209</x:v>
      </x:c>
      <x:c r="B210" s="60" t="str">
        <x:v>Citadel</x:v>
      </x:c>
      <x:c r="C210" s="14" t="str"/>
      <x:c r="D210" s="12" t="str">
        <x:v>Bloodletter</x:v>
      </x:c>
      <x:c r="E210" s="14" t="str">
        <x:v>Glaze</x:v>
      </x:c>
      <x:c r="F210" s="14" t="str">
        <x:v>Красный</x:v>
      </x:c>
      <x:c r="G210" s="14" t="n">
        <x:v>1</x:v>
      </x:c>
      <x:c r="H210" s="14" t="str">
        <x:v>Не проверено</x:v>
      </x:c>
      <x:c r="I210" s="14" t="str">
        <x:v>Не проверено</x:v>
      </x:c>
      <x:c r="J210" s="14" t="str">
        <x:f>IF(OR(H210="Засохла",H210="Пустая",I210="&lt;25%"),"Да","")</x:f>
      </x:c>
      <x:c r="K210" s="14" t="str">
        <x:v>IMG_6733</x:v>
      </x:c>
      <x:c r="L210" s="14" t="n">
        <x:v>1</x:v>
      </x:c>
      <x:c r="M210" s="14" t="str"/>
      <x:c r="N210" s="12" t="str"/>
    </x:row>
    <x:row r="211">
      <x:c r="A211" s="14" t="n">
        <x:v>210</x:v>
      </x:c>
      <x:c r="B211" s="60" t="str">
        <x:v>Citadel</x:v>
      </x:c>
      <x:c r="C211" s="14" t="str"/>
      <x:c r="D211" s="12" t="str">
        <x:v>Waystone Green</x:v>
      </x:c>
      <x:c r="E211" s="14" t="str">
        <x:v>Technical</x:v>
      </x:c>
      <x:c r="F211" s="14" t="str">
        <x:v>Зелёный</x:v>
      </x:c>
      <x:c r="G211" s="14" t="n">
        <x:v>1</x:v>
      </x:c>
      <x:c r="H211" s="14" t="str">
        <x:v>Не проверено</x:v>
      </x:c>
      <x:c r="I211" s="14" t="str">
        <x:v>Не проверено</x:v>
      </x:c>
      <x:c r="J211" s="14" t="str">
        <x:f>IF(OR(H211="Засохла",H211="Пустая",I211="&lt;25%"),"Да","")</x:f>
      </x:c>
      <x:c r="K211" s="14" t="str">
        <x:v>IMG_6733</x:v>
      </x:c>
      <x:c r="L211" s="14" t="n">
        <x:v>2</x:v>
      </x:c>
      <x:c r="M211" s="14" t="str"/>
      <x:c r="N211" s="12" t="str"/>
    </x:row>
    <x:row r="212">
      <x:c r="A212" s="14" t="n">
        <x:v>211</x:v>
      </x:c>
      <x:c r="B212" s="60" t="str">
        <x:v>Citadel</x:v>
      </x:c>
      <x:c r="C212" s="14" t="str"/>
      <x:c r="D212" s="12" t="str">
        <x:v>Guilliman Blue</x:v>
      </x:c>
      <x:c r="E212" s="14" t="str">
        <x:v>Glaze</x:v>
      </x:c>
      <x:c r="F212" s="14" t="str">
        <x:v>Синий</x:v>
      </x:c>
      <x:c r="G212" s="14" t="n">
        <x:v>1</x:v>
      </x:c>
      <x:c r="H212" s="14" t="str">
        <x:v>Не проверено</x:v>
      </x:c>
      <x:c r="I212" s="14" t="str">
        <x:v>Не проверено</x:v>
      </x:c>
      <x:c r="J212" s="14" t="str">
        <x:f>IF(OR(H212="Засохла",H212="Пустая",I212="&lt;25%"),"Да","")</x:f>
      </x:c>
      <x:c r="K212" s="14" t="str">
        <x:v>IMG_6733</x:v>
      </x:c>
      <x:c r="L212" s="14" t="n">
        <x:v>3</x:v>
      </x:c>
      <x:c r="M212" s="14" t="str"/>
      <x:c r="N212" s="12" t="str"/>
    </x:row>
    <x:row r="213">
      <x:c r="A213" s="14" t="n">
        <x:v>212</x:v>
      </x:c>
      <x:c r="B213" s="60" t="str">
        <x:v>Citadel</x:v>
      </x:c>
      <x:c r="C213" s="14" t="str"/>
      <x:c r="D213" s="12" t="str">
        <x:v>Agrellan Badland</x:v>
      </x:c>
      <x:c r="E213" s="14" t="str">
        <x:v>Texture</x:v>
      </x:c>
      <x:c r="F213" s="14" t="str">
        <x:v>Коричневый</x:v>
      </x:c>
      <x:c r="G213" s="14" t="n">
        <x:v>1</x:v>
      </x:c>
      <x:c r="H213" s="14" t="str">
        <x:v>Не проверено</x:v>
      </x:c>
      <x:c r="I213" s="14" t="str">
        <x:v>Не проверено</x:v>
      </x:c>
      <x:c r="J213" s="14" t="str">
        <x:f>IF(OR(H213="Засохла",H213="Пустая",I213="&lt;25%"),"Да","")</x:f>
      </x:c>
      <x:c r="K213" s="14" t="str">
        <x:v>IMG_6734</x:v>
      </x:c>
      <x:c r="L213" s="14" t="n">
        <x:v>1</x:v>
      </x:c>
      <x:c r="M213" s="14" t="str"/>
      <x:c r="N213" s="12" t="str"/>
    </x:row>
    <x:row r="214">
      <x:c r="A214" s="14" t="n">
        <x:v>213</x:v>
      </x:c>
      <x:c r="B214" s="60" t="str">
        <x:v>Citadel</x:v>
      </x:c>
      <x:c r="C214" s="14" t="str"/>
      <x:c r="D214" s="12" t="str">
        <x:v>Agrellan Earth</x:v>
      </x:c>
      <x:c r="E214" s="14" t="str">
        <x:v>Texture</x:v>
      </x:c>
      <x:c r="F214" s="14" t="str">
        <x:v>Коричневый</x:v>
      </x:c>
      <x:c r="G214" s="14" t="n">
        <x:v>1</x:v>
      </x:c>
      <x:c r="H214" s="14" t="str">
        <x:v>Не проверено</x:v>
      </x:c>
      <x:c r="I214" s="14" t="str">
        <x:v>Не проверено</x:v>
      </x:c>
      <x:c r="J214" s="14" t="str">
        <x:f>IF(OR(H214="Засохла",H214="Пустая",I214="&lt;25%"),"Да","")</x:f>
      </x:c>
      <x:c r="K214" s="14" t="str">
        <x:v>IMG_6734</x:v>
      </x:c>
      <x:c r="L214" s="14" t="n">
        <x:v>2</x:v>
      </x:c>
      <x:c r="M214" s="14" t="str"/>
      <x:c r="N214" s="12" t="str"/>
    </x:row>
    <x:row r="215">
      <x:c r="A215" s="14" t="n">
        <x:v>214</x:v>
      </x:c>
      <x:c r="B215" s="58" t="str">
        <x:v>AK</x:v>
      </x:c>
      <x:c r="C215" s="14" t="str">
        <x:v>AK11060</x:v>
      </x:c>
      <x:c r="D215" s="12" t="str">
        <x:v>Sickly Pink</x:v>
      </x:c>
      <x:c r="E215" s="14" t="str">
        <x:v>3rd Gen Acrylic — Standard</x:v>
      </x:c>
      <x:c r="F215" s="14" t="str">
        <x:v>Розовый</x:v>
      </x:c>
      <x:c r="G215" s="14" t="n">
        <x:v>1</x:v>
      </x:c>
      <x:c r="H215" s="14" t="str">
        <x:v>Не проверено</x:v>
      </x:c>
      <x:c r="I215" s="14" t="str">
        <x:v>Не проверено</x:v>
      </x:c>
      <x:c r="J215" s="14" t="str">
        <x:f>IF(OR(H215="Засохла",H215="Пустая",I215="&lt;25%"),"Да","")</x:f>
      </x:c>
      <x:c r="K215" s="14" t="str">
        <x:v>Вручную</x:v>
      </x:c>
      <x:c r="L215" s="14"/>
      <x:c r="M215" s="14" t="str"/>
      <x:c r="N215" s="12" t="str">
        <x:v>Добавлено по сообщению владельца; на снимках этой партии не отмечено.</x:v>
      </x:c>
    </x:row>
    <x:row r="216">
      <x:c r="A216" s="14" t="n">
        <x:v>215</x:v>
      </x:c>
      <x:c r="B216" s="124" t="str">
        <x:v>Невская палитра</x:v>
      </x:c>
      <x:c r="C216" s="14" t="str">
        <x:v>1104812</x:v>
      </x:c>
      <x:c r="D216" s="12" t="str">
        <x:v>Серая Пейна</x:v>
      </x:c>
      <x:c r="E216" s="14" t="str">
        <x:v>Мастер-Класс — масло</x:v>
      </x:c>
      <x:c r="F216" s="14" t="str">
        <x:v>Серо-голубой</x:v>
      </x:c>
      <x:c r="G216" s="14" t="n">
        <x:v>1</x:v>
      </x:c>
      <x:c r="H216" s="14" t="str">
        <x:v>Не проверено</x:v>
      </x:c>
      <x:c r="I216" s="14" t="str">
        <x:v>Не проверено</x:v>
      </x:c>
      <x:c r="J216" s="14" t="str">
        <x:f>IF(OR(H216="Засохла",H216="Пустая",I216="&lt;25%"),"Да","")</x:f>
      </x:c>
      <x:c r="K216" s="14" t="str">
        <x:v>Вручную</x:v>
      </x:c>
      <x:c r="L216" s="14"/>
      <x:c r="M216" s="14" t="str"/>
      <x:c r="N216" s="12" t="str">
        <x:v>Масляная краска, туба 46 мл; для холодных теней, фильтров и пин-вошей.</x:v>
      </x:c>
    </x:row>
    <x:row r="217">
      <x:c r="A217" s="14" t="n">
        <x:v>216</x:v>
      </x:c>
      <x:c r="B217" s="124" t="str">
        <x:v>Невская палитра</x:v>
      </x:c>
      <x:c r="C217" s="14" t="str">
        <x:v>1104801</x:v>
      </x:c>
      <x:c r="D217" s="12" t="str">
        <x:v>Сажа газовая</x:v>
      </x:c>
      <x:c r="E217" s="14" t="str">
        <x:v>Мастер-Класс — масло</x:v>
      </x:c>
      <x:c r="F217" s="14" t="str">
        <x:v>Чёрный</x:v>
      </x:c>
      <x:c r="G217" s="14" t="n">
        <x:v>1</x:v>
      </x:c>
      <x:c r="H217" s="14" t="str">
        <x:v>Не проверено</x:v>
      </x:c>
      <x:c r="I217" s="14" t="str">
        <x:v>Не проверено</x:v>
      </x:c>
      <x:c r="J217" s="14" t="str">
        <x:f>IF(OR(H217="Засохла",H217="Пустая",I217="&lt;25%"),"Да","")</x:f>
      </x:c>
      <x:c r="K217" s="14" t="str">
        <x:v>Вручную</x:v>
      </x:c>
      <x:c r="L217" s="14"/>
      <x:c r="M217" s="14" t="str"/>
      <x:c r="N217" s="12" t="str">
        <x:v>Масляная краска, туба 46 мл; для глубокого затемнения и нейтральных загрязнений.</x:v>
      </x:c>
    </x:row>
    <x:row r="218">
      <x:c r="A218" s="14" t="n">
        <x:v>217</x:v>
      </x:c>
      <x:c r="B218" s="124" t="str">
        <x:v>Невская палитра</x:v>
      </x:c>
      <x:c r="C218" s="14" t="str">
        <x:v>1104408</x:v>
      </x:c>
      <x:c r="D218" s="12" t="str">
        <x:v>Умбра жжёная</x:v>
      </x:c>
      <x:c r="E218" s="14" t="str">
        <x:v>Мастер-Класс — масло</x:v>
      </x:c>
      <x:c r="F218" s="14" t="str">
        <x:v>Коричневый</x:v>
      </x:c>
      <x:c r="G218" s="14" t="n">
        <x:v>1</x:v>
      </x:c>
      <x:c r="H218" s="14" t="str">
        <x:v>Не проверено</x:v>
      </x:c>
      <x:c r="I218" s="14" t="str">
        <x:v>Не проверено</x:v>
      </x:c>
      <x:c r="J218" s="14" t="str">
        <x:f>IF(OR(H218="Засохла",H218="Пустая",I218="&lt;25%"),"Да","")</x:f>
      </x:c>
      <x:c r="K218" s="14" t="str">
        <x:v>Вручную</x:v>
      </x:c>
      <x:c r="L218" s="14"/>
      <x:c r="M218" s="14" t="str"/>
      <x:c r="N218" s="12" t="str">
        <x:v>Масляная краска, туба 46 мл; универсальна для тёплых теней, грязи и weathering.</x:v>
      </x:c>
    </x:row>
  </x:sheetData>
  <x:conditionalFormatting sqref="H2:H185">
    <x:cfRule type="expression" dxfId="0" priority="1">
      <x:formula>OR(H2="Засохла",H2="Пустая")</x:formula>
    </x:cfRule>
    <x:cfRule type="expression" dxfId="1" priority="2">
      <x:formula>H2="Загустела"</x:formula>
    </x:cfRule>
  </x:conditionalFormatting>
  <x:conditionalFormatting sqref="I2:I185">
    <x:cfRule type="expression" dxfId="2" priority="3">
      <x:formula>I2="&lt;25%"</x:formula>
    </x:cfRule>
  </x:conditionalFormatting>
  <x:conditionalFormatting sqref="J2:J185">
    <x:cfRule type="expression" dxfId="3" priority="4">
      <x:formula>J2="Да"</x:formula>
    </x:cfRule>
  </x:conditionalFormatting>
  <x:conditionalFormatting sqref="M2:M185">
    <x:cfRule type="expression" dxfId="4" priority="5">
      <x:formula>M2&lt;&gt;""</x:formula>
    </x:cfRule>
  </x:conditionalFormatting>
  <x:conditionalFormatting sqref="H2:H215">
    <x:cfRule type="expression" dxfId="5" priority="6">
      <x:formula>OR(H2="Засохла",H2="Пустая")</x:formula>
    </x:cfRule>
    <x:cfRule type="expression" dxfId="6" priority="7">
      <x:formula>H2="Загустела"</x:formula>
    </x:cfRule>
  </x:conditionalFormatting>
  <x:conditionalFormatting sqref="I2:I215">
    <x:cfRule type="expression" dxfId="7" priority="8">
      <x:formula>I2="&lt;25%"</x:formula>
    </x:cfRule>
  </x:conditionalFormatting>
  <x:conditionalFormatting sqref="J2:J215">
    <x:cfRule type="expression" dxfId="8" priority="9">
      <x:formula>J2="Да"</x:formula>
    </x:cfRule>
  </x:conditionalFormatting>
  <x:conditionalFormatting sqref="M2:M215">
    <x:cfRule type="expression" dxfId="9" priority="10">
      <x:formula>M2&lt;&gt;""</x:formula>
    </x:cfRule>
  </x:conditionalFormatting>
  <x:conditionalFormatting sqref="H2:H218">
    <x:cfRule type="expression" dxfId="10" priority="11">
      <x:formula>OR(H2="Засохла",H2="Пустая")</x:formula>
    </x:cfRule>
    <x:cfRule type="expression" dxfId="11" priority="12">
      <x:formula>H2="Загустела"</x:formula>
    </x:cfRule>
  </x:conditionalFormatting>
  <x:conditionalFormatting sqref="I2:I218">
    <x:cfRule type="expression" dxfId="12" priority="13">
      <x:formula>I2="&lt;25%"</x:formula>
    </x:cfRule>
  </x:conditionalFormatting>
  <x:conditionalFormatting sqref="J2:J218">
    <x:cfRule type="expression" dxfId="13" priority="14">
      <x:formula>J2="Да"</x:formula>
    </x:cfRule>
  </x:conditionalFormatting>
  <x:conditionalFormatting sqref="M2:M218">
    <x:cfRule type="expression" dxfId="14" priority="15">
      <x:formula>M2&lt;&gt;""</x:formula>
    </x:cfRule>
  </x:conditionalFormatting>
  <x:dataValidations count="6">
    <x:dataValidation type="list" sqref="H2:H185">
      <x:formula1>"Не проверено,Нормальная,Загустела,Засохла,Пустая"</x:formula1>
    </x:dataValidation>
    <x:dataValidation type="list" sqref="I2:I185">
      <x:formula1>"Не проверено,Полная,&gt;75%,50–75%,25–50%,&lt;25%"</x:formula1>
    </x:dataValidation>
    <x:dataValidation type="list" sqref="H186:H215">
      <x:formula1>"Не проверено,Нормальная,Загустела,Засохла,Пустая"</x:formula1>
    </x:dataValidation>
    <x:dataValidation type="list" sqref="I186:I215">
      <x:formula1>"Не проверено,Полная,&gt;75%,50–75%,25–50%,&lt;25%"</x:formula1>
    </x:dataValidation>
    <x:dataValidation type="list" sqref="H216:H218">
      <x:formula1>"Не проверено,Нормальная,Загустела,Засохла,Пустая"</x:formula1>
    </x:dataValidation>
    <x:dataValidation type="list" sqref="I216:I218">
      <x:formula1>"Не проверено,Полная,&gt;75%,50–75%,25–50%,&lt;25%"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e22c7d2a704f6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7" hidden="0" customWidth="1"/>
    <x:col min="4" max="4" width="22" hidden="0" customWidth="1"/>
    <x:col min="5" max="5" width="14" hidden="0" customWidth="1"/>
  </x:cols>
  <x:sheetData>
    <x:row r="1" ht="36" customHeight="1">
      <x:c r="A1" s="125" t="str">
        <x:v>Ревизия коллекции красок</x:v>
      </x:c>
      <x:c r="B1" s="125"/>
      <x:c r="C1" s="125"/>
      <x:c r="D1" s="125"/>
      <x:c r="E1" s="125"/>
      <x:c r="F1" s="125"/>
    </x:row>
    <x:row r="3">
      <x:c r="A3" s="126" t="str">
        <x:v>Показатель</x:v>
      </x:c>
      <x:c r="B3" s="126" t="str">
        <x:v>Значение</x:v>
      </x:c>
      <x:c r="D3" s="126" t="str">
        <x:v>Бренд</x:v>
      </x:c>
      <x:c r="E3" s="126" t="str">
        <x:v>Количество</x:v>
      </x:c>
    </x:row>
    <x:row r="4">
      <x:c r="A4" s="129" t="str">
        <x:v>Всего банок и материалов</x:v>
      </x:c>
      <x:c r="B4" s="130" t="n">
        <x:v>217</x:v>
      </x:c>
      <x:c r="D4" s="127" t="str">
        <x:v>Citadel</x:v>
      </x:c>
      <x:c r="E4" s="128" t="n">
        <x:v>146</x:v>
      </x:c>
    </x:row>
    <x:row r="5">
      <x:c r="A5" s="129" t="str">
        <x:v>Уникальных продуктов</x:v>
      </x:c>
      <x:c r="B5" s="130" t="n">
        <x:v>212</x:v>
      </x:c>
      <x:c r="D5" s="127" t="str">
        <x:v>Vallejo</x:v>
      </x:c>
      <x:c r="E5" s="128" t="n">
        <x:v>40</x:v>
      </x:c>
    </x:row>
    <x:row r="6">
      <x:c r="A6" s="129" t="str">
        <x:v>Брендов</x:v>
      </x:c>
      <x:c r="B6" s="130" t="n">
        <x:v>5</x:v>
      </x:c>
      <x:c r="D6" s="127" t="str">
        <x:v>AK</x:v>
      </x:c>
      <x:c r="E6" s="128" t="n">
        <x:v>27</x:v>
      </x:c>
    </x:row>
    <x:row r="7">
      <x:c r="A7" s="129" t="str">
        <x:v>Фотографий обработано</x:v>
      </x:c>
      <x:c r="B7" s="130" t="n">
        <x:v>32</x:v>
      </x:c>
      <x:c r="D7" s="127" t="str">
        <x:v>Невская палитра</x:v>
      </x:c>
      <x:c r="E7" s="128" t="n">
        <x:v>3</x:v>
      </x:c>
    </x:row>
    <x:row r="8">
      <x:c r="A8" s="129" t="str">
        <x:v>Названий/артикулов с повторами</x:v>
      </x:c>
      <x:c r="B8" s="130" t="n">
        <x:v>5</x:v>
      </x:c>
      <x:c r="D8" s="127" t="str">
        <x:v>Army Painter</x:v>
      </x:c>
      <x:c r="E8" s="128" t="n">
        <x:v>1</x:v>
      </x:c>
    </x:row>
    <x:row r="9">
      <x:c r="A9" s="129" t="str">
        <x:v>Повторных банок сверх одной</x:v>
      </x:c>
      <x:c r="B9" s="130" t="n">
        <x:v>5</x:v>
      </x:c>
    </x:row>
    <x:row r="10">
      <x:c r="A10" s="129" t="str">
        <x:v>Новых позиций в обновлении</x:v>
      </x:c>
      <x:c r="B10" s="130" t="n">
        <x:v>3</x:v>
      </x:c>
    </x:row>
    <x:row r="11">
      <x:c r="A11" s="129" t="str">
        <x:v>Источник обновления</x:v>
      </x:c>
      <x:c r="B11" s="129" t="str">
        <x:v>Масляные краски «Мастер-Класс», ручная запись</x:v>
      </x:c>
    </x:row>
    <x:row r="14">
      <x:c r="A14" s="62" t="str">
        <x:v>Линейка</x:v>
      </x:c>
      <x:c r="B14" s="62" t="str">
        <x:v>Количество</x:v>
      </x:c>
    </x:row>
    <x:row r="15">
      <x:c r="A15" s="65" t="str">
        <x:v>Layer</x:v>
      </x:c>
      <x:c r="B15" s="66" t="n">
        <x:v>42</x:v>
      </x:c>
    </x:row>
    <x:row r="16">
      <x:c r="A16" s="65" t="str">
        <x:v>Contrast</x:v>
      </x:c>
      <x:c r="B16" s="66" t="n">
        <x:v>35</x:v>
      </x:c>
    </x:row>
    <x:row r="17">
      <x:c r="A17" s="65" t="str">
        <x:v>Base</x:v>
      </x:c>
      <x:c r="B17" s="66" t="n">
        <x:v>25</x:v>
      </x:c>
    </x:row>
    <x:row r="18">
      <x:c r="A18" s="65" t="str">
        <x:v>Shade</x:v>
      </x:c>
      <x:c r="B18" s="66" t="n">
        <x:v>17</x:v>
      </x:c>
    </x:row>
    <x:row r="19">
      <x:c r="A19" s="65" t="str">
        <x:v>3rd Gen Acrylic — Standard</x:v>
      </x:c>
      <x:c r="B19" s="66" t="n">
        <x:v>16</x:v>
      </x:c>
    </x:row>
    <x:row r="20">
      <x:c r="A20" s="65" t="str">
        <x:v>Technical</x:v>
      </x:c>
      <x:c r="B20" s="66" t="n">
        <x:v>12</x:v>
      </x:c>
    </x:row>
    <x:row r="21">
      <x:c r="A21" s="65" t="str">
        <x:v>Dry</x:v>
      </x:c>
      <x:c r="B21" s="66" t="n">
        <x:v>5</x:v>
      </x:c>
    </x:row>
    <x:row r="22">
      <x:c r="A22" s="65" t="str">
        <x:v>Game Ink</x:v>
      </x:c>
      <x:c r="B22" s="66" t="n">
        <x:v>5</x:v>
      </x:c>
    </x:row>
    <x:row r="23">
      <x:c r="A23" s="65" t="str">
        <x:v>Model Air — Metallic</x:v>
      </x:c>
      <x:c r="B23" s="66" t="n">
        <x:v>4</x:v>
      </x:c>
    </x:row>
    <x:row r="24">
      <x:c r="A24" s="65" t="str">
        <x:v>Game Air</x:v>
      </x:c>
      <x:c r="B24" s="66" t="n">
        <x:v>3</x:v>
      </x:c>
    </x:row>
    <x:row r="25">
      <x:c r="A25" s="65" t="str">
        <x:v>Mecha Color</x:v>
      </x:c>
      <x:c r="B25" s="66" t="n">
        <x:v>3</x:v>
      </x:c>
    </x:row>
    <x:row r="26">
      <x:c r="A26" s="65" t="str">
        <x:v>Model Color — Fluorescent</x:v>
      </x:c>
      <x:c r="B26" s="66" t="n">
        <x:v>3</x:v>
      </x:c>
    </x:row>
    <x:row r="27">
      <x:c r="A27" s="65" t="str">
        <x:v>Shade (Gloss)</x:v>
      </x:c>
      <x:c r="B27" s="66" t="n">
        <x:v>3</x:v>
      </x:c>
    </x:row>
    <x:row r="28">
      <x:c r="A28" s="65" t="str">
        <x:v>3rd Gen Acrylic — Effect</x:v>
      </x:c>
      <x:c r="B28" s="66" t="n">
        <x:v>2</x:v>
      </x:c>
    </x:row>
    <x:row r="29">
      <x:c r="A29" s="65" t="str">
        <x:v>3rd Gen Acrylic — Intense</x:v>
      </x:c>
      <x:c r="B29" s="66" t="n">
        <x:v>2</x:v>
      </x:c>
    </x:row>
    <x:row r="30">
      <x:c r="A30" s="65" t="str">
        <x:v>3rd Gen Acrylic — Primer</x:v>
      </x:c>
      <x:c r="B30" s="66" t="n">
        <x:v>2</x:v>
      </x:c>
    </x:row>
    <x:row r="31">
      <x:c r="A31" s="65" t="str">
        <x:v>Air</x:v>
      </x:c>
      <x:c r="B31" s="66" t="n">
        <x:v>2</x:v>
      </x:c>
    </x:row>
    <x:row r="32">
      <x:c r="A32" s="65" t="str">
        <x:v>Auxiliary / Medium</x:v>
      </x:c>
      <x:c r="B32" s="66" t="n">
        <x:v>2</x:v>
      </x:c>
    </x:row>
    <x:row r="33">
      <x:c r="A33" s="65" t="str">
        <x:v>Game Extra Opaque</x:v>
      </x:c>
      <x:c r="B33" s="66" t="n">
        <x:v>2</x:v>
      </x:c>
    </x:row>
    <x:row r="34">
      <x:c r="A34" s="65" t="str">
        <x:v>Glaze</x:v>
      </x:c>
      <x:c r="B34" s="66" t="n">
        <x:v>2</x:v>
      </x:c>
    </x:row>
    <x:row r="35">
      <x:c r="A35" s="65" t="str">
        <x:v>Metal Color — Metallic</x:v>
      </x:c>
      <x:c r="B35" s="66" t="n">
        <x:v>2</x:v>
      </x:c>
    </x:row>
    <x:row r="36">
      <x:c r="A36" s="65" t="str">
        <x:v>Model Air</x:v>
      </x:c>
      <x:c r="B36" s="66" t="n">
        <x:v>2</x:v>
      </x:c>
    </x:row>
    <x:row r="37">
      <x:c r="A37" s="65" t="str">
        <x:v>Model Color — Metallic</x:v>
      </x:c>
      <x:c r="B37" s="66" t="n">
        <x:v>2</x:v>
      </x:c>
    </x:row>
    <x:row r="38">
      <x:c r="A38" s="65" t="str">
        <x:v>Terrains / Diorama</x:v>
      </x:c>
      <x:c r="B38" s="66" t="n">
        <x:v>2</x:v>
      </x:c>
    </x:row>
    <x:row r="39">
      <x:c r="A39" s="65" t="str">
        <x:v>Texture</x:v>
      </x:c>
      <x:c r="B39" s="66" t="n">
        <x:v>2</x:v>
      </x:c>
    </x:row>
    <x:row r="40">
      <x:c r="A40" s="65" t="str">
        <x:v>Xpress Color</x:v>
      </x:c>
      <x:c r="B40" s="66" t="n">
        <x:v>2</x:v>
      </x:c>
    </x:row>
    <x:row r="41">
      <x:c r="A41" s="65" t="str">
        <x:v>3rd Gen Acrylic — Varnish</x:v>
      </x:c>
      <x:c r="B41" s="66" t="n">
        <x:v>1</x:v>
      </x:c>
    </x:row>
    <x:row r="42">
      <x:c r="A42" s="65" t="str">
        <x:v>Auxiliary / Varnish</x:v>
      </x:c>
      <x:c r="B42" s="66" t="n">
        <x:v>1</x:v>
      </x:c>
    </x:row>
    <x:row r="43">
      <x:c r="A43" s="65" t="str">
        <x:v>Edge</x:v>
      </x:c>
      <x:c r="B43" s="66" t="n">
        <x:v>1</x:v>
      </x:c>
    </x:row>
    <x:row r="44">
      <x:c r="A44" s="65" t="str">
        <x:v>Figure Series</x:v>
      </x:c>
      <x:c r="B44" s="66" t="n">
        <x:v>1</x:v>
      </x:c>
    </x:row>
    <x:row r="45">
      <x:c r="A45" s="65" t="str">
        <x:v>Game Color</x:v>
      </x:c>
      <x:c r="B45" s="66" t="n">
        <x:v>1</x:v>
      </x:c>
    </x:row>
    <x:row r="46">
      <x:c r="A46" s="65" t="str">
        <x:v>Mecha Color — Fluorescent</x:v>
      </x:c>
      <x:c r="B46" s="66" t="n">
        <x:v>1</x:v>
      </x:c>
    </x:row>
    <x:row r="47">
      <x:c r="A47" s="65" t="str">
        <x:v>Mecha Color — Metallic</x:v>
      </x:c>
      <x:c r="B47" s="66" t="n">
        <x:v>1</x:v>
      </x:c>
    </x:row>
    <x:row r="48">
      <x:c r="A48" s="65" t="str">
        <x:v>Mecha Primer</x:v>
      </x:c>
      <x:c r="B48" s="66" t="n">
        <x:v>1</x:v>
      </x:c>
    </x:row>
    <x:row r="49">
      <x:c r="A49" s="65" t="str">
        <x:v>Mecha Varnish</x:v>
      </x:c>
      <x:c r="B49" s="66" t="n">
        <x:v>1</x:v>
      </x:c>
    </x:row>
    <x:row r="50">
      <x:c r="A50" s="65" t="str">
        <x:v>Metal Color — Varnish</x:v>
      </x:c>
      <x:c r="B50" s="66" t="n">
        <x:v>1</x:v>
      </x:c>
    </x:row>
    <x:row r="51">
      <x:c r="A51" s="65" t="str">
        <x:v>Model Color</x:v>
      </x:c>
      <x:c r="B51" s="66" t="n">
        <x:v>1</x:v>
      </x:c>
    </x:row>
    <x:row r="52">
      <x:c r="A52" s="65" t="str">
        <x:v>Model Wash</x:v>
      </x:c>
      <x:c r="B52" s="66" t="n">
        <x:v>1</x:v>
      </x:c>
    </x:row>
    <x:row r="53">
      <x:c r="A53" s="65" t="str">
        <x:v>The Inks</x:v>
      </x:c>
      <x:c r="B53" s="66" t="n">
        <x:v>1</x:v>
      </x:c>
    </x:row>
    <x:row r="54">
      <x:c r="A54" s="65" t="str">
        <x:v>Warpaints</x:v>
      </x:c>
      <x:c r="B54" s="66" t="n">
        <x:v>1</x:v>
      </x:c>
    </x:row>
    <x:row r="55">
      <x:c r="A55" s="65" t="str">
        <x:v>Xpress Color — Medium</x:v>
      </x:c>
      <x:c r="B55" s="66" t="n">
        <x:v>1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80a6c33e39754626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" hidden="0" customWidth="1"/>
    <x:col min="3" max="3" width="13" hidden="0" customWidth="1"/>
    <x:col min="4" max="4" width="52" hidden="0" customWidth="1"/>
  </x:cols>
  <x:sheetData>
    <x:row r="1" ht="32" customHeight="1">
      <x:c r="A1" s="67" t="str">
        <x:v>Повторяющиеся продукты</x:v>
      </x:c>
      <x:c r="B1" s="67"/>
      <x:c r="C1" s="67"/>
      <x:c r="D1" s="67"/>
    </x:row>
    <x:row r="3">
      <x:c r="A3" s="62" t="str">
        <x:v>Бренд</x:v>
      </x:c>
      <x:c r="B3" s="62" t="str">
        <x:v>Название / код</x:v>
      </x:c>
      <x:c r="C3" s="62" t="str">
        <x:v>Количество</x:v>
      </x:c>
      <x:c r="D3" s="62" t="str">
        <x:v>Фото и позиция</x:v>
      </x:c>
    </x:row>
    <x:row r="4">
      <x:c r="A4" s="70" t="str">
        <x:v>Citadel</x:v>
      </x:c>
      <x:c r="B4" s="70" t="str">
        <x:v>Necron Compound</x:v>
      </x:c>
      <x:c r="C4" s="70" t="n">
        <x:v>2</x:v>
      </x:c>
      <x:c r="D4" s="70" t="str">
        <x:v>IMG_6732 №2; IMG_6732 №4</x:v>
      </x:c>
    </x:row>
    <x:row r="5">
      <x:c r="A5" s="70" t="str">
        <x:v>Citadel</x:v>
      </x:c>
      <x:c r="B5" s="70" t="str">
        <x:v>Drakenhof Nightshade</x:v>
      </x:c>
      <x:c r="C5" s="70" t="n">
        <x:v>2</x:v>
      </x:c>
      <x:c r="D5" s="70" t="str">
        <x:v>IMG_6721 №2; IMG_6721 №3</x:v>
      </x:c>
    </x:row>
    <x:row r="6">
      <x:c r="A6" s="70" t="str">
        <x:v>Citadel</x:v>
      </x:c>
      <x:c r="B6" s="70" t="str">
        <x:v>Nuln Oil</x:v>
      </x:c>
      <x:c r="C6" s="70" t="n">
        <x:v>2</x:v>
      </x:c>
      <x:c r="D6" s="70" t="str">
        <x:v>IMG_6719 №3; IMG_6719 №5</x:v>
      </x:c>
    </x:row>
    <x:row r="7">
      <x:c r="A7" s="70" t="str">
        <x:v>Citadel</x:v>
      </x:c>
      <x:c r="B7" s="70" t="str">
        <x:v>Seraphim Sepia</x:v>
      </x:c>
      <x:c r="C7" s="70" t="n">
        <x:v>2</x:v>
      </x:c>
      <x:c r="D7" s="70" t="str">
        <x:v>IMG_6718 №2; IMG_6720 №6</x:v>
      </x:c>
    </x:row>
    <x:row r="8">
      <x:c r="A8" s="70" t="str">
        <x:v>Citadel</x:v>
      </x:c>
      <x:c r="B8" s="70" t="str">
        <x:v>Lahmian Medium</x:v>
      </x:c>
      <x:c r="C8" s="70" t="n">
        <x:v>2</x:v>
      </x:c>
      <x:c r="D8" s="70" t="str">
        <x:v>IMG_6717 №2; IMG_6718 №5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7" hidden="0" customWidth="1"/>
    <x:col min="3" max="3" width="78" hidden="0" customWidth="1"/>
  </x:cols>
  <x:sheetData>
    <x:row r="1" ht="32" customHeight="1">
      <x:c r="A1" s="49" t="str">
        <x:v>Источники и контроль распознавания</x:v>
      </x:c>
      <x:c r="B1" s="49"/>
      <x:c r="C1" s="49"/>
    </x:row>
    <x:row r="3">
      <x:c r="A3" s="31" t="str">
        <x:v>Источник</x:v>
      </x:c>
      <x:c r="B3" s="31" t="str">
        <x:v>Назначение</x:v>
      </x:c>
      <x:c r="C3" s="31" t="str">
        <x:v>URL</x:v>
      </x:c>
    </x:row>
    <x:row r="4">
      <x:c r="A4" s="52" t="str">
        <x:v>Google Drive — IMG_6722</x:v>
      </x:c>
      <x:c r="B4" s="52" t="str">
        <x:v>Фото партии</x:v>
      </x:c>
      <x:c r="C4" s="52" t="str">
        <x:v>https://drive.google.com/file/d/1sD2uU4TYpnBtVXC6N4WOYPGuY8mBlBr1/view</x:v>
      </x:c>
    </x:row>
    <x:row r="5">
      <x:c r="A5" s="52" t="str">
        <x:v>Google Drive — IMG_6723</x:v>
      </x:c>
      <x:c r="B5" s="52" t="str">
        <x:v>Фото партии</x:v>
      </x:c>
      <x:c r="C5" s="52" t="str">
        <x:v>https://drive.google.com/file/d/1cOxpn5vMFGgzACIK0jouDL1qPIWIBdzk/view</x:v>
      </x:c>
    </x:row>
    <x:row r="6">
      <x:c r="A6" s="52" t="str">
        <x:v>Google Drive — IMG_6724</x:v>
      </x:c>
      <x:c r="B6" s="52" t="str">
        <x:v>Фото партии</x:v>
      </x:c>
      <x:c r="C6" s="52" t="str">
        <x:v>https://drive.google.com/file/d/12Z0OmbUKka3uESPaulxHpigwErJjm-zZ/view</x:v>
      </x:c>
    </x:row>
    <x:row r="7">
      <x:c r="A7" s="52" t="str">
        <x:v>Google Drive — IMG_6725</x:v>
      </x:c>
      <x:c r="B7" s="52" t="str">
        <x:v>Фото партии</x:v>
      </x:c>
      <x:c r="C7" s="52" t="str">
        <x:v>https://drive.google.com/file/d/1d3elIEpK3_z1KmO2rh_Tip0hvoD-A-3R/view</x:v>
      </x:c>
    </x:row>
    <x:row r="8">
      <x:c r="A8" s="52" t="str">
        <x:v>Google Drive — IMG_6726</x:v>
      </x:c>
      <x:c r="B8" s="52" t="str">
        <x:v>Фото партии</x:v>
      </x:c>
      <x:c r="C8" s="52" t="str">
        <x:v>https://drive.google.com/file/d/1_7mwWJb7YrsuCjj5jYsIxpTIgbsFdV-A/view</x:v>
      </x:c>
    </x:row>
    <x:row r="9">
      <x:c r="A9" s="52" t="str">
        <x:v>Google Drive — IMG_6727</x:v>
      </x:c>
      <x:c r="B9" s="52" t="str">
        <x:v>Фото партии</x:v>
      </x:c>
      <x:c r="C9" s="52" t="str">
        <x:v>https://drive.google.com/file/d/1ZgRlisPSGpSGXKLFTZxmh1Fsf8ZdokXN/view</x:v>
      </x:c>
    </x:row>
    <x:row r="10">
      <x:c r="A10" s="52" t="str">
        <x:v>Google Drive — IMG_6728</x:v>
      </x:c>
      <x:c r="B10" s="52" t="str">
        <x:v>Фото партии</x:v>
      </x:c>
      <x:c r="C10" s="52" t="str">
        <x:v>https://drive.google.com/file/d/1tbHbwpM9Jc58usH_hDpJKb1nYVVmosI7/view</x:v>
      </x:c>
    </x:row>
    <x:row r="11">
      <x:c r="A11" s="52" t="str">
        <x:v>AK Interactive</x:v>
      </x:c>
      <x:c r="B11" s="52" t="str">
        <x:v>Проверка артикулов и названий AK 3rd Gen</x:v>
      </x:c>
      <x:c r="C11" s="52" t="str">
        <x:v>https://ak-interactive.com/product-category/paints/paints-acrylics/3rd-acrylics/?orderby=sku-asc</x:v>
      </x:c>
    </x:row>
    <x:row r="12">
      <x:c r="A12" s="52" t="str">
        <x:v>Vallejo Catalogue 2026</x:v>
      </x:c>
      <x:c r="B12" s="52" t="str">
        <x:v>Проверка артикулов Vallejo</x:v>
      </x:c>
      <x:c r="C12" s="52" t="str">
        <x:v>https://acrylicosvallejo.com/wp-content/uploads/2025/10/Catalogo_2026-R02.pdf</x:v>
      </x:c>
    </x:row>
    <x:row r="13">
      <x:c r="A13" s="52" t="str">
        <x:v>Vallejo Game Color chart</x:v>
      </x:c>
      <x:c r="B13" s="52" t="str">
        <x:v>Проверка Game Color / Xpress Color</x:v>
      </x:c>
      <x:c r="C13" s="52" t="str">
        <x:v>https://acrylicosvallejo.com/wp-content/uploads/2024/02/CC266-Game_Color-NewIC.pdf</x:v>
      </x:c>
    </x:row>
    <x:row r="14">
      <x:c r="A14" s="72" t="str">
        <x:v>Google Drive — IMG_6729</x:v>
      </x:c>
      <x:c r="B14" s="72" t="str">
        <x:v>Фото партии</x:v>
      </x:c>
      <x:c r="C14" s="72" t="str">
        <x:v>https://drive.google.com/file/d/1_8SswrwtTKioOF676xdetiVzesSVHfdf/view</x:v>
      </x:c>
    </x:row>
    <x:row r="15">
      <x:c r="A15" s="72" t="str">
        <x:v>Google Drive — IMG_6730</x:v>
      </x:c>
      <x:c r="B15" s="72" t="str">
        <x:v>Фото партии</x:v>
      </x:c>
      <x:c r="C15" s="72" t="str">
        <x:v>https://drive.google.com/file/d/1ODsC-C4MuzBXe35HCAVZX6DSadvGSL2P/view</x:v>
      </x:c>
    </x:row>
    <x:row r="16">
      <x:c r="A16" s="72" t="str">
        <x:v>Google Drive — IMG_6731</x:v>
      </x:c>
      <x:c r="B16" s="72" t="str">
        <x:v>Фото партии</x:v>
      </x:c>
      <x:c r="C16" s="72" t="str">
        <x:v>https://drive.google.com/file/d/1eXbMEKH-i-wegSsT89mZy2Vm-RFlXGyY/view</x:v>
      </x:c>
    </x:row>
    <x:row r="17">
      <x:c r="A17" s="72" t="str">
        <x:v>Google Drive — IMG_6732</x:v>
      </x:c>
      <x:c r="B17" s="72" t="str">
        <x:v>Фото партии</x:v>
      </x:c>
      <x:c r="C17" s="72" t="str">
        <x:v>https://drive.google.com/file/d/1qsOV13aQ3-gntvxkoss47Tfk93YGqs2l/view</x:v>
      </x:c>
    </x:row>
    <x:row r="18">
      <x:c r="A18" s="72" t="str">
        <x:v>Google Drive — IMG_6733</x:v>
      </x:c>
      <x:c r="B18" s="72" t="str">
        <x:v>Фото партии</x:v>
      </x:c>
      <x:c r="C18" s="72" t="str">
        <x:v>https://drive.google.com/file/d/1h0-wt8NSxu5xQkvuzZQ4JYBHRKqMZZJ3/view</x:v>
      </x:c>
    </x:row>
    <x:row r="19">
      <x:c r="A19" s="72" t="str">
        <x:v>Google Drive — IMG_6734</x:v>
      </x:c>
      <x:c r="B19" s="72" t="str">
        <x:v>Фото партии</x:v>
      </x:c>
      <x:c r="C19" s="72" t="str">
        <x:v>https://drive.google.com/file/d/1dYPLDrxHGbQM2XDPWDvrmrQPnKGX772S/view</x:v>
      </x:c>
    </x:row>
    <x:row r="20">
      <x:c r="A20" s="72" t="str">
        <x:v>AK Interactive — Blood Effect</x:v>
      </x:c>
      <x:c r="B20" s="72" t="str">
        <x:v>Проверка AK11260</x:v>
      </x:c>
      <x:c r="C20" s="72" t="str">
        <x:v>https://ak-interactive.com/product/blood-effect/</x:v>
      </x:c>
    </x:row>
    <x:row r="21">
      <x:c r="A21" s="72" t="str">
        <x:v>AK Interactive — Viscera Effect</x:v>
      </x:c>
      <x:c r="B21" s="72" t="str">
        <x:v>Проверка AK11261</x:v>
      </x:c>
      <x:c r="C21" s="72" t="str">
        <x:v>https://ak-interactive.com/product/viscera-effect/</x:v>
      </x:c>
    </x:row>
    <x:row r="22">
      <x:c r="A22" s="72" t="str">
        <x:v>AK Interactive — Intense Sienna</x:v>
      </x:c>
      <x:c r="B22" s="72" t="str">
        <x:v>Проверка AK16010</x:v>
      </x:c>
      <x:c r="C22" s="72" t="str">
        <x:v>https://ak-interactive.com/product/intense-sienna-ink/</x:v>
      </x:c>
    </x:row>
    <x:row r="23">
      <x:c r="A23" s="72" t="str">
        <x:v>AK Interactive — Sickly Pink</x:v>
      </x:c>
      <x:c r="B23" s="72" t="str">
        <x:v>Проверка ручной записи AK11060</x:v>
      </x:c>
      <x:c r="C23" s="72" t="str">
        <x:v>https://ak-interactive.com/product/sickly-pink-standard/</x:v>
      </x:c>
    </x:row>
    <x:row r="24">
      <x:c r="A24" s="129" t="str">
        <x:v>Невская палитра — Серая Пейна №812</x:v>
      </x:c>
      <x:c r="B24" s="129" t="str">
        <x:v>Официальные свойства и артикул 1104812</x:v>
      </x:c>
      <x:c r="C24" s="129" t="str">
        <x:v>https://www.nevskayapalitra.ru/katalog/paints/payne-s-grey-master-class-in-the-tube-no-812/</x:v>
      </x:c>
    </x:row>
    <x:row r="25">
      <x:c r="A25" s="129" t="str">
        <x:v>Невская палитра — Сажа газовая №801</x:v>
      </x:c>
      <x:c r="B25" s="129" t="str">
        <x:v>Официальные свойства и артикул 1104801</x:v>
      </x:c>
      <x:c r="C25" s="129" t="str">
        <x:v>https://www.nevskayapalitra.ru/katalog/paints/black-gas-master-class-in-the-tube-no-801/</x:v>
      </x:c>
    </x:row>
    <x:row r="26">
      <x:c r="A26" s="129" t="str">
        <x:v>Невская палитра — Умбра жжёная №408</x:v>
      </x:c>
      <x:c r="B26" s="129" t="str">
        <x:v>Официальные свойства и артикул 1104408</x:v>
      </x:c>
      <x:c r="C26" s="129" t="str">
        <x:v>https://www.nevskayapalitra.ru/katalog/paints/burnt-umber-master-class-in-the-tube-no-408/</x:v>
      </x:c>
    </x:row>
    <x:row r="27">
      <x:c r="A27" s="129" t="str">
        <x:v>For-Art — масло «Мастер-Класс» 46 мл</x:v>
      </x:c>
      <x:c r="B27" s="129" t="str">
        <x:v>Розничные цены для оценки стоимости</x:v>
      </x:c>
      <x:c r="C27" s="129" t="str">
        <x:v>https://www.for-art.ru/catalog/zkh_master-klass_46ml_ot_94_rublej.html</x:v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82" hidden="0" customWidth="1"/>
  </x:cols>
  <x:sheetData>
    <x:row r="1" ht="32" customHeight="1">
      <x:c r="A1" s="49" t="str">
        <x:v>Как проводить физическую ревизию</x:v>
      </x:c>
      <x:c r="B1" s="49"/>
      <x:c r="C1" s="49"/>
      <x:c r="D1" s="49"/>
    </x:row>
    <x:row r="3" ht="15" hidden="0" customHeight="1">
      <x:c r="A3" s="31" t="str">
        <x:v>Шаг</x:v>
      </x:c>
      <x:c r="B3" s="31" t="str">
        <x:v>Действие</x:v>
      </x:c>
    </x:row>
    <x:row r="4" ht="15" hidden="0" customHeight="1">
      <x:c r="A4" s="57" t="n">
        <x:v>1</x:v>
      </x:c>
      <x:c r="B4" s="55" t="str">
        <x:v>Встряхнуть банку и проверить, перемешивается ли краска или материал.</x:v>
      </x:c>
    </x:row>
    <x:row r="5" ht="15" hidden="0" customHeight="1">
      <x:c r="A5" s="57" t="n">
        <x:v>2</x:v>
      </x:c>
      <x:c r="B5" s="55" t="str">
        <x:v>В столбце «Состояние» выбрать: нормальная, загустела, засохла или пустая.</x:v>
      </x:c>
    </x:row>
    <x:row r="6" ht="15" hidden="0" customHeight="1">
      <x:c r="A6" s="57" t="n">
        <x:v>3</x:v>
      </x:c>
      <x:c r="B6" s="55" t="str">
        <x:v>Оценить остаток и выбрать значение в столбце «Остаток».</x:v>
      </x:c>
    </x:row>
    <x:row r="7" ht="15" hidden="0" customHeight="1">
      <x:c r="A7" s="57" t="n">
        <x:v>4</x:v>
      </x:c>
      <x:c r="B7" s="55" t="str">
        <x:v>Столбец «К покупке» автоматически отмечает пустые, засохшие и почти закончившиеся позиции.</x:v>
      </x:c>
    </x:row>
    <x:row r="8" ht="15" hidden="0" customHeight="1">
      <x:c r="A8" s="57" t="n">
        <x:v>5</x:v>
      </x:c>
      <x:c r="B8" s="55" t="str">
        <x:v>Для повторов проверять каждую банку отдельно: состояние и остаток могут различаться.</x:v>
      </x:c>
    </x:row>
    <x:row r="9" ht="15" hidden="0" customHeight="1">
      <x:c r="A9" s="57" t="n">
        <x:v>6</x:v>
      </x:c>
      <x:c r="B9" s="55" t="str">
        <x:v>Лаки, чернила, грунты и медиумы тоже внесены в общий реестр и отмечены своей линейкой.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4" hidden="0" customWidth="1"/>
    <x:col min="3" max="3" width="14" hidden="0" customWidth="1"/>
    <x:col min="4" max="4" width="24" hidden="0" customWidth="1"/>
    <x:col min="5" max="5" width="68" hidden="0" customWidth="1"/>
  </x:cols>
  <x:sheetData>
    <x:row r="1" ht="36" customHeight="1">
      <x:c r="A1" s="81" t="str">
        <x:v>Анализ полной коллекции красок</x:v>
      </x:c>
      <x:c r="B1" s="81"/>
      <x:c r="C1" s="81"/>
      <x:c r="D1" s="81"/>
      <x:c r="E1" s="81"/>
      <x:c r="F1" s="81"/>
      <x:c r="G1" s="81"/>
      <x:c r="H1" s="81"/>
    </x:row>
    <x:row r="3">
      <x:c r="A3" s="83" t="str">
        <x:v>Показатель</x:v>
      </x:c>
      <x:c r="B3" s="83" t="str">
        <x:v>Значение</x:v>
      </x:c>
    </x:row>
    <x:row r="4">
      <x:c r="A4" s="85" t="str">
        <x:v>Всего банок и материалов</x:v>
      </x:c>
      <x:c r="B4" s="86" t="n">
        <x:v>217</x:v>
      </x:c>
    </x:row>
    <x:row r="5">
      <x:c r="A5" s="85" t="str">
        <x:v>Citadel</x:v>
      </x:c>
      <x:c r="B5" s="86" t="n">
        <x:v>146</x:v>
      </x:c>
    </x:row>
    <x:row r="6">
      <x:c r="A6" s="85" t="str">
        <x:v>AK</x:v>
      </x:c>
      <x:c r="B6" s="86" t="n">
        <x:v>27</x:v>
      </x:c>
    </x:row>
    <x:row r="7">
      <x:c r="A7" s="85" t="str">
        <x:v>Vallejo</x:v>
      </x:c>
      <x:c r="B7" s="86" t="n">
        <x:v>40</x:v>
      </x:c>
    </x:row>
    <x:row r="8">
      <x:c r="A8" s="85" t="str">
        <x:v>Army Painter</x:v>
      </x:c>
      <x:c r="B8" s="86" t="n">
        <x:v>1</x:v>
      </x:c>
    </x:row>
    <x:row r="9">
      <x:c r="A9" s="127" t="str">
        <x:v>Невская палитра</x:v>
      </x:c>
      <x:c r="B9" s="128" t="n">
        <x:v>3</x:v>
      </x:c>
    </x:row>
    <x:row r="11">
      <x:c r="A11" s="83" t="str">
        <x:v>Область</x:v>
      </x:c>
      <x:c r="B11" s="83" t="str">
        <x:v>Всего</x:v>
      </x:c>
      <x:c r="C11" s="83" t="str">
        <x:v>Непрозрачных</x:v>
      </x:c>
      <x:c r="D11" s="83" t="str">
        <x:v>Оценка</x:v>
      </x:c>
      <x:c r="E11" s="83" t="str">
        <x:v>Вывод</x:v>
      </x:c>
    </x:row>
    <x:row r="12">
      <x:c r="A12" s="89" t="str">
        <x:v>Металлики</x:v>
      </x:c>
      <x:c r="B12" s="90" t="n">
        <x:v>24</x:v>
      </x:c>
      <x:c r="C12" s="90" t="n">
        <x:v>24</x:v>
      </x:c>
      <x:c r="D12" s="92" t="str">
        <x:v>Избыточно сильная</x:v>
      </x:c>
      <x:c r="E12" s="89" t="str">
        <x:v>Полная гамма золота, бронзы, меди и стали; докупать не требуется.</x:v>
      </x:c>
    </x:row>
    <x:row r="13">
      <x:c r="A13" s="89" t="str">
        <x:v>Красные</x:v>
      </x:c>
      <x:c r="B13" s="90" t="n">
        <x:v>24</x:v>
      </x:c>
      <x:c r="C13" s="90" t="n">
        <x:v>12</x:v>
      </x:c>
      <x:c r="D13" s="92" t="str">
        <x:v>Очень сильная</x:v>
      </x:c>
      <x:c r="E13" s="89" t="str">
        <x:v>Есть базы, высветления, Contrast, Shade, чернила и эффекты крови.</x:v>
      </x:c>
    </x:row>
    <x:row r="14">
      <x:c r="A14" s="89" t="str">
        <x:v>Коричневые и кожа</x:v>
      </x:c>
      <x:c r="B14" s="90" t="n">
        <x:v>26</x:v>
      </x:c>
      <x:c r="C14" s="90" t="n">
        <x:v>10</x:v>
      </x:c>
      <x:c r="D14" s="92" t="str">
        <x:v>Очень сильная</x:v>
      </x:c>
      <x:c r="E14" s="89" t="str">
        <x:v>Закрыты кожа, дерево, ржавчина, земля и гримдарк-переходы.</x:v>
      </x:c>
    </x:row>
    <x:row r="15">
      <x:c r="A15" s="89" t="str">
        <x:v>Телесные</x:v>
      </x:c>
      <x:c r="B15" s="90" t="n">
        <x:v>18</x:v>
      </x:c>
      <x:c r="C15" s="90" t="n">
        <x:v>12</x:v>
      </x:c>
      <x:c r="D15" s="92" t="str">
        <x:v>Сильная</x:v>
      </x:c>
      <x:c r="E15" s="89" t="str">
        <x:v>Достаточно для обычной, бледной и демонической кожи.</x:v>
      </x:c>
    </x:row>
    <x:row r="16">
      <x:c r="A16" s="89" t="str">
        <x:v>Фиолетовые</x:v>
      </x:c>
      <x:c r="B16" s="90" t="n">
        <x:v>18</x:v>
      </x:c>
      <x:c r="C16" s="90" t="n">
        <x:v>9</x:v>
      </x:c>
      <x:c r="D16" s="92" t="str">
        <x:v>Очень сильная</x:v>
      </x:c>
      <x:c r="E16" s="89" t="str">
        <x:v>Полная лестница от тёмных баз до светлых слоёв и Contrast.</x:v>
      </x:c>
    </x:row>
    <x:row r="17">
      <x:c r="A17" s="89" t="str">
        <x:v>Синие и бирюзовые</x:v>
      </x:c>
      <x:c r="B17" s="90" t="n">
        <x:v>26</x:v>
      </x:c>
      <x:c r="C17" s="90" t="n">
        <x:v>12</x:v>
      </x:c>
      <x:c r="D17" s="94" t="str">
        <x:v>Сильная, но разрозненная</x:v>
      </x:c>
      <x:c r="E17" s="89" t="str">
        <x:v>Цветов много, однако у AK нет удобной тёмная–средняя–светлая цепочки.</x:v>
      </x:c>
    </x:row>
    <x:row r="18">
      <x:c r="A18" s="89" t="str">
        <x:v>Зелёные</x:v>
      </x:c>
      <x:c r="B18" s="90" t="n">
        <x:v>12</x:v>
      </x:c>
      <x:c r="C18" s="90" t="n">
        <x:v>3</x:v>
      </x:c>
      <x:c r="D18" s="96" t="str">
        <x:v>Главный пробел</x:v>
      </x:c>
      <x:c r="E18" s="89" t="str">
        <x:v>Большая часть зелени — Contrast/Ink; непрозрачная гамма узкая и почти вся Citadel.</x:v>
      </x:c>
    </x:row>
    <x:row r="19">
      <x:c r="A19" s="89" t="str">
        <x:v>Жёлтые и оранжевые</x:v>
      </x:c>
      <x:c r="B19" s="90" t="n">
        <x:v>13</x:v>
      </x:c>
      <x:c r="C19" s="90" t="n">
        <x:v>9</x:v>
      </x:c>
      <x:c r="D19" s="94" t="str">
        <x:v>Достаточно, но без запаса</x:v>
      </x:c>
      <x:c r="E19" s="89" t="str">
        <x:v>Есть рабочие цвета, но мало высокопигментных AK для чистых ярких баз.</x:v>
      </x:c>
    </x:row>
    <x:row r="20">
      <x:c r="A20" s="89" t="str">
        <x:v>Белые и светлые нейтрали</x:v>
      </x:c>
      <x:c r="B20" s="90" t="n">
        <x:v>12</x:v>
      </x:c>
      <x:c r="C20" s="90" t="n">
        <x:v>8</x:v>
      </x:c>
      <x:c r="D20" s="96" t="str">
        <x:v>Функционально, но уязвимо</x:v>
      </x:c>
      <x:c r="E20" s="89" t="str">
        <x:v>Только одна настоящая непрозрачная белая краска; это быстро расходуемый цвет.</x:v>
      </x:c>
    </x:row>
    <x:row r="21">
      <x:c r="A21" s="89" t="str">
        <x:v>Серые и чёрные</x:v>
      </x:c>
      <x:c r="B21" s="90" t="n">
        <x:v>26</x:v>
      </x:c>
      <x:c r="C21" s="90" t="n">
        <x:v>13</x:v>
      </x:c>
      <x:c r="D21" s="92" t="str">
        <x:v>Сильная</x:v>
      </x:c>
      <x:c r="E21" s="89" t="str">
        <x:v>Есть холодные и нейтральные серые, чёрные базы, Contrast и Shade.</x:v>
      </x:c>
    </x:row>
    <x:row r="22">
      <x:c r="A22" s="89" t="str">
        <x:v>Wash / Contrast / Ink</x:v>
      </x:c>
      <x:c r="B22" s="90" t="n">
        <x:v>62</x:v>
      </x:c>
      <x:c r="C22" s="90" t="n">
        <x:v>0</x:v>
      </x:c>
      <x:c r="D22" s="92" t="str">
        <x:v>Избыточно сильная</x:v>
      </x:c>
      <x:c r="E22" s="89" t="str">
        <x:v>Для скоростной покраски и фильтров докупка не нужна.</x:v>
      </x:c>
    </x:row>
    <x:row r="23">
      <x:c r="A23" s="89" t="str">
        <x:v>Лаки, грунты, медиумы</x:v>
      </x:c>
      <x:c r="B23" s="90" t="n">
        <x:v>13</x:v>
      </x:c>
      <x:c r="C23" s="90" t="n">
        <x:v>0</x:v>
      </x:c>
      <x:c r="D23" s="92" t="str">
        <x:v>Полная</x:v>
      </x:c>
      <x:c r="E23" s="89" t="str">
        <x:v>Есть матовый, глянцевый, сатиновый и металлический лак, белый/чёрный/слоновая кость грунт и медиумы.</x:v>
      </x:c>
    </x:row>
    <x:row r="24">
      <x:c r="A24" s="89" t="str">
        <x:v>Масляные тени и weathering</x:v>
      </x:c>
      <x:c r="B24" s="90" t="n">
        <x:v>3</x:v>
      </x:c>
      <x:c r="C24" s="90" t="n">
        <x:v>2</x:v>
      </x:c>
      <x:c r="D24" s="133" t="str">
        <x:v>Сильная базовая тройка</x:v>
      </x:c>
      <x:c r="E24" s="89" t="str">
        <x:v>Серая Пейна даёт холодные тени, Сажа газовая — глубокий нейтральный чёрный, Умбра жжёная — универсальную тёплую грязь и тени. Для миниатюр этого достаточно; отдельный большой набор масел сейчас не нужен.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4" hidden="0" customWidth="1"/>
    <x:col min="3" max="3" width="13" hidden="0" customWidth="1"/>
    <x:col min="4" max="4" width="33" hidden="0" customWidth="1"/>
    <x:col min="5" max="5" width="9" hidden="0" customWidth="1"/>
    <x:col min="6" max="6" width="13" hidden="0" customWidth="1"/>
    <x:col min="7" max="7" width="13" hidden="0" customWidth="1"/>
    <x:col min="8" max="8" width="65" hidden="0" customWidth="1"/>
    <x:col min="9" max="9" width="24" hidden="0" customWidth="1"/>
    <x:col min="10" max="10" width="68" hidden="0" customWidth="1"/>
  </x:cols>
  <x:sheetData>
    <x:row r="1" ht="36" customHeight="1">
      <x:c r="A1" s="81" t="str">
        <x:v>Что докупить — приоритет AK Interactive</x:v>
      </x:c>
      <x:c r="B1" s="81"/>
      <x:c r="C1" s="81"/>
      <x:c r="D1" s="81"/>
      <x:c r="E1" s="81"/>
      <x:c r="F1" s="81"/>
      <x:c r="G1" s="81"/>
      <x:c r="H1" s="81"/>
      <x:c r="I1" s="81"/>
      <x:c r="J1" s="81"/>
    </x:row>
    <x:row r="3">
      <x:c r="A3" s="83" t="str">
        <x:v>№</x:v>
      </x:c>
      <x:c r="B3" s="83" t="str">
        <x:v>Приоритет</x:v>
      </x:c>
      <x:c r="C3" s="83" t="str">
        <x:v>Код</x:v>
      </x:c>
      <x:c r="D3" s="83" t="str">
        <x:v>Товар</x:v>
      </x:c>
      <x:c r="E3" s="83" t="str">
        <x:v>Кол-во</x:v>
      </x:c>
      <x:c r="F3" s="83" t="str">
        <x:v>Цена, ₽</x:v>
      </x:c>
      <x:c r="G3" s="83" t="str">
        <x:v>Сумма, ₽</x:v>
      </x:c>
      <x:c r="H3" s="83" t="str">
        <x:v>Зачем</x:v>
      </x:c>
      <x:c r="I3" s="83" t="str">
        <x:v>Решение</x:v>
      </x:c>
      <x:c r="J3" s="83" t="str">
        <x:v>Источник</x:v>
      </x:c>
    </x:row>
    <x:row r="4">
      <x:c r="A4" s="90" t="n">
        <x:v>1</x:v>
      </x:c>
      <x:c r="B4" s="90" t="str">
        <x:v>Обязательно</x:v>
      </x:c>
      <x:c r="C4" s="90" t="str">
        <x:v>AK11612</x:v>
      </x:c>
      <x:c r="D4" s="90" t="str">
        <x:v>Intense Colors — набор 6 цветов</x:v>
      </x:c>
      <x:c r="E4" s="90" t="n">
        <x:v>1</x:v>
      </x:c>
      <x:c r="F4" s="97" t="n">
        <x:v>1990</x:v>
      </x:c>
      <x:c r="G4" s="97" t="n">
        <x:v>1990</x:v>
      </x:c>
      <x:c r="H4" s="89" t="str">
        <x:v>Закрывает Deep Yellow, Orange, Red, Purple, Green и Blue; лучший способ добавить насыщенные непрозрачные основы.</x:v>
      </x:c>
      <x:c r="I4" s="89" t="str">
        <x:v>Купить</x:v>
      </x:c>
      <x:c r="J4" s="89" t="str">
        <x:v>https://hobbygames.ru/nabor-krasok-ak-interactive-intense-colors</x:v>
      </x:c>
    </x:row>
    <x:row r="5">
      <x:c r="A5" s="90" t="n">
        <x:v>2</x:v>
      </x:c>
      <x:c r="B5" s="90" t="str">
        <x:v>Обязательно</x:v>
      </x:c>
      <x:c r="C5" s="90" t="str">
        <x:v>AK11001</x:v>
      </x:c>
      <x:c r="D5" s="90" t="str">
        <x:v>Intense White</x:v>
      </x:c>
      <x:c r="E5" s="90" t="n">
        <x:v>1</x:v>
      </x:c>
      <x:c r="F5" s="97" t="n">
        <x:v>390</x:v>
      </x:c>
      <x:c r="G5" s="97" t="n">
        <x:v>390</x:v>
      </x:c>
      <x:c r="H5" s="89" t="str">
        <x:v>Единственный настоящий белый в коллекции сейчас один; белый нужен постоянно для смешивания и финальных бликов.</x:v>
      </x:c>
      <x:c r="I5" s="89" t="str">
        <x:v>Купить</x:v>
      </x:c>
      <x:c r="J5" s="89" t="str">
        <x:v>https://hobbygames.ru/kraska-ak-interactive-intense-white-17-ml</x:v>
      </x:c>
    </x:row>
    <x:row r="6">
      <x:c r="A6" s="90" t="n">
        <x:v>3</x:v>
      </x:c>
      <x:c r="B6" s="90" t="str">
        <x:v>Высокий</x:v>
      </x:c>
      <x:c r="C6" s="90" t="str">
        <x:v>AK11147</x:v>
      </x:c>
      <x:c r="D6" s="90" t="str">
        <x:v>Olive Green</x:v>
      </x:c>
      <x:c r="E6" s="90" t="n">
        <x:v>1</x:v>
      </x:c>
      <x:c r="F6" s="97" t="n">
        <x:v>390</x:v>
      </x:c>
      <x:c r="G6" s="97" t="n">
        <x:v>390</x:v>
      </x:c>
      <x:c r="H6" s="89" t="str">
        <x:v>Универсальная зелень для ткани, техники, Death Guard, орков и террейна.</x:v>
      </x:c>
      <x:c r="I6" s="89" t="str">
        <x:v>Купить</x:v>
      </x:c>
      <x:c r="J6" s="89" t="str">
        <x:v>https://hobbygames.ru/kraska-ak-interactive-standard-olive-green-17-ml</x:v>
      </x:c>
    </x:row>
    <x:row r="7">
      <x:c r="A7" s="90" t="n">
        <x:v>4</x:v>
      </x:c>
      <x:c r="B7" s="90" t="str">
        <x:v>Высокий</x:v>
      </x:c>
      <x:c r="C7" s="90" t="str">
        <x:v>AK11173</x:v>
      </x:c>
      <x:c r="D7" s="90" t="str">
        <x:v>Ocean Blue</x:v>
      </x:c>
      <x:c r="E7" s="90" t="n">
        <x:v>1</x:v>
      </x:c>
      <x:c r="F7" s="97" t="n">
        <x:v>390</x:v>
      </x:c>
      <x:c r="G7" s="97" t="n">
        <x:v>390</x:v>
      </x:c>
      <x:c r="H7" s="89" t="str">
        <x:v>Средний синий между имеющимся Dark Prussian Blue и светлыми высветлениями.</x:v>
      </x:c>
      <x:c r="I7" s="89" t="str">
        <x:v>Купить</x:v>
      </x:c>
      <x:c r="J7" s="89" t="str">
        <x:v>https://hobbygames.ru/kraska-ak-interactive-standard-ocean-blue-17-ml</x:v>
      </x:c>
    </x:row>
    <x:row r="8">
      <x:c r="A8" s="90" t="n">
        <x:v>5</x:v>
      </x:c>
      <x:c r="B8" s="90" t="str">
        <x:v>Высокий</x:v>
      </x:c>
      <x:c r="C8" s="90" t="str">
        <x:v>AK11161</x:v>
      </x:c>
      <x:c r="D8" s="90" t="str">
        <x:v>Pale Blue</x:v>
      </x:c>
      <x:c r="E8" s="90" t="n">
        <x:v>1</x:v>
      </x:c>
      <x:c r="F8" s="97" t="n">
        <x:v>390</x:v>
      </x:c>
      <x:c r="G8" s="97" t="n">
        <x:v>390</x:v>
      </x:c>
      <x:c r="H8" s="89" t="str">
        <x:v>Светлый AK-синий для бликов, плазмы, магии и холодного смешивания.</x:v>
      </x:c>
      <x:c r="I8" s="89" t="str">
        <x:v>Купить</x:v>
      </x:c>
      <x:c r="J8" s="89" t="str">
        <x:v>https://hobbygames.ru/kraska-ak-interactive-standard-pale-blue-17-ml</x:v>
      </x:c>
    </x:row>
    <x:row r="9">
      <x:c r="A9" s="90" t="n">
        <x:v>6</x:v>
      </x:c>
      <x:c r="B9" s="90" t="str">
        <x:v>Высокий</x:v>
      </x:c>
      <x:c r="C9" s="90" t="str">
        <x:v>AK11006</x:v>
      </x:c>
      <x:c r="D9" s="90" t="str">
        <x:v>Silver Grey</x:v>
      </x:c>
      <x:c r="E9" s="90" t="n">
        <x:v>1</x:v>
      </x:c>
      <x:c r="F9" s="97" t="n">
        <x:v>390</x:v>
      </x:c>
      <x:c r="G9" s="97" t="n">
        <x:v>390</x:v>
      </x:c>
      <x:c r="H9" s="89" t="str">
        <x:v>Светлая нейтраль для высветления без резкого ухода в чистый белый.</x:v>
      </x:c>
      <x:c r="I9" s="89" t="str">
        <x:v>Купить</x:v>
      </x:c>
      <x:c r="J9" s="89" t="str">
        <x:v>https://hobbygames.ru/kraska-ak-interactive-standard-silver-grey-17-ml</x:v>
      </x:c>
    </x:row>
    <x:row r="10">
      <x:c r="A10" s="90" t="n">
        <x:v>7</x:v>
      </x:c>
      <x:c r="B10" s="90" t="str">
        <x:v>Средний</x:v>
      </x:c>
      <x:c r="C10" s="90" t="str">
        <x:v>AK11009</x:v>
      </x:c>
      <x:c r="D10" s="90" t="str">
        <x:v>Warm Grey</x:v>
      </x:c>
      <x:c r="E10" s="90" t="n">
        <x:v>1</x:v>
      </x:c>
      <x:c r="F10" s="97" t="n">
        <x:v>390</x:v>
      </x:c>
      <x:c r="G10" s="97" t="n">
        <x:v>390</x:v>
      </x:c>
      <x:c r="H10" s="89" t="str">
        <x:v>Тёплая нейтраль для ткани, кожи, кости, камня и приглушения цветов.</x:v>
      </x:c>
      <x:c r="I10" s="89" t="str">
        <x:v>Позже</x:v>
      </x:c>
      <x:c r="J10" s="89" t="str">
        <x:v>https://hobbygames.ru/kraska-ak-interactive-standard-warm-grey-17-ml</x:v>
      </x:c>
    </x:row>
    <x:row r="11">
      <x:c r="A11" s="90" t="n">
        <x:v>8</x:v>
      </x:c>
      <x:c r="B11" s="90" t="str">
        <x:v>Средний</x:v>
      </x:c>
      <x:c r="C11" s="90" t="str">
        <x:v>AK11004</x:v>
      </x:c>
      <x:c r="D11" s="90" t="str">
        <x:v>Ivory</x:v>
      </x:c>
      <x:c r="E11" s="90" t="n">
        <x:v>1</x:v>
      </x:c>
      <x:c r="F11" s="97" t="n">
        <x:v>390</x:v>
      </x:c>
      <x:c r="G11" s="97" t="n">
        <x:v>390</x:v>
      </x:c>
      <x:c r="H11" s="89" t="str">
        <x:v>Удобный AK-off-white; не обязателен из-за сильной костяной гаммы Citadel, но полезен как рабочий светлый тон.</x:v>
      </x:c>
      <x:c r="I11" s="89" t="str">
        <x:v>Позже</x:v>
      </x:c>
      <x:c r="J11" s="89" t="str">
        <x:v>https://hobbygames.ru/kraska-ak-interactive-standard-ivory-17-ml</x:v>
      </x:c>
    </x:row>
    <x:row r="12">
      <x:c r="A12" s="90" t="n">
        <x:v>9</x:v>
      </x:c>
      <x:c r="B12" s="90" t="str">
        <x:v>Опционально</x:v>
      </x:c>
      <x:c r="C12" s="90" t="str">
        <x:v>AK11607</x:v>
      </x:c>
      <x:c r="D12" s="90" t="str">
        <x:v>Pastels Colors — набор 6 цветов</x:v>
      </x:c>
      <x:c r="E12" s="90" t="n">
        <x:v>1</x:v>
      </x:c>
      <x:c r="F12" s="97" t="n">
        <x:v>1990</x:v>
      </x:c>
      <x:c r="G12" s="97" t="n">
        <x:v>1990</x:v>
      </x:c>
      <x:c r="H12" s="89" t="str">
        <x:v>Быстрые цветные высветления. Полезно, но текущие Citadel Layer уже частично закрывают задачу.</x:v>
      </x:c>
      <x:c r="I12" s="89" t="str">
        <x:v>Только при желании перейти на AK</x:v>
      </x:c>
      <x:c r="J12" s="89" t="str">
        <x:v>https://hobbygames.ru/nabor-krasok-ak-interactive-pastels-colors</x:v>
      </x:c>
    </x:row>
    <x:row r="16">
      <x:c r="A16" s="83" t="str">
        <x:v>Корзина</x:v>
      </x:c>
      <x:c r="B16" s="83" t="str">
        <x:v>Состав</x:v>
      </x:c>
      <x:c r="C16" s="83" t="str">
        <x:v>Стоимость</x:v>
      </x:c>
      <x:c r="E16" s="102" t="str">
        <x:v>Что сейчас не покупать</x:v>
      </x:c>
      <x:c r="F16" s="102"/>
      <x:c r="G16" s="102"/>
      <x:c r="H16" s="102"/>
    </x:row>
    <x:row r="17">
      <x:c r="A17" s="85" t="str">
        <x:v>Минимум</x:v>
      </x:c>
      <x:c r="B17" s="85" t="str">
        <x:v>AK11612 + AK11001</x:v>
      </x:c>
      <x:c r="C17" s="99" t="n">
        <x:v>2380</x:v>
      </x:c>
      <x:c r="E17" s="134" t="str">
        <x:v>• Металлические наборы — уже 24 металлика, включая Vallejo Metal Color.
• Красные, коричневые и фиолетовые наборы — гаммы уже перенасыщены.
• Human Flesh Tones / Skin and Leather — телесных и кожаных оттенков достаточно.
• Новые Contrast, Shade и Wash — имеющаяся коллекция закрывает почти все практические задачи.
• Дополнительные лаки и эффекты — матовый, глянцевый, сатиновый лак, кровь, ржавчина и текстуры уже есть.
• Масляные наборы для weathering — не нужны: Серая Пейна, Сажа газовая и Умбра жжёная уже образуют рабочую базовую систему.</x:v>
      </x:c>
      <x:c r="F17" s="134"/>
      <x:c r="G17" s="134"/>
      <x:c r="H17" s="134"/>
    </x:row>
    <x:row r="18">
      <x:c r="A18" s="85" t="str">
        <x:v>Оптимальная</x:v>
      </x:c>
      <x:c r="B18" s="85" t="str">
        <x:v>Все позиции обязательного и высокого приоритета</x:v>
      </x:c>
      <x:c r="C18" s="99" t="n">
        <x:v>3940</x:v>
      </x:c>
      <x:c r="E18" s="134"/>
      <x:c r="F18" s="134"/>
      <x:c r="G18" s="134"/>
      <x:c r="H18" s="134"/>
    </x:row>
    <x:row r="19">
      <x:c r="A19" s="85" t="str">
        <x:v>Расширенная</x:v>
      </x:c>
      <x:c r="B19" s="85" t="str">
        <x:v>+ Warm Grey и Ivory</x:v>
      </x:c>
      <x:c r="C19" s="99" t="n">
        <x:v>4720</x:v>
      </x:c>
      <x:c r="E19" s="134"/>
      <x:c r="F19" s="134"/>
      <x:c r="G19" s="134"/>
      <x:c r="H19" s="134"/>
    </x:row>
    <x:row r="20">
      <x:c r="A20" s="85" t="str">
        <x:v>Полная</x:v>
      </x:c>
      <x:c r="B20" s="85" t="str">
        <x:v>+ Pastels Colors</x:v>
      </x:c>
      <x:c r="C20" s="99" t="n">
        <x:v>6710</x:v>
      </x:c>
      <x:c r="E20" s="134"/>
      <x:c r="F20" s="134"/>
      <x:c r="G20" s="134"/>
      <x:c r="H20" s="134"/>
    </x:row>
    <x:row r="21">
      <x:c r="E21" s="134"/>
      <x:c r="F21" s="134"/>
      <x:c r="G21" s="134"/>
      <x:c r="H21" s="134"/>
    </x:row>
  </x:sheetData>
  <x:mergeCells>
    <x:mergeCell ref="A1:J1"/>
    <x:mergeCell ref="E16:H16"/>
    <x:mergeCell ref="E17:H2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7" hidden="0" customWidth="1"/>
    <x:col min="2" max="2" width="14" hidden="0" customWidth="1"/>
    <x:col min="3" max="3" width="18" hidden="0" customWidth="1"/>
    <x:col min="4" max="4" width="18" hidden="0" customWidth="1"/>
    <x:col min="5" max="5" width="42" hidden="0" customWidth="1"/>
    <x:col min="6" max="6" width="72" hidden="0" customWidth="1"/>
  </x:cols>
  <x:sheetData>
    <x:row r="1" ht="36" customHeight="1">
      <x:c r="A1" s="81" t="str">
        <x:v>Оценка текущей стоимости коллекции</x:v>
      </x:c>
      <x:c r="B1" s="81"/>
      <x:c r="C1" s="81"/>
      <x:c r="D1" s="81"/>
      <x:c r="E1" s="81"/>
      <x:c r="F1" s="81"/>
      <x:c r="G1" s="81"/>
    </x:row>
    <x:row r="3">
      <x:c r="A3" s="83" t="str">
        <x:v>Бренд / категория</x:v>
      </x:c>
      <x:c r="B3" s="83" t="str">
        <x:v>Количество</x:v>
      </x:c>
      <x:c r="C3" s="83" t="str">
        <x:v>Цена замещения, ₽</x:v>
      </x:c>
      <x:c r="D3" s="83" t="str">
        <x:v>Сумма, ₽</x:v>
      </x:c>
      <x:c r="E3" s="83" t="str">
        <x:v>Метод</x:v>
      </x:c>
      <x:c r="F3" s="83" t="str">
        <x:v>Источник</x:v>
      </x:c>
    </x:row>
    <x:row r="4">
      <x:c r="A4" s="89" t="str">
        <x:v>Citadel Contrast</x:v>
      </x:c>
      <x:c r="B4" s="90" t="n">
        <x:v>35</x:v>
      </x:c>
      <x:c r="C4" s="97" t="n">
        <x:v>990</x:v>
      </x:c>
      <x:c r="D4" s="97" t="n">
        <x:f>B4*C4</x:f>
        <x:v>34650</x:v>
      </x:c>
      <x:c r="E4" s="89" t="str">
        <x:v>Текущая цена Hobby Games за 18 мл</x:v>
      </x:c>
      <x:c r="F4" s="89" t="str">
        <x:v>https://hobbygames.ru/citadel-contrast-category</x:v>
      </x:c>
    </x:row>
    <x:row r="5">
      <x:c r="A5" s="89" t="str">
        <x:v>Citadel Shade</x:v>
      </x:c>
      <x:c r="B5" s="90" t="n">
        <x:v>17</x:v>
      </x:c>
      <x:c r="C5" s="97" t="n">
        <x:v>990</x:v>
      </x:c>
      <x:c r="D5" s="97" t="n">
        <x:f>B5*C5</x:f>
        <x:v>16830</x:v>
      </x:c>
      <x:c r="E5" s="89" t="str">
        <x:v>Текущая цена Hobby Games за 18 мл</x:v>
      </x:c>
      <x:c r="F5" s="89" t="str">
        <x:v>https://hobbygames.ru/kraska-shade-nuln-oil-18-ml/voprosy</x:v>
      </x:c>
    </x:row>
    <x:row r="6">
      <x:c r="A6" s="89" t="str">
        <x:v>Citadel Shade Gloss — эквивалент</x:v>
      </x:c>
      <x:c r="B6" s="90" t="n">
        <x:v>3</x:v>
      </x:c>
      <x:c r="C6" s="97" t="n">
        <x:v>990</x:v>
      </x:c>
      <x:c r="D6" s="97" t="n">
        <x:f>B6*C6</x:f>
        <x:v>2970</x:v>
      </x:c>
      <x:c r="E6" s="89" t="str">
        <x:v>Линейка снята; оценено по современной Shade</x:v>
      </x:c>
      <x:c r="F6" s="89" t="str">
        <x:v>https://hobbygames.ru/kraska-shade-druchii-violet-18-ml</x:v>
      </x:c>
    </x:row>
    <x:row r="7">
      <x:c r="A7" s="89" t="str">
        <x:v>Citadel Texture</x:v>
      </x:c>
      <x:c r="B7" s="90" t="n">
        <x:v>2</x:v>
      </x:c>
      <x:c r="C7" s="97" t="n">
        <x:v>990</x:v>
      </x:c>
      <x:c r="D7" s="97" t="n">
        <x:f>B7*C7</x:f>
        <x:v>1980</x:v>
      </x:c>
      <x:c r="E7" s="89" t="str">
        <x:v>Современная Technical/Texture 24 мл</x:v>
      </x:c>
      <x:c r="F7" s="89" t="str">
        <x:v>https://hobbygames.ru/kraski-citadel</x:v>
      </x:c>
    </x:row>
    <x:row r="8">
      <x:c r="A8" s="89" t="str">
        <x:v>Citadel Base — металлики</x:v>
      </x:c>
      <x:c r="B8" s="90" t="n">
        <x:v>6</x:v>
      </x:c>
      <x:c r="C8" s="97" t="n">
        <x:v>790</x:v>
      </x:c>
      <x:c r="D8" s="97" t="n">
        <x:f>B8*C8</x:f>
        <x:v>4740</x:v>
      </x:c>
      <x:c r="E8" s="89" t="str">
        <x:v>Retributor/Runelord-подобные металлики</x:v>
      </x:c>
      <x:c r="F8" s="89" t="str">
        <x:v>https://hobbygames.ru/citadel-base</x:v>
      </x:c>
    </x:row>
    <x:row r="9">
      <x:c r="A9" s="89" t="str">
        <x:v>Citadel Layer — металлики</x:v>
      </x:c>
      <x:c r="B9" s="90" t="n">
        <x:v>6</x:v>
      </x:c>
      <x:c r="C9" s="97" t="n">
        <x:v>790</x:v>
      </x:c>
      <x:c r="D9" s="97" t="n">
        <x:f>B9*C9</x:f>
        <x:v>4740</x:v>
      </x:c>
      <x:c r="E9" s="89" t="str">
        <x:v>Canoptek/Liberator-подобные металлики</x:v>
      </x:c>
      <x:c r="F9" s="89" t="str">
        <x:v>https://hobbygames.ru/citadel-layer</x:v>
      </x:c>
    </x:row>
    <x:row r="10">
      <x:c r="A10" s="89" t="str">
        <x:v>Citadel Base — прочие</x:v>
      </x:c>
      <x:c r="B10" s="90" t="n">
        <x:v>19</x:v>
      </x:c>
      <x:c r="C10" s="97" t="n">
        <x:v>590</x:v>
      </x:c>
      <x:c r="D10" s="97" t="n">
        <x:f>B10*C10</x:f>
        <x:v>11210</x:v>
      </x:c>
      <x:c r="E10" s="89" t="str">
        <x:v>Текущая цена Base 12 мл</x:v>
      </x:c>
      <x:c r="F10" s="89" t="str">
        <x:v>https://hobbygames.ru/citadel-base</x:v>
      </x:c>
    </x:row>
    <x:row r="11">
      <x:c r="A11" s="89" t="str">
        <x:v>Citadel Layer — прочие</x:v>
      </x:c>
      <x:c r="B11" s="90" t="n">
        <x:v>36</x:v>
      </x:c>
      <x:c r="C11" s="97" t="n">
        <x:v>590</x:v>
      </x:c>
      <x:c r="D11" s="97" t="n">
        <x:f>B11*C11</x:f>
        <x:v>21240</x:v>
      </x:c>
      <x:c r="E11" s="89" t="str">
        <x:v>Текущая цена Layer 12 мл</x:v>
      </x:c>
      <x:c r="F11" s="89" t="str">
        <x:v>https://hobbygames.ru/citadel-layer</x:v>
      </x:c>
    </x:row>
    <x:row r="12">
      <x:c r="A12" s="89" t="str">
        <x:v>Citadel Technical</x:v>
      </x:c>
      <x:c r="B12" s="90" t="n">
        <x:v>12</x:v>
      </x:c>
      <x:c r="C12" s="97" t="n">
        <x:v>590</x:v>
      </x:c>
      <x:c r="D12" s="97" t="n">
        <x:f>B12*C12</x:f>
        <x:v>7080</x:v>
      </x:c>
      <x:c r="E12" s="89" t="str">
        <x:v>Консервативная оценка 12 мл</x:v>
      </x:c>
      <x:c r="F12" s="89" t="str">
        <x:v>https://hobbygames.ru/kraski-citadel</x:v>
      </x:c>
    </x:row>
    <x:row r="13">
      <x:c r="A13" s="89" t="str">
        <x:v>Citadel Dry</x:v>
      </x:c>
      <x:c r="B13" s="90" t="n">
        <x:v>5</x:v>
      </x:c>
      <x:c r="C13" s="97" t="n">
        <x:v>590</x:v>
      </x:c>
      <x:c r="D13" s="97" t="n">
        <x:f>B13*C13</x:f>
        <x:v>2950</x:v>
      </x:c>
      <x:c r="E13" s="89" t="str">
        <x:v>Оценено по текущей цене 12 мл</x:v>
      </x:c>
      <x:c r="F13" s="89" t="str">
        <x:v>https://hobbygames.ru/kraski-citadel</x:v>
      </x:c>
    </x:row>
    <x:row r="14">
      <x:c r="A14" s="89" t="str">
        <x:v>Citadel Air</x:v>
      </x:c>
      <x:c r="B14" s="90" t="n">
        <x:v>2</x:v>
      </x:c>
      <x:c r="C14" s="97" t="n">
        <x:v>590</x:v>
      </x:c>
      <x:c r="D14" s="97" t="n">
        <x:f>B14*C14</x:f>
        <x:v>1180</x:v>
      </x:c>
      <x:c r="E14" s="89" t="str">
        <x:v>Оценено по текущей цене 12 мл</x:v>
      </x:c>
      <x:c r="F14" s="89" t="str">
        <x:v>https://hobbygames.ru/kraski-citadel</x:v>
      </x:c>
    </x:row>
    <x:row r="15">
      <x:c r="A15" s="89" t="str">
        <x:v>Citadel Glaze — эквивалент</x:v>
      </x:c>
      <x:c r="B15" s="90" t="n">
        <x:v>2</x:v>
      </x:c>
      <x:c r="C15" s="97" t="n">
        <x:v>590</x:v>
      </x:c>
      <x:c r="D15" s="97" t="n">
        <x:f>B15*C15</x:f>
        <x:v>1180</x:v>
      </x:c>
      <x:c r="E15" s="89" t="str">
        <x:v>Снятая линейка; оценено по обычной 12 мл</x:v>
      </x:c>
      <x:c r="F15" s="89" t="str">
        <x:v>https://hobbygames.ru/kraski-citadel</x:v>
      </x:c>
    </x:row>
    <x:row r="16">
      <x:c r="A16" s="89" t="str">
        <x:v>Citadel Edge — эквивалент</x:v>
      </x:c>
      <x:c r="B16" s="90" t="n">
        <x:v>1</x:v>
      </x:c>
      <x:c r="C16" s="97" t="n">
        <x:v>590</x:v>
      </x:c>
      <x:c r="D16" s="97" t="n">
        <x:f>B16*C16</x:f>
        <x:v>590</x:v>
      </x:c>
      <x:c r="E16" s="89" t="str">
        <x:v>Снятая линейка; оценено по Layer 12 мл</x:v>
      </x:c>
      <x:c r="F16" s="89" t="str">
        <x:v>https://hobbygames.ru/citadel-layer</x:v>
      </x:c>
    </x:row>
    <x:row r="17">
      <x:c r="A17" s="89" t="str">
        <x:v>AK 17 мл: Standard/Intense/Primer/Effect/Varnish/Figure</x:v>
      </x:c>
      <x:c r="B17" s="90" t="n">
        <x:v>24</x:v>
      </x:c>
      <x:c r="C17" s="97" t="n">
        <x:v>390</x:v>
      </x:c>
      <x:c r="D17" s="97" t="n">
        <x:f>B17*C17</x:f>
        <x:v>9360</x:v>
      </x:c>
      <x:c r="E17" s="89" t="str">
        <x:v>Текущая типовая цена AK 3GEN</x:v>
      </x:c>
      <x:c r="F17" s="89" t="str">
        <x:v>https://hobbygames.ru/3gen-ak-interactive</x:v>
      </x:c>
    </x:row>
    <x:row r="18">
      <x:c r="A18" s="89" t="str">
        <x:v>AK The Inks 30 мл</x:v>
      </x:c>
      <x:c r="B18" s="90" t="n">
        <x:v>1</x:v>
      </x:c>
      <x:c r="C18" s="97" t="n">
        <x:v>650</x:v>
      </x:c>
      <x:c r="D18" s="97" t="n">
        <x:f>B18*C18</x:f>
        <x:v>650</x:v>
      </x:c>
      <x:c r="E18" s="89" t="str">
        <x:v>Текущая цена линейки Inks</x:v>
      </x:c>
      <x:c r="F18" s="89" t="str">
        <x:v>https://hobbygames.ru/inks-ak</x:v>
      </x:c>
    </x:row>
    <x:row r="19">
      <x:c r="A19" s="89" t="str">
        <x:v>AK Diorama Terrains 250 мл</x:v>
      </x:c>
      <x:c r="B19" s="90" t="n">
        <x:v>2</x:v>
      </x:c>
      <x:c r="C19" s="97" t="n">
        <x:v>1250</x:v>
      </x:c>
      <x:c r="D19" s="97" t="n">
        <x:f>B19*C19</x:f>
        <x:v>2500</x:v>
      </x:c>
      <x:c r="E19" s="89" t="str">
        <x:v>Текущая цена Asphalt/Light Earth</x:v>
      </x:c>
      <x:c r="F19" s="89" t="str">
        <x:v>https://hobbygames.ru/kraska-ak-interactive-diorama-terrains-light-earth-250-ml/otzyvy</x:v>
      </x:c>
    </x:row>
    <x:row r="20">
      <x:c r="A20" s="89" t="str">
        <x:v>Vallejo обычные 17 мл</x:v>
      </x:c>
      <x:c r="B20" s="90" t="n">
        <x:v>33</x:v>
      </x:c>
      <x:c r="C20" s="97" t="n">
        <x:v>390</x:v>
      </x:c>
      <x:c r="D20" s="97" t="n">
        <x:f>B20*C20</x:f>
        <x:v>12870</x:v>
      </x:c>
      <x:c r="E20" s="89" t="str">
        <x:v>Model/Game/Mecha и вспомогательные 17 мл</x:v>
      </x:c>
      <x:c r="F20" s="89" t="str">
        <x:v>https://hobbygames.ru/kraski-vallejo</x:v>
      </x:c>
    </x:row>
    <x:row r="21">
      <x:c r="A21" s="89" t="str">
        <x:v>Vallejo Xpress Color</x:v>
      </x:c>
      <x:c r="B21" s="90" t="n">
        <x:v>2</x:v>
      </x:c>
      <x:c r="C21" s="97" t="n">
        <x:v>490</x:v>
      </x:c>
      <x:c r="D21" s="97" t="n">
        <x:f>B21*C21</x:f>
        <x:v>980</x:v>
      </x:c>
      <x:c r="E21" s="89" t="str">
        <x:v>Текущая типовая цена Xpress</x:v>
      </x:c>
      <x:c r="F21" s="89" t="str">
        <x:v>https://hobbygames.ru/kraski-vallejo</x:v>
      </x:c>
    </x:row>
    <x:row r="22">
      <x:c r="A22" s="89" t="str">
        <x:v>Vallejo Xpress Medium</x:v>
      </x:c>
      <x:c r="B22" s="90" t="n">
        <x:v>1</x:v>
      </x:c>
      <x:c r="C22" s="97" t="n">
        <x:v>490</x:v>
      </x:c>
      <x:c r="D22" s="97" t="n">
        <x:f>B22*C22</x:f>
        <x:v>490</x:v>
      </x:c>
      <x:c r="E22" s="89" t="str">
        <x:v>Оценено по линейке Xpress</x:v>
      </x:c>
      <x:c r="F22" s="89" t="str">
        <x:v>https://hobbygames.ru/kraski-vallejo</x:v>
      </x:c>
    </x:row>
    <x:row r="23">
      <x:c r="A23" s="89" t="str">
        <x:v>Vallejo Metal Color 32 мл</x:v>
      </x:c>
      <x:c r="B23" s="90" t="n">
        <x:v>2</x:v>
      </x:c>
      <x:c r="C23" s="97" t="n">
        <x:v>990</x:v>
      </x:c>
      <x:c r="D23" s="97" t="n">
        <x:f>B23*C23</x:f>
        <x:v>1980</x:v>
      </x:c>
      <x:c r="E23" s="89" t="str">
        <x:v>Текущая цена Metal Color</x:v>
      </x:c>
      <x:c r="F23" s="89" t="str">
        <x:v>https://hobbygames.ru/metal-color-category</x:v>
      </x:c>
    </x:row>
    <x:row r="24">
      <x:c r="A24" s="89" t="str">
        <x:v>Vallejo Metal Varnish 32 мл</x:v>
      </x:c>
      <x:c r="B24" s="90" t="n">
        <x:v>1</x:v>
      </x:c>
      <x:c r="C24" s="97" t="n">
        <x:v>790</x:v>
      </x:c>
      <x:c r="D24" s="97" t="n">
        <x:f>B24*C24</x:f>
        <x:v>790</x:v>
      </x:c>
      <x:c r="E24" s="89" t="str">
        <x:v>Текущая цена</x:v>
      </x:c>
      <x:c r="F24" s="89" t="str">
        <x:v>https://hobbygames.ru/lak-metal-varnish-gloss-varnish-32-ml</x:v>
      </x:c>
    </x:row>
    <x:row r="25">
      <x:c r="A25" s="89" t="str">
        <x:v>Vallejo Mecha Primer</x:v>
      </x:c>
      <x:c r="B25" s="90" t="n">
        <x:v>1</x:v>
      </x:c>
      <x:c r="C25" s="97" t="n">
        <x:v>410</x:v>
      </x:c>
      <x:c r="D25" s="97" t="n">
        <x:f>B25*C25</x:f>
        <x:v>410</x:v>
      </x:c>
      <x:c r="E25" s="89" t="str">
        <x:v>Текущая цена 17 мл</x:v>
      </x:c>
      <x:c r="F25" s="89" t="str">
        <x:v>https://hobbygames.ru/gruntovka-vallejo-mecha-color-ivory-70-643</x:v>
      </x:c>
    </x:row>
    <x:row r="26">
      <x:c r="A26" s="89" t="str">
        <x:v>Army Painter Warpaint</x:v>
      </x:c>
      <x:c r="B26" s="90" t="n">
        <x:v>1</x:v>
      </x:c>
      <x:c r="C26" s="97" t="n">
        <x:v>390</x:v>
      </x:c>
      <x:c r="D26" s="97" t="n">
        <x:f>B26*C26</x:f>
        <x:v>390</x:v>
      </x:c>
      <x:c r="E26" s="89" t="str">
        <x:v>Оценено по типовой цене 17–18 мл</x:v>
      </x:c>
      <x:c r="F26" s="89" t="str">
        <x:v>https://hobbygames.ru/kraski-i-kisti</x:v>
      </x:c>
    </x:row>
    <x:row r="27">
      <x:c r="A27" s="89" t="str">
        <x:v>Мастер-Класс масло — Серая Пейна 46 мл</x:v>
      </x:c>
      <x:c r="B27" s="90" t="n">
        <x:v>1</x:v>
      </x:c>
      <x:c r="C27" s="97" t="n">
        <x:v>399</x:v>
      </x:c>
      <x:c r="D27" s="97" t="n">
        <x:f>B27*C27</x:f>
        <x:v>399</x:v>
      </x:c>
      <x:c r="E27" s="89" t="str">
        <x:v>Текущая розничная цена; полупрозрачная смесь P.B.29/P.Bk.7</x:v>
      </x:c>
      <x:c r="F27" s="89" t="str">
        <x:v>https://www.for-art.ru/catalog/zkh_master-klass_46ml_ot_94_rublej.html</x:v>
      </x:c>
    </x:row>
    <x:row r="28">
      <x:c r="A28" s="139" t="str">
        <x:v>Мастер-Класс масло — Сажа газовая 46 мл</x:v>
      </x:c>
      <x:c r="B28" s="141" t="n">
        <x:v>1</x:v>
      </x:c>
      <x:c r="C28" s="140" t="n">
        <x:v>399</x:v>
      </x:c>
      <x:c r="D28" s="140" t="n">
        <x:f>B28*C28</x:f>
        <x:v>399</x:v>
      </x:c>
      <x:c r="E28" s="89" t="str">
        <x:v>Текущая розничная цена; укрывистый P.Bk.7</x:v>
      </x:c>
      <x:c r="F28" s="89" t="str">
        <x:v>https://www.for-art.ru/catalog/zkh_master-klass_46ml_ot_94_rublej.html</x:v>
      </x:c>
    </x:row>
    <x:row r="29">
      <x:c r="A29" s="89" t="str">
        <x:v>Мастер-Класс масло — Умбра жжёная 46 мл</x:v>
      </x:c>
      <x:c r="B29" s="90" t="n">
        <x:v>1</x:v>
      </x:c>
      <x:c r="C29" s="97" t="n">
        <x:v>530</x:v>
      </x:c>
      <x:c r="D29" s="97" t="n">
        <x:f>B29*C29</x:f>
        <x:v>530</x:v>
      </x:c>
      <x:c r="E29" s="89" t="str">
        <x:v>Текущая розничная цена; светостойкий укрывистый P.Br.7</x:v>
      </x:c>
      <x:c r="F29" s="89" t="str">
        <x:v>https://www.for-art.ru/catalog/zkh_master-klass_46ml_ot_94_rublej.html</x:v>
      </x:c>
    </x:row>
    <x:row r="31">
      <x:c r="A31" s="143" t="str">
        <x:v>Расчётная стоимость замещения новыми товарами</x:v>
      </x:c>
      <x:c r="B31" s="143"/>
      <x:c r="C31" s="143"/>
      <x:c r="D31" s="145" t="n">
        <x:f>SUM(D4:D29)</x:f>
        <x:v>143088</x:v>
      </x:c>
    </x:row>
    <x:row r="32">
      <x:c r="A32" s="110"/>
      <x:c r="B32" s="113"/>
      <x:c r="C32" s="114"/>
      <x:c r="D32" s="110"/>
    </x:row>
    <x:row r="33">
      <x:c r="A33" s="110"/>
      <x:c r="B33" s="113"/>
      <x:c r="C33" s="114"/>
      <x:c r="D33" s="110"/>
    </x:row>
    <x:row r="34">
      <x:c r="A34" s="149" t="str">
        <x:v>Сценарий</x:v>
      </x:c>
      <x:c r="B34" s="150" t="str">
        <x:v>Коэффициент от новой цены</x:v>
      </x:c>
      <x:c r="C34" s="151" t="str">
        <x:v>Оценка</x:v>
      </x:c>
      <x:c r="D34" s="149" t="str">
        <x:v>Комментарий</x:v>
      </x:c>
    </x:row>
    <x:row r="35">
      <x:c r="A35" s="129" t="str">
        <x:v>Нижняя граница замещения</x:v>
      </x:c>
      <x:c r="B35" s="152" t="n">
        <x:v>0.95</x:v>
      </x:c>
      <x:c r="C35" s="153" t="n">
        <x:f>$D$31*B35</x:f>
        <x:v>135933.6</x:v>
      </x:c>
      <x:c r="D35" s="129" t="str">
        <x:v>С учётом скидок, старых цен и более дешёвых аналогов.</x:v>
      </x:c>
    </x:row>
    <x:row r="36">
      <x:c r="A36" s="129" t="str">
        <x:v>Базовая замена</x:v>
      </x:c>
      <x:c r="B36" s="152" t="n">
        <x:v>1</x:v>
      </x:c>
      <x:c r="C36" s="153" t="n">
        <x:f>$D$31*B36</x:f>
        <x:v>143088</x:v>
      </x:c>
      <x:c r="D36" s="129" t="str">
        <x:v>Расчёт по текущим типовым розничным ценам.</x:v>
      </x:c>
    </x:row>
    <x:row r="37">
      <x:c r="A37" s="129" t="str">
        <x:v>Верхняя граница замещения</x:v>
      </x:c>
      <x:c r="B37" s="152" t="n">
        <x:v>1.08</x:v>
      </x:c>
      <x:c r="C37" s="153" t="n">
        <x:f>$D$31*B37</x:f>
        <x:v>154535.04</x:v>
      </x:c>
      <x:c r="D37" s="129" t="str">
        <x:v>С учётом редких/снятых Citadel и колебания цен.</x:v>
      </x:c>
    </x:row>
    <x:row r="38">
      <x:c r="A38" s="129" t="str">
        <x:v>Открытая коллекция в хорошем состоянии</x:v>
      </x:c>
      <x:c r="B38" s="152" t="n">
        <x:v>0.45</x:v>
      </x:c>
      <x:c r="C38" s="153" t="n">
        <x:f>$D$31*B38</x:f>
        <x:v>64389.6</x:v>
      </x:c>
      <x:c r="D38" s="129" t="str">
        <x:v>Ориентир возможной продажи целиком; не является рыночной офертой.</x:v>
      </x:c>
    </x:row>
  </x:sheetData>
  <x:mergeCells>
    <x:mergeCell ref="A1:G1"/>
    <x:mergeCell ref="A28:C28"/>
    <x:mergeCell ref="A31:C3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30" hidden="0" customWidth="1"/>
    <x:col min="4" max="4" width="25" hidden="0" customWidth="1"/>
    <x:col min="5" max="5" width="27" hidden="0" customWidth="1"/>
    <x:col min="6" max="6" width="28" hidden="0" customWidth="1"/>
    <x:col min="7" max="7" width="31" hidden="0" customWidth="1"/>
    <x:col min="8" max="8" width="35" hidden="0" customWidth="1"/>
    <x:col min="9" max="9" width="30" hidden="0" customWidth="1"/>
    <x:col min="10" max="10" width="30" hidden="0" customWidth="1"/>
    <x:col min="11" max="11" width="28" hidden="0" customWidth="1"/>
    <x:col min="12" max="12" width="33" hidden="0" customWidth="1"/>
    <x:col min="13" max="13" width="25" hidden="0" customWidth="1"/>
    <x:col min="14" max="14" width="12" hidden="0" customWidth="1"/>
    <x:col min="15" max="15" width="55" hidden="0" customWidth="1"/>
    <x:col min="16" max="16" width="24" hidden="0" customWidth="1"/>
    <x:col min="17" max="17" width="58" hidden="0" customWidth="1"/>
  </x:cols>
  <x:sheetData>
    <x:row r="1" ht="38" customHeight="1">
      <x:c r="A1" s="167" t="str">
        <x:v>Матрица взаимодействия слоёв — только краски из коллекции</x:v>
      </x:c>
      <x:c r="B1" s="167"/>
      <x:c r="C1" s="167"/>
      <x:c r="D1" s="167"/>
      <x:c r="E1" s="167"/>
      <x:c r="F1" s="167"/>
      <x:c r="G1" s="167"/>
      <x:c r="H1" s="167"/>
      <x:c r="I1" s="167"/>
      <x:c r="J1" s="167"/>
      <x:c r="K1" s="167"/>
      <x:c r="L1" s="167"/>
      <x:c r="M1" s="167"/>
      <x:c r="N1" s="167"/>
      <x:c r="O1" s="167"/>
    </x:row>
    <x:row r="2" ht="46" customHeight="1">
      <x:c r="A2" s="230" t="str">
        <x:v>ВАЖНО: AK Black Primer, AK White Primer и Vallejo Ivory Primer — настоящие грунты. Grey Seer и Wraithbone из коллекции — Base-подложки и наносятся поверх грунта. Следующий светлый слой занимает меньшую площадь; смеси 1:1 означают равные части.</x:v>
      </x:c>
      <x:c r="B2" s="230"/>
      <x:c r="C2" s="230"/>
      <x:c r="D2" s="230"/>
      <x:c r="E2" s="230"/>
      <x:c r="F2" s="230"/>
      <x:c r="G2" s="230"/>
      <x:c r="H2" s="230"/>
      <x:c r="I2" s="230"/>
      <x:c r="J2" s="230"/>
      <x:c r="K2" s="230"/>
      <x:c r="L2" s="230"/>
      <x:c r="M2" s="230"/>
      <x:c r="N2" s="230"/>
      <x:c r="O2" s="230"/>
      <x:c r="P2" s="230"/>
      <x:c r="Q2" s="230"/>
    </x:row>
    <x:row r="4" ht="42" customHeight="1">
      <x:c r="A4" s="176" t="str">
        <x:v>№</x:v>
      </x:c>
      <x:c r="B4" s="176" t="str">
        <x:v>Семейство</x:v>
      </x:c>
      <x:c r="C4" s="176" t="str">
        <x:v>Результат</x:v>
      </x:c>
      <x:c r="D4" s="176" t="str">
        <x:v>Техника</x:v>
      </x:c>
      <x:c r="E4" s="176" t="str">
        <x:v>Подложка / грунт</x:v>
      </x:c>
      <x:c r="F4" s="176" t="str">
        <x:v>База</x:v>
      </x:c>
      <x:c r="G4" s="176" t="str">
        <x:v>Тень</x:v>
      </x:c>
      <x:c r="H4" s="176" t="str">
        <x:v>Средний тон / возврат базы</x:v>
      </x:c>
      <x:c r="I4" s="176" t="str">
        <x:v>Высветление 1</x:v>
      </x:c>
      <x:c r="J4" s="176" t="str">
        <x:v>Высветление 2</x:v>
      </x:c>
      <x:c r="K4" s="176" t="str">
        <x:v>Крайний блик</x:v>
      </x:c>
      <x:c r="L4" s="176" t="str">
        <x:v>Лессировка / эффект</x:v>
      </x:c>
      <x:c r="M4" s="176" t="str">
        <x:v>Финиш</x:v>
      </x:c>
      <x:c r="N4" s="176" t="str">
        <x:v>Сложность</x:v>
      </x:c>
      <x:c r="O4" s="176" t="str">
        <x:v>Примечание</x:v>
      </x:c>
      <x:c r="P4" s="202" t="str">
        <x:v>Статус аудита</x:v>
      </x:c>
      <x:c r="Q4" s="202" t="str">
        <x:v>Основание / источник</x:v>
      </x:c>
    </x:row>
    <x:row r="5">
      <x:c r="A5" s="90" t="n">
        <x:v>1</x:v>
      </x:c>
      <x:c r="B5" s="177" t="str">
        <x:v>Красный</x:v>
      </x:c>
      <x:c r="C5" s="177" t="str">
        <x:v>Яркая красная броня</x:v>
      </x:c>
      <x:c r="D5" s="89" t="str">
        <x:v>Классическая многослойка</x:v>
      </x:c>
      <x:c r="E5" s="89" t="str">
        <x:v>Black Primer или Grey Seer</x:v>
      </x:c>
      <x:c r="F5" s="89" t="str">
        <x:v>AK Blood Red</x:v>
      </x:c>
      <x:c r="G5" s="89" t="str">
        <x:v>Carroburg Crimson в углубления</x:v>
      </x:c>
      <x:c r="H5" s="89" t="str">
        <x:v>AK Cadmium Red</x:v>
      </x:c>
      <x:c r="I5" s="89" t="str">
        <x:v>Evil Sunz Scarlet</x:v>
      </x:c>
      <x:c r="J5" s="89" t="str">
        <x:v>Wild Rider Red</x:v>
      </x:c>
      <x:c r="K5" s="89" t="str">
        <x:v>Fire Dragon Bright</x:v>
      </x:c>
      <x:c r="L5" s="89" t="str">
        <x:v>Bloodletter очень тонко</x:v>
      </x:c>
      <x:c r="M5" s="89" t="str">
        <x:v>Matt Varnish</x:v>
      </x:c>
      <x:c r="N5" s="90" t="str">
        <x:v>Средняя</x:v>
      </x:c>
      <x:c r="O5" s="89" t="str">
        <x:v>После тени вернуть Cadmium Red на широкие плоскости.</x:v>
      </x:c>
      <x:c r="P5" s="89" t="str">
        <x:v>Проверено — рабочая схема</x:v>
      </x:c>
      <x:c r="Q5" s="89" t="str">
        <x:v>Последовательность база → локальная тень → возврат среднего тона → уменьшающиеся высветления соответствует системам производителей.</x:v>
      </x:c>
    </x:row>
    <x:row r="6">
      <x:c r="A6" s="90" t="n">
        <x:v>2</x:v>
      </x:c>
      <x:c r="B6" s="177" t="str">
        <x:v>Красный</x:v>
      </x:c>
      <x:c r="C6" s="177" t="str">
        <x:v>Глубокий бордовый</x:v>
      </x:c>
      <x:c r="D6" s="89" t="str">
        <x:v>Классическая многослойка</x:v>
      </x:c>
      <x:c r="E6" s="89" t="str">
        <x:v>Black Primer</x:v>
      </x:c>
      <x:c r="F6" s="89" t="str">
        <x:v>Gal Vorbak Red</x:v>
      </x:c>
      <x:c r="G6" s="89" t="str">
        <x:v>Flesh Tearers Red 1:1 с Contrast Medium</x:v>
      </x:c>
      <x:c r="H6" s="89" t="str">
        <x:v>Barak-Nar Burgundy</x:v>
      </x:c>
      <x:c r="I6" s="89" t="str">
        <x:v>Wazdakka Red</x:v>
      </x:c>
      <x:c r="J6" s="89" t="str">
        <x:v>Pink Horror 1:1 с Wazdakka Red</x:v>
      </x:c>
      <x:c r="K6" s="89" t="str">
        <x:v>Fulgrim Pink точечно</x:v>
      </x:c>
      <x:c r="L6" s="89" t="str">
        <x:v>Carroburg Crimson при необходимости</x:v>
      </x:c>
      <x:c r="M6" s="89" t="str">
        <x:v>Matt Varnish</x:v>
      </x:c>
      <x:c r="N6" s="90" t="str">
        <x:v>Высокая</x:v>
      </x:c>
      <x:c r="O6" s="89" t="str">
        <x:v>Сохранять Gal Vorbak Red минимум на трети площади.</x:v>
      </x:c>
      <x:c r="P6" s="89" t="str">
        <x:v>Авторская комбинация — тест</x:v>
      </x:c>
      <x:c r="Q6" s="89" t="str">
        <x:v>Цветовая логика корректна, но точный результат зависит от укрывистости и толщины слоёв; рекомендована тестовая ложка/бит.</x:v>
      </x:c>
    </x:row>
    <x:row r="7">
      <x:c r="A7" s="90" t="n">
        <x:v>3</x:v>
      </x:c>
      <x:c r="B7" s="177" t="str">
        <x:v>Красный</x:v>
      </x:c>
      <x:c r="C7" s="177" t="str">
        <x:v>Алое сукно</x:v>
      </x:c>
      <x:c r="D7" s="89" t="str">
        <x:v>Мягкие слои</x:v>
      </x:c>
      <x:c r="E7" s="89" t="str">
        <x:v>Grey Seer</x:v>
      </x:c>
      <x:c r="F7" s="89" t="str">
        <x:v>AK Dirty Red</x:v>
      </x:c>
      <x:c r="G7" s="89" t="str">
        <x:v>Berserker Bloodshade</x:v>
      </x:c>
      <x:c r="H7" s="89" t="str">
        <x:v>AK Blood Red</x:v>
      </x:c>
      <x:c r="I7" s="89" t="str">
        <x:v>Evil Sunz Scarlet</x:v>
      </x:c>
      <x:c r="J7" s="89" t="str">
        <x:v>Wild Rider Red</x:v>
      </x:c>
      <x:c r="K7" s="89" t="str">
        <x:v>Fire Dragon Bright</x:v>
      </x:c>
      <x:c r="L7" s="89" t="str">
        <x:v>Red Ink 1:5 с Lahmian Medium</x:v>
      </x:c>
      <x:c r="M7" s="89" t="str">
        <x:v>Matt Varnish</x:v>
      </x:c>
      <x:c r="N7" s="90" t="str">
        <x:v>Средняя</x:v>
      </x:c>
      <x:c r="O7" s="89" t="str">
        <x:v>Лессировка красными чернилами объединяет резкие переходы.</x:v>
      </x:c>
      <x:c r="P7" s="89" t="str">
        <x:v>Проверено — рабочая схема</x:v>
      </x:c>
      <x:c r="Q7" s="89" t="str">
        <x:v>Последовательность база → локальная тень → возврат среднего тона → уменьшающиеся высветления соответствует системам производителей.</x:v>
      </x:c>
    </x:row>
    <x:row r="8">
      <x:c r="A8" s="90" t="n">
        <x:v>4</x:v>
      </x:c>
      <x:c r="B8" s="177" t="str">
        <x:v>Красный</x:v>
      </x:c>
      <x:c r="C8" s="177" t="str">
        <x:v>Быстрый насыщенный красный</x:v>
      </x:c>
      <x:c r="D8" s="89" t="str">
        <x:v>Contrast + слои</x:v>
      </x:c>
      <x:c r="E8" s="89" t="str">
        <x:v>Wraithbone</x:v>
      </x:c>
      <x:c r="F8" s="89" t="str">
        <x:v>Blood Angels Red</x:v>
      </x:c>
      <x:c r="G8" s="89" t="str">
        <x:v>Flesh Tearers Red только в глубокие тени</x:v>
      </x:c>
      <x:c r="H8" s="89" t="str">
        <x:v>AK Blood Red</x:v>
      </x:c>
      <x:c r="I8" s="89" t="str">
        <x:v>Wild Rider Red</x:v>
      </x:c>
      <x:c r="J8" s="89" t="str">
        <x:v>Fire Dragon Bright</x:v>
      </x:c>
      <x:c r="K8" s="89" t="str">
        <x:v>Pale Sand + Fire Dragon Bright 1:1</x:v>
      </x:c>
      <x:c r="L8" s="89" t="str">
        <x:v>Baal Red очень тонко</x:v>
      </x:c>
      <x:c r="M8" s="89" t="str">
        <x:v>Matt Varnish</x:v>
      </x:c>
      <x:c r="N8" s="90" t="str">
        <x:v>Низкая</x:v>
      </x:c>
      <x:c r="O8" s="89" t="str">
        <x:v>Не заливать повторно всю поверхность Contrast после высветлений.</x:v>
      </x:c>
      <x:c r="P8" s="89" t="str">
        <x:v>Проверено — рабочая схема</x:v>
      </x:c>
      <x:c r="Q8" s="89" t="str">
        <x:v>Последовательность база → локальная тень → возврат среднего тона → уменьшающиеся высветления соответствует системам производителей.</x:v>
      </x:c>
    </x:row>
    <x:row r="9">
      <x:c r="A9" s="90" t="n">
        <x:v>5</x:v>
      </x:c>
      <x:c r="B9" s="177" t="str">
        <x:v>Красный</x:v>
      </x:c>
      <x:c r="C9" s="177" t="str">
        <x:v>Тёмная красная кожа</x:v>
      </x:c>
      <x:c r="D9" s="89" t="str">
        <x:v>Гримдарк</x:v>
      </x:c>
      <x:c r="E9" s="89" t="str">
        <x:v>Black Primer</x:v>
      </x:c>
      <x:c r="F9" s="89" t="str">
        <x:v>Gory Red</x:v>
      </x:c>
      <x:c r="G9" s="89" t="str">
        <x:v>Nuln Oil</x:v>
      </x:c>
      <x:c r="H9" s="89" t="str">
        <x:v>AK Dirty Red</x:v>
      </x:c>
      <x:c r="I9" s="89" t="str">
        <x:v>Wazdakka Red</x:v>
      </x:c>
      <x:c r="J9" s="89" t="str">
        <x:v>Cadian Fleshtone + Wazdakka Red 1:1</x:v>
      </x:c>
      <x:c r="K9" s="89" t="str">
        <x:v>Pallid Wych Flesh точечно</x:v>
      </x:c>
      <x:c r="L9" s="89" t="str">
        <x:v>Умбра жжёная по глянцевому лаку</x:v>
      </x:c>
      <x:c r="M9" s="89" t="str">
        <x:v>Matt Varnish</x:v>
      </x:c>
      <x:c r="N9" s="90" t="str">
        <x:v>Высокая</x:v>
      </x:c>
      <x:c r="O9" s="89" t="str">
        <x:v>Масло оставить главным образом в складках и повреждениях.</x:v>
      </x:c>
      <x:c r="P9" s="89" t="str">
        <x:v>Авторская комбинация — тест</x:v>
      </x:c>
      <x:c r="Q9" s="89" t="str">
        <x:v>Цветовая логика корректна, но точный результат зависит от укрывистости и толщины слоёв; рекомендована тестовая ложка/бит.</x:v>
      </x:c>
    </x:row>
    <x:row r="10">
      <x:c r="A10" s="90" t="n">
        <x:v>6</x:v>
      </x:c>
      <x:c r="B10" s="177" t="str">
        <x:v>Красный</x:v>
      </x:c>
      <x:c r="C10" s="177" t="str">
        <x:v>Свежая кровь</x:v>
      </x:c>
      <x:c r="D10" s="89" t="str">
        <x:v>Эффект после покраски</x:v>
      </x:c>
      <x:c r="E10" s="89" t="str">
        <x:v>Готовая окрашенная поверхность</x:v>
      </x:c>
      <x:c r="F10" s="89" t="str">
        <x:v>AK Blood Effect</x:v>
      </x:c>
      <x:c r="G10" s="89" t="str">
        <x:v>AK Viscera Effect в самых тёмных местах</x:v>
      </x:c>
      <x:c r="H10" s="89" t="str">
        <x:v>Blood for the Blood God</x:v>
      </x:c>
      <x:c r="I10" s="89" t="str">
        <x:v>—</x:v>
      </x:c>
      <x:c r="J10" s="89" t="str">
        <x:v>—</x:v>
      </x:c>
      <x:c r="K10" s="89" t="str">
        <x:v>—</x:v>
      </x:c>
      <x:c r="L10" s="89" t="str">
        <x:v>Не перекрывать матовым лаком</x:v>
      </x:c>
      <x:c r="M10" s="89" t="str">
        <x:v>Без лака поверх</x:v>
      </x:c>
      <x:c r="N10" s="90" t="str">
        <x:v>Низкая</x:v>
      </x:c>
      <x:c r="O10" s="89" t="str">
        <x:v>Эффект наносится последним; Viscera гуще и темнее.</x:v>
      </x:c>
      <x:c r="P10" s="89" t="str">
        <x:v>Проверено по свойствам материала</x:v>
      </x:c>
      <x:c r="Q10" s="89" t="str">
        <x:v>Совместимость и порядок нанесения подтверждены назначением Contrast/Shade/Technical/Vallejo Medium/масляных материалов.</x:v>
      </x:c>
    </x:row>
    <x:row r="11">
      <x:c r="A11" s="90" t="n">
        <x:v>7</x:v>
      </x:c>
      <x:c r="B11" s="178" t="str">
        <x:v>Жёлтый и оранжевый</x:v>
      </x:c>
      <x:c r="C11" s="178" t="str">
        <x:v>Оранжевая броня</x:v>
      </x:c>
      <x:c r="D11" s="89" t="str">
        <x:v>Классическая многослойка</x:v>
      </x:c>
      <x:c r="E11" s="89" t="str">
        <x:v>Grey Seer</x:v>
      </x:c>
      <x:c r="F11" s="89" t="str">
        <x:v>AK Orange Brown</x:v>
      </x:c>
      <x:c r="G11" s="89" t="str">
        <x:v>AK Dirty Red в углубления</x:v>
      </x:c>
      <x:c r="H11" s="89" t="str">
        <x:v>Vallejo Orange Fire</x:v>
      </x:c>
      <x:c r="I11" s="89" t="str">
        <x:v>Fire Dragon Bright</x:v>
      </x:c>
      <x:c r="J11" s="89" t="str">
        <x:v>AK Yellow + Fire Dragon Bright 1:1</x:v>
      </x:c>
      <x:c r="K11" s="89" t="str">
        <x:v>AK Yellow</x:v>
      </x:c>
      <x:c r="L11" s="89" t="str">
        <x:v>Orange Fluorescent очень тонко</x:v>
      </x:c>
      <x:c r="M11" s="89" t="str">
        <x:v>Matt Varnish</x:v>
      </x:c>
      <x:c r="N11" s="90" t="str">
        <x:v>Средняя</x:v>
      </x:c>
      <x:c r="O11" s="89" t="str">
        <x:v>Флуоресцентный слой наносить только поверх светлых участков.</x:v>
      </x:c>
      <x:c r="P11" s="89" t="str">
        <x:v>Авторская комбинация — тест</x:v>
      </x:c>
      <x:c r="Q11" s="89" t="str">
        <x:v>Цветовая логика корректна, но точный результат зависит от укрывистости и толщины слоёв; рекомендована тестовая ложка/бит.</x:v>
      </x:c>
    </x:row>
    <x:row r="12">
      <x:c r="A12" s="90" t="n">
        <x:v>8</x:v>
      </x:c>
      <x:c r="B12" s="178" t="str">
        <x:v>Жёлтый и оранжевый</x:v>
      </x:c>
      <x:c r="C12" s="178" t="str">
        <x:v>Пламя от красного к белому</x:v>
      </x:c>
      <x:c r="D12" s="89" t="str">
        <x:v>Обратное высветление</x:v>
      </x:c>
      <x:c r="E12" s="89" t="str">
        <x:v>White Primer</x:v>
      </x:c>
      <x:c r="F12" s="89" t="str">
        <x:v>AK Dirty Red на внешних языках</x:v>
      </x:c>
      <x:c r="G12" s="89" t="str">
        <x:v>—</x:v>
      </x:c>
      <x:c r="H12" s="89" t="str">
        <x:v>AK Blood Red</x:v>
      </x:c>
      <x:c r="I12" s="89" t="str">
        <x:v>Vallejo Orange Fire</x:v>
      </x:c>
      <x:c r="J12" s="89" t="str">
        <x:v>AK Yellow</x:v>
      </x:c>
      <x:c r="K12" s="89" t="str">
        <x:v>White в центре</x:v>
      </x:c>
      <x:c r="L12" s="89" t="str">
        <x:v>Yellow Fluorescent на жёлто-белую область</x:v>
      </x:c>
      <x:c r="M12" s="89" t="str">
        <x:v>Без лака или Satin Varnish</x:v>
      </x:c>
      <x:c r="N12" s="90" t="str">
        <x:v>Средняя</x:v>
      </x:c>
      <x:c r="O12" s="89" t="str">
        <x:v>Самые светлые участки находятся ближе к источнику жара.</x:v>
      </x:c>
      <x:c r="P12" s="89" t="str">
        <x:v>Проверено — рабочая схема</x:v>
      </x:c>
      <x:c r="Q12" s="89" t="str">
        <x:v>Последовательность база → локальная тень → возврат среднего тона → уменьшающиеся высветления соответствует системам производителей.</x:v>
      </x:c>
    </x:row>
    <x:row r="13">
      <x:c r="A13" s="90" t="n">
        <x:v>9</x:v>
      </x:c>
      <x:c r="B13" s="178" t="str">
        <x:v>Жёлтый и оранжевый</x:v>
      </x:c>
      <x:c r="C13" s="178" t="str">
        <x:v>Тёплая жёлтая броня</x:v>
      </x:c>
      <x:c r="D13" s="89" t="str">
        <x:v>Классическая многослойка</x:v>
      </x:c>
      <x:c r="E13" s="89" t="str">
        <x:v>Wraithbone или White Primer</x:v>
      </x:c>
      <x:c r="F13" s="89" t="str">
        <x:v>Averland Sunset</x:v>
      </x:c>
      <x:c r="G13" s="89" t="str">
        <x:v>Casandora Yellow</x:v>
      </x:c>
      <x:c r="H13" s="89" t="str">
        <x:v>AK Yellow</x:v>
      </x:c>
      <x:c r="I13" s="89" t="str">
        <x:v>AK Yellow + Pale Sand 2:1</x:v>
      </x:c>
      <x:c r="J13" s="89" t="str">
        <x:v>Pale Sand</x:v>
      </x:c>
      <x:c r="K13" s="89" t="str">
        <x:v>White точечно</x:v>
      </x:c>
      <x:c r="L13" s="89" t="str">
        <x:v>Yellow Ink 1:6 с Lahmian Medium</x:v>
      </x:c>
      <x:c r="M13" s="89" t="str">
        <x:v>Matt Varnish</x:v>
      </x:c>
      <x:c r="N13" s="90" t="str">
        <x:v>Средняя</x:v>
      </x:c>
      <x:c r="O13" s="89" t="str">
        <x:v>После Shade восстановить чистый жёлтый на верхних плоскостях.</x:v>
      </x:c>
      <x:c r="P13" s="89" t="str">
        <x:v>Проверено — рабочая схема</x:v>
      </x:c>
      <x:c r="Q13" s="89" t="str">
        <x:v>Последовательность база → локальная тень → возврат среднего тона → уменьшающиеся высветления соответствует системам производителей.</x:v>
      </x:c>
    </x:row>
    <x:row r="14">
      <x:c r="A14" s="90" t="n">
        <x:v>10</x:v>
      </x:c>
      <x:c r="B14" s="178" t="str">
        <x:v>Жёлтый и оранжевый</x:v>
      </x:c>
      <x:c r="C14" s="178" t="str">
        <x:v>Быстрый жёлтый</x:v>
      </x:c>
      <x:c r="D14" s="89" t="str">
        <x:v>Contrast + слои</x:v>
      </x:c>
      <x:c r="E14" s="89" t="str">
        <x:v>Wraithbone</x:v>
      </x:c>
      <x:c r="F14" s="89" t="str">
        <x:v>Iyanden Yellow</x:v>
      </x:c>
      <x:c r="G14" s="89" t="str">
        <x:v>Casandora Yellow в углубления</x:v>
      </x:c>
      <x:c r="H14" s="89" t="str">
        <x:v>AK Yellow</x:v>
      </x:c>
      <x:c r="I14" s="89" t="str">
        <x:v>AK Yellow + Pale Sand 1:1</x:v>
      </x:c>
      <x:c r="J14" s="89" t="str">
        <x:v>Pale Sand</x:v>
      </x:c>
      <x:c r="K14" s="89" t="str">
        <x:v>White</x:v>
      </x:c>
      <x:c r="L14" s="89" t="str">
        <x:v>Yellow Fluorescent на наиболее ярких участках</x:v>
      </x:c>
      <x:c r="M14" s="89" t="str">
        <x:v>Matt Varnish</x:v>
      </x:c>
      <x:c r="N14" s="90" t="str">
        <x:v>Низкая</x:v>
      </x:c>
      <x:c r="O14" s="89" t="str">
        <x:v>Флуоресцентный жёлтый не заменяет непрозрачное высветление.</x:v>
      </x:c>
      <x:c r="P14" s="89" t="str">
        <x:v>Проверено — рабочая схема</x:v>
      </x:c>
      <x:c r="Q14" s="89" t="str">
        <x:v>Последовательность база → локальная тень → возврат среднего тона → уменьшающиеся высветления соответствует системам производителей.</x:v>
      </x:c>
    </x:row>
    <x:row r="15">
      <x:c r="A15" s="90" t="n">
        <x:v>11</x:v>
      </x:c>
      <x:c r="B15" s="178" t="str">
        <x:v>Жёлтый и оранжевый</x:v>
      </x:c>
      <x:c r="C15" s="178" t="str">
        <x:v>Выцветший охристый</x:v>
      </x:c>
      <x:c r="D15" s="89" t="str">
        <x:v>Приглушённая многослойка</x:v>
      </x:c>
      <x:c r="E15" s="89" t="str">
        <x:v>Grey Seer</x:v>
      </x:c>
      <x:c r="F15" s="89" t="str">
        <x:v>AK Dirty Yellow</x:v>
      </x:c>
      <x:c r="G15" s="89" t="str">
        <x:v>Seraphim Sepia</x:v>
      </x:c>
      <x:c r="H15" s="89" t="str">
        <x:v>Zamesi Desert</x:v>
      </x:c>
      <x:c r="I15" s="89" t="str">
        <x:v>Pale Sand</x:v>
      </x:c>
      <x:c r="J15" s="89" t="str">
        <x:v>Deepkin Flesh</x:v>
      </x:c>
      <x:c r="K15" s="89" t="str">
        <x:v>White точечно</x:v>
      </x:c>
      <x:c r="L15" s="89" t="str">
        <x:v>Умбра жжёная по лаку в швы</x:v>
      </x:c>
      <x:c r="M15" s="89" t="str">
        <x:v>Matt Varnish</x:v>
      </x:c>
      <x:c r="N15" s="90" t="str">
        <x:v>Средняя</x:v>
      </x:c>
      <x:c r="O15" s="89" t="str">
        <x:v>Подходит для ткани, техники и пустынного камуфляжа.</x:v>
      </x:c>
      <x:c r="P15" s="89" t="str">
        <x:v>Авторская комбинация — тест</x:v>
      </x:c>
      <x:c r="Q15" s="89" t="str">
        <x:v>Цветовая логика корректна, но точный результат зависит от укрывистости и толщины слоёв; рекомендована тестовая ложка/бит.</x:v>
      </x:c>
    </x:row>
    <x:row r="16">
      <x:c r="A16" s="90" t="n">
        <x:v>12</x:v>
      </x:c>
      <x:c r="B16" s="179" t="str">
        <x:v>Зелёный</x:v>
      </x:c>
      <x:c r="C16" s="179" t="str">
        <x:v>Бирюзово-зелёная броня</x:v>
      </x:c>
      <x:c r="D16" s="89" t="str">
        <x:v>Классическая многослойка</x:v>
      </x:c>
      <x:c r="E16" s="89" t="str">
        <x:v>Black Primer</x:v>
      </x:c>
      <x:c r="F16" s="89" t="str">
        <x:v>Incubi Darkness</x:v>
      </x:c>
      <x:c r="G16" s="89" t="str">
        <x:v>Coelia Greenshade</x:v>
      </x:c>
      <x:c r="H16" s="89" t="str">
        <x:v>Kabalite Green</x:v>
      </x:c>
      <x:c r="I16" s="89" t="str">
        <x:v>Sybarite Green</x:v>
      </x:c>
      <x:c r="J16" s="89" t="str">
        <x:v>Moot Green 1:1 с Sybarite Green</x:v>
      </x:c>
      <x:c r="K16" s="89" t="str">
        <x:v>Moot Green</x:v>
      </x:c>
      <x:c r="L16" s="89" t="str">
        <x:v>Green Ink 1:8 с Lahmian Medium</x:v>
      </x:c>
      <x:c r="M16" s="89" t="str">
        <x:v>Matt Varnish</x:v>
      </x:c>
      <x:c r="N16" s="90" t="str">
        <x:v>Средняя</x:v>
      </x:c>
      <x:c r="O16" s="89" t="str">
        <x:v>Очень цельная цепочка из имеющейся палитры.</x:v>
      </x:c>
      <x:c r="P16" s="89" t="str">
        <x:v>Проверено — рабочая схема</x:v>
      </x:c>
      <x:c r="Q16" s="89" t="str">
        <x:v>Последовательность база → локальная тень → возврат среднего тона → уменьшающиеся высветления соответствует системам производителей.</x:v>
      </x:c>
    </x:row>
    <x:row r="17">
      <x:c r="A17" s="90" t="n">
        <x:v>13</x:v>
      </x:c>
      <x:c r="B17" s="179" t="str">
        <x:v>Зелёный</x:v>
      </x:c>
      <x:c r="C17" s="179" t="str">
        <x:v>Токсичный зелёный</x:v>
      </x:c>
      <x:c r="D17" s="89" t="str">
        <x:v>Contrast + флуоресцент</x:v>
      </x:c>
      <x:c r="E17" s="89" t="str">
        <x:v>White Primer</x:v>
      </x:c>
      <x:c r="F17" s="89" t="str">
        <x:v>Warp Lightning</x:v>
      </x:c>
      <x:c r="G17" s="89" t="str">
        <x:v>Biel-Tan Green в тени</x:v>
      </x:c>
      <x:c r="H17" s="89" t="str">
        <x:v>Moot Green</x:v>
      </x:c>
      <x:c r="I17" s="89" t="str">
        <x:v>Moot Green + White 2:1</x:v>
      </x:c>
      <x:c r="J17" s="89" t="str">
        <x:v>White</x:v>
      </x:c>
      <x:c r="K17" s="89" t="str">
        <x:v>White точки</x:v>
      </x:c>
      <x:c r="L17" s="89" t="str">
        <x:v>Green Fluorescent</x:v>
      </x:c>
      <x:c r="M17" s="89" t="str">
        <x:v>Satin Varnish</x:v>
      </x:c>
      <x:c r="N17" s="90" t="str">
        <x:v>Низкая</x:v>
      </x:c>
      <x:c r="O17" s="89" t="str">
        <x:v>Флуоресцент наносить в 2–4 тонких слоя.</x:v>
      </x:c>
      <x:c r="P17" s="89" t="str">
        <x:v>Проверено по свойствам материала</x:v>
      </x:c>
      <x:c r="Q17" s="89" t="str">
        <x:v>Совместимость и порядок нанесения подтверждены назначением Contrast/Shade/Technical/Vallejo Medium/масляных материалов.</x:v>
      </x:c>
    </x:row>
    <x:row r="18">
      <x:c r="A18" s="90" t="n">
        <x:v>14</x:v>
      </x:c>
      <x:c r="B18" s="179" t="str">
        <x:v>Зелёный</x:v>
      </x:c>
      <x:c r="C18" s="179" t="str">
        <x:v>Оливковая военная броня</x:v>
      </x:c>
      <x:c r="D18" s="89" t="str">
        <x:v>Классическая многослойка</x:v>
      </x:c>
      <x:c r="E18" s="89" t="str">
        <x:v>Black Primer</x:v>
      </x:c>
      <x:c r="F18" s="89" t="str">
        <x:v>Death Guard Green</x:v>
      </x:c>
      <x:c r="G18" s="89" t="str">
        <x:v>Militarum Green 1:1 с Contrast Medium</x:v>
      </x:c>
      <x:c r="H18" s="89" t="str">
        <x:v>Death Guard Green</x:v>
      </x:c>
      <x:c r="I18" s="89" t="str">
        <x:v>US Interior Yellow + Death Guard Green 1:1</x:v>
      </x:c>
      <x:c r="J18" s="89" t="str">
        <x:v>US Interior Yellow</x:v>
      </x:c>
      <x:c r="K18" s="89" t="str">
        <x:v>Pale Sand точечно</x:v>
      </x:c>
      <x:c r="L18" s="89" t="str">
        <x:v>Умбра жжёная по глянцевому лаку</x:v>
      </x:c>
      <x:c r="M18" s="89" t="str">
        <x:v>Matt Varnish</x:v>
      </x:c>
      <x:c r="N18" s="90" t="str">
        <x:v>Средняя</x:v>
      </x:c>
      <x:c r="O18" s="89" t="str">
        <x:v>Масляная умбра создаёт естественную тёплую грязь.</x:v>
      </x:c>
      <x:c r="P18" s="89" t="str">
        <x:v>Авторская комбинация — тест</x:v>
      </x:c>
      <x:c r="Q18" s="89" t="str">
        <x:v>Цветовая логика корректна, но точный результат зависит от укрывистости и толщины слоёв; рекомендована тестовая ложка/бит.</x:v>
      </x:c>
    </x:row>
    <x:row r="19">
      <x:c r="A19" s="90" t="n">
        <x:v>15</x:v>
      </x:c>
      <x:c r="B19" s="179" t="str">
        <x:v>Зелёный</x:v>
      </x:c>
      <x:c r="C19" s="179" t="str">
        <x:v>Болезненная кожа</x:v>
      </x:c>
      <x:c r="D19" s="89" t="str">
        <x:v>Contrast + слои</x:v>
      </x:c>
      <x:c r="E19" s="89" t="str">
        <x:v>Wraithbone</x:v>
      </x:c>
      <x:c r="F19" s="89" t="str">
        <x:v>Plaguebearer Flesh</x:v>
      </x:c>
      <x:c r="G19" s="89" t="str">
        <x:v>Militarum Green в складки</x:v>
      </x:c>
      <x:c r="H19" s="89" t="str">
        <x:v>Death Guard Green очень тонко</x:v>
      </x:c>
      <x:c r="I19" s="89" t="str">
        <x:v>Zamesi Desert</x:v>
      </x:c>
      <x:c r="J19" s="89" t="str">
        <x:v>Pallid Wych Flesh</x:v>
      </x:c>
      <x:c r="K19" s="89" t="str">
        <x:v>White точечно</x:v>
      </x:c>
      <x:c r="L19" s="89" t="str">
        <x:v>Nurgle's Rot локально</x:v>
      </x:c>
      <x:c r="M19" s="89" t="str">
        <x:v>Matt Varnish, слизь не перекрывать</x:v>
      </x:c>
      <x:c r="N19" s="90" t="str">
        <x:v>Средняя</x:v>
      </x:c>
      <x:c r="O19" s="89" t="str">
        <x:v>Nurgle's Rot оставлять глянцевым.</x:v>
      </x:c>
      <x:c r="P19" s="89" t="str">
        <x:v>Авторская комбинация — тест</x:v>
      </x:c>
      <x:c r="Q19" s="89" t="str">
        <x:v>Цветовая логика корректна, но точный результат зависит от укрывистости и толщины слоёв; рекомендована тестовая ложка/бит.</x:v>
      </x:c>
    </x:row>
    <x:row r="20">
      <x:c r="A20" s="90" t="n">
        <x:v>16</x:v>
      </x:c>
      <x:c r="B20" s="179" t="str">
        <x:v>Зелёный</x:v>
      </x:c>
      <x:c r="C20" s="179" t="str">
        <x:v>Изумрудный камень</x:v>
      </x:c>
      <x:c r="D20" s="89" t="str">
        <x:v>Прозрачный эффект по металлу</x:v>
      </x:c>
      <x:c r="E20" s="89" t="str">
        <x:v>Runefang Steel или Vallejo Silver</x:v>
      </x:c>
      <x:c r="F20" s="89" t="str">
        <x:v>Black Templar 1:2 с Contrast Medium на нижнюю треть</x:v>
      </x:c>
      <x:c r="G20" s="89" t="str">
        <x:v>Waystone Green по всей поверхности</x:v>
      </x:c>
      <x:c r="H20" s="89" t="str">
        <x:v>Waystone Green вторым тонким слоем</x:v>
      </x:c>
      <x:c r="I20" s="89" t="str">
        <x:v>Runefang Steel маленькой дугой</x:v>
      </x:c>
      <x:c r="J20" s="89" t="str">
        <x:v>Vallejo Silver меньшей дугой</x:v>
      </x:c>
      <x:c r="K20" s="89" t="str">
        <x:v>White точкой</x:v>
      </x:c>
      <x:c r="L20" s="89" t="str">
        <x:v>Gloss Varnish</x:v>
      </x:c>
      <x:c r="M20" s="89" t="str">
        <x:v>Gloss Varnish</x:v>
      </x:c>
      <x:c r="N20" s="90" t="str">
        <x:v>Низкая</x:v>
      </x:c>
      <x:c r="O20" s="89" t="str">
        <x:v>Тёмный прозрачный слой наносится до Waystone Green: так сохраняется металлическая глубина, а не появляется чёрное пятно поверх глянца.</x:v>
      </x:c>
      <x:c r="P20" s="89" t="str">
        <x:v>Исправлено после аудита</x:v>
      </x:c>
      <x:c r="Q20" s="89" t="str">
        <x:v>Порядок слоёв или материал скорректирован по официальной инструкции/схеме. См. лист «Аудит матрицы».</x:v>
      </x:c>
    </x:row>
    <x:row r="21">
      <x:c r="A21" s="90" t="n">
        <x:v>17</x:v>
      </x:c>
      <x:c r="B21" s="179" t="str">
        <x:v>Зелёный</x:v>
      </x:c>
      <x:c r="C21" s="179" t="str">
        <x:v>Зелёное магическое свечение</x:v>
      </x:c>
      <x:c r="D21" s="89" t="str">
        <x:v>OSL</x:v>
      </x:c>
      <x:c r="E21" s="89" t="str">
        <x:v>Black Primer</x:v>
      </x:c>
      <x:c r="F21" s="89" t="str">
        <x:v>Incubi Darkness</x:v>
      </x:c>
      <x:c r="G21" s="89" t="str">
        <x:v>—</x:v>
      </x:c>
      <x:c r="H21" s="89" t="str">
        <x:v>Kabalite Green</x:v>
      </x:c>
      <x:c r="I21" s="89" t="str">
        <x:v>Sybarite Green</x:v>
      </x:c>
      <x:c r="J21" s="89" t="str">
        <x:v>Moot Green</x:v>
      </x:c>
      <x:c r="K21" s="89" t="str">
        <x:v>White</x:v>
      </x:c>
      <x:c r="L21" s="89" t="str">
        <x:v>Green Fluorescent на белые зоны</x:v>
      </x:c>
      <x:c r="M21" s="89" t="str">
        <x:v>Satin Varnish</x:v>
      </x:c>
      <x:c r="N21" s="90" t="str">
        <x:v>Высокая</x:v>
      </x:c>
      <x:c r="O21" s="89" t="str">
        <x:v>Каждый следующий слой занимает меньшую площадь.</x:v>
      </x:c>
      <x:c r="P21" s="89" t="str">
        <x:v>Авторская комбинация — тест</x:v>
      </x:c>
      <x:c r="Q21" s="89" t="str">
        <x:v>Цветовая логика корректна, но точный результат зависит от укрывистости и толщины слоёв; рекомендована тестовая ложка/бит.</x:v>
      </x:c>
    </x:row>
    <x:row r="22">
      <x:c r="A22" s="90" t="n">
        <x:v>18</x:v>
      </x:c>
      <x:c r="B22" s="180" t="str">
        <x:v>Синий</x:v>
      </x:c>
      <x:c r="C22" s="180" t="str">
        <x:v>Классическая синяя броня</x:v>
      </x:c>
      <x:c r="D22" s="89" t="str">
        <x:v>Классическая многослойка</x:v>
      </x:c>
      <x:c r="E22" s="89" t="str">
        <x:v>Black Primer</x:v>
      </x:c>
      <x:c r="F22" s="89" t="str">
        <x:v>Caledor Sky</x:v>
      </x:c>
      <x:c r="G22" s="89" t="str">
        <x:v>Drakenhof Nightshade</x:v>
      </x:c>
      <x:c r="H22" s="89" t="str">
        <x:v>Thousand Sons Blue</x:v>
      </x:c>
      <x:c r="I22" s="89" t="str">
        <x:v>Teclis Blue</x:v>
      </x:c>
      <x:c r="J22" s="89" t="str">
        <x:v>Lothern Blue</x:v>
      </x:c>
      <x:c r="K22" s="89" t="str">
        <x:v>Baharroth Blue</x:v>
      </x:c>
      <x:c r="L22" s="89" t="str">
        <x:v>Guilliman Blue очень тонко</x:v>
      </x:c>
      <x:c r="M22" s="89" t="str">
        <x:v>Matt Varnish</x:v>
      </x:c>
      <x:c r="N22" s="90" t="str">
        <x:v>Средняя</x:v>
      </x:c>
      <x:c r="O22" s="89" t="str">
        <x:v>Guilliman Blue использовать только для объединения переходов.</x:v>
      </x:c>
      <x:c r="P22" s="89" t="str">
        <x:v>Проверено — рабочая схема</x:v>
      </x:c>
      <x:c r="Q22" s="89" t="str">
        <x:v>Последовательность база → локальная тень → возврат среднего тона → уменьшающиеся высветления соответствует системам производителей.</x:v>
      </x:c>
    </x:row>
    <x:row r="23">
      <x:c r="A23" s="90" t="n">
        <x:v>19</x:v>
      </x:c>
      <x:c r="B23" s="180" t="str">
        <x:v>Синий</x:v>
      </x:c>
      <x:c r="C23" s="180" t="str">
        <x:v>Тёмно-синяя броня</x:v>
      </x:c>
      <x:c r="D23" s="89" t="str">
        <x:v>Классическая многослойка</x:v>
      </x:c>
      <x:c r="E23" s="89" t="str">
        <x:v>Black Primer</x:v>
      </x:c>
      <x:c r="F23" s="89" t="str">
        <x:v>AK Dark Prussian Blue</x:v>
      </x:c>
      <x:c r="G23" s="89" t="str">
        <x:v>Leviadon Blue 1:2 с Contrast Medium только в углубления</x:v>
      </x:c>
      <x:c r="H23" s="89" t="str">
        <x:v>AK Dark Prussian Blue + Caledor Sky 1:1</x:v>
      </x:c>
      <x:c r="I23" s="89" t="str">
        <x:v>Caledor Sky</x:v>
      </x:c>
      <x:c r="J23" s="89" t="str">
        <x:v>Teclis Blue</x:v>
      </x:c>
      <x:c r="K23" s="89" t="str">
        <x:v>Lothern Blue; Baharroth Blue точечно</x:v>
      </x:c>
      <x:c r="L23" s="89" t="str">
        <x:v>Blue Ink 1:10 с Lahmian Medium</x:v>
      </x:c>
      <x:c r="M23" s="89" t="str">
        <x:v>Matt Varnish</x:v>
      </x:c>
      <x:c r="N23" s="90" t="str">
        <x:v>Средняя</x:v>
      </x:c>
      <x:c r="O23" s="89" t="str">
        <x:v>Цепочка сохраняет синий оттенок от тёмной базы до светлого блика без преждевременного ухода в серый.</x:v>
      </x:c>
      <x:c r="P23" s="89" t="str">
        <x:v>Исправлено после аудита</x:v>
      </x:c>
      <x:c r="Q23" s="89" t="str">
        <x:v>Порядок слоёв или материал скорректирован по официальной инструкции/схеме. См. лист «Аудит матрицы».</x:v>
      </x:c>
    </x:row>
    <x:row r="24">
      <x:c r="A24" s="90" t="n">
        <x:v>20</x:v>
      </x:c>
      <x:c r="B24" s="180" t="str">
        <x:v>Синий</x:v>
      </x:c>
      <x:c r="C24" s="180" t="str">
        <x:v>Бирюзовая броня</x:v>
      </x:c>
      <x:c r="D24" s="89" t="str">
        <x:v>Классическая многослойка</x:v>
      </x:c>
      <x:c r="E24" s="89" t="str">
        <x:v>Black Primer</x:v>
      </x:c>
      <x:c r="F24" s="89" t="str">
        <x:v>Stegadon Scale Green</x:v>
      </x:c>
      <x:c r="G24" s="89" t="str">
        <x:v>Coelia Greenshade</x:v>
      </x:c>
      <x:c r="H24" s="89" t="str">
        <x:v>Sotek Green</x:v>
      </x:c>
      <x:c r="I24" s="89" t="str">
        <x:v>Temple Guard Blue</x:v>
      </x:c>
      <x:c r="J24" s="89" t="str">
        <x:v>Baharroth Blue</x:v>
      </x:c>
      <x:c r="K24" s="89" t="str">
        <x:v>White точечно</x:v>
      </x:c>
      <x:c r="L24" s="89" t="str">
        <x:v>Akhelian Green очень тонко</x:v>
      </x:c>
      <x:c r="M24" s="89" t="str">
        <x:v>Matt Varnish</x:v>
      </x:c>
      <x:c r="N24" s="90" t="str">
        <x:v>Средняя</x:v>
      </x:c>
      <x:c r="O24" s="89" t="str">
        <x:v>Akhelian Green не должен перекрывать крайние блики.</x:v>
      </x:c>
      <x:c r="P24" s="89" t="str">
        <x:v>Проверено — рабочая схема</x:v>
      </x:c>
      <x:c r="Q24" s="89" t="str">
        <x:v>Последовательность база → локальная тень → возврат среднего тона → уменьшающиеся высветления соответствует системам производителей.</x:v>
      </x:c>
    </x:row>
    <x:row r="25">
      <x:c r="A25" s="90" t="n">
        <x:v>21</x:v>
      </x:c>
      <x:c r="B25" s="180" t="str">
        <x:v>Синий</x:v>
      </x:c>
      <x:c r="C25" s="180" t="str">
        <x:v>Быстрый яркий синий</x:v>
      </x:c>
      <x:c r="D25" s="89" t="str">
        <x:v>Contrast + слои</x:v>
      </x:c>
      <x:c r="E25" s="89" t="str">
        <x:v>Grey Seer</x:v>
      </x:c>
      <x:c r="F25" s="89" t="str">
        <x:v>Talassar Blue</x:v>
      </x:c>
      <x:c r="G25" s="89" t="str">
        <x:v>Drakenhof Nightshade локально</x:v>
      </x:c>
      <x:c r="H25" s="89" t="str">
        <x:v>Teclis Blue</x:v>
      </x:c>
      <x:c r="I25" s="89" t="str">
        <x:v>Lothern Blue</x:v>
      </x:c>
      <x:c r="J25" s="89" t="str">
        <x:v>Baharroth Blue</x:v>
      </x:c>
      <x:c r="K25" s="89" t="str">
        <x:v>White</x:v>
      </x:c>
      <x:c r="L25" s="89" t="str">
        <x:v>Blue Ink 1:10 с Lahmian Medium</x:v>
      </x:c>
      <x:c r="M25" s="89" t="str">
        <x:v>Matt Varnish</x:v>
      </x:c>
      <x:c r="N25" s="90" t="str">
        <x:v>Низкая</x:v>
      </x:c>
      <x:c r="O25" s="89" t="str">
        <x:v>На крупных плоскостях Contrast наносить секциями.</x:v>
      </x:c>
      <x:c r="P25" s="89" t="str">
        <x:v>Проверено — рабочая схема</x:v>
      </x:c>
      <x:c r="Q25" s="89" t="str">
        <x:v>Последовательность база → локальная тень → возврат среднего тона → уменьшающиеся высветления соответствует системам производителей.</x:v>
      </x:c>
    </x:row>
    <x:row r="26">
      <x:c r="A26" s="90" t="n">
        <x:v>22</x:v>
      </x:c>
      <x:c r="B26" s="180" t="str">
        <x:v>Синий</x:v>
      </x:c>
      <x:c r="C26" s="180" t="str">
        <x:v>Приглушённый ледяной синий</x:v>
      </x:c>
      <x:c r="D26" s="89" t="str">
        <x:v>Холодная многослойка</x:v>
      </x:c>
      <x:c r="E26" s="89" t="str">
        <x:v>Grey Seer</x:v>
      </x:c>
      <x:c r="F26" s="89" t="str">
        <x:v>The Fang</x:v>
      </x:c>
      <x:c r="G26" s="89" t="str">
        <x:v>Space Wolves Grey</x:v>
      </x:c>
      <x:c r="H26" s="89" t="str">
        <x:v>Fenrisian Grey</x:v>
      </x:c>
      <x:c r="I26" s="89" t="str">
        <x:v>Ulthuan Grey</x:v>
      </x:c>
      <x:c r="J26" s="89" t="str">
        <x:v>White Grey</x:v>
      </x:c>
      <x:c r="K26" s="89" t="str">
        <x:v>White</x:v>
      </x:c>
      <x:c r="L26" s="89" t="str">
        <x:v>Серая Пейна по глянцевому лаку</x:v>
      </x:c>
      <x:c r="M26" s="89" t="str">
        <x:v>Matt Varnish</x:v>
      </x:c>
      <x:c r="N26" s="90" t="str">
        <x:v>Средняя</x:v>
      </x:c>
      <x:c r="O26" s="89" t="str">
        <x:v>Масло даёт холодную глубину без синей перенасыщенности.</x:v>
      </x:c>
      <x:c r="P26" s="89" t="str">
        <x:v>Авторская комбинация — тест</x:v>
      </x:c>
      <x:c r="Q26" s="89" t="str">
        <x:v>Цветовая логика корректна, но точный результат зависит от укрывистости и толщины слоёв; рекомендована тестовая ложка/бит.</x:v>
      </x:c>
    </x:row>
    <x:row r="27">
      <x:c r="A27" s="90" t="n">
        <x:v>23</x:v>
      </x:c>
      <x:c r="B27" s="180" t="str">
        <x:v>Синий</x:v>
      </x:c>
      <x:c r="C27" s="180" t="str">
        <x:v>Синяя плазма</x:v>
      </x:c>
      <x:c r="D27" s="89" t="str">
        <x:v>OSL</x:v>
      </x:c>
      <x:c r="E27" s="89" t="str">
        <x:v>White Primer или White подложка</x:v>
      </x:c>
      <x:c r="F27" s="89" t="str">
        <x:v>Caledor Sky</x:v>
      </x:c>
      <x:c r="G27" s="89" t="str">
        <x:v>—</x:v>
      </x:c>
      <x:c r="H27" s="89" t="str">
        <x:v>Teclis Blue</x:v>
      </x:c>
      <x:c r="I27" s="89" t="str">
        <x:v>Lothern Blue</x:v>
      </x:c>
      <x:c r="J27" s="89" t="str">
        <x:v>Baharroth Blue</x:v>
      </x:c>
      <x:c r="K27" s="89" t="str">
        <x:v>White</x:v>
      </x:c>
      <x:c r="L27" s="89" t="str">
        <x:v>Talassar Blue по периферии</x:v>
      </x:c>
      <x:c r="M27" s="89" t="str">
        <x:v>Satin Varnish</x:v>
      </x:c>
      <x:c r="N27" s="90" t="str">
        <x:v>Высокая</x:v>
      </x:c>
      <x:c r="O27" s="89" t="str">
        <x:v>Центр светлее краёв; окружающее OSL делать очень разбавленным.</x:v>
      </x:c>
      <x:c r="P27" s="89" t="str">
        <x:v>Проверено по свойствам материала</x:v>
      </x:c>
      <x:c r="Q27" s="89" t="str">
        <x:v>Совместимость и порядок нанесения подтверждены назначением Contrast/Shade/Technical/Vallejo Medium/масляных материалов.</x:v>
      </x:c>
    </x:row>
    <x:row r="28">
      <x:c r="A28" s="90" t="n">
        <x:v>24</x:v>
      </x:c>
      <x:c r="B28" s="180" t="str">
        <x:v>Синий</x:v>
      </x:c>
      <x:c r="C28" s="180" t="str">
        <x:v>Синий драгоценный камень</x:v>
      </x:c>
      <x:c r="D28" s="89" t="str">
        <x:v>Прозрачный эффект по металлу</x:v>
      </x:c>
      <x:c r="E28" s="89" t="str">
        <x:v>Runefang Steel или Vallejo Silver</x:v>
      </x:c>
      <x:c r="F28" s="89" t="str">
        <x:v>Black Templar 1:2 с Contrast Medium на нижнюю треть</x:v>
      </x:c>
      <x:c r="G28" s="89" t="str">
        <x:v>Soulstone Blue по всей поверхности</x:v>
      </x:c>
      <x:c r="H28" s="89" t="str">
        <x:v>Soulstone Blue вторым тонким слоем</x:v>
      </x:c>
      <x:c r="I28" s="89" t="str">
        <x:v>Runefang Steel маленькой дугой</x:v>
      </x:c>
      <x:c r="J28" s="89" t="str">
        <x:v>Vallejo Silver меньшей дугой</x:v>
      </x:c>
      <x:c r="K28" s="89" t="str">
        <x:v>White точкой</x:v>
      </x:c>
      <x:c r="L28" s="89" t="str">
        <x:v>Gloss Varnish</x:v>
      </x:c>
      <x:c r="M28" s="89" t="str">
        <x:v>Gloss Varnish</x:v>
      </x:c>
      <x:c r="N28" s="90" t="str">
        <x:v>Низкая</x:v>
      </x:c>
      <x:c r="O28" s="89" t="str">
        <x:v>Тёмную зону формировать под прозрачным Technical, а белую точку располагать напротив самой тёмной области.</x:v>
      </x:c>
      <x:c r="P28" s="89" t="str">
        <x:v>Исправлено после аудита</x:v>
      </x:c>
      <x:c r="Q28" s="89" t="str">
        <x:v>Порядок слоёв или материал скорректирован по официальной инструкции/схеме. См. лист «Аудит матрицы».</x:v>
      </x:c>
    </x:row>
    <x:row r="29">
      <x:c r="A29" s="90" t="n">
        <x:v>25</x:v>
      </x:c>
      <x:c r="B29" s="181" t="str">
        <x:v>Фиолетовый и розовый</x:v>
      </x:c>
      <x:c r="C29" s="181" t="str">
        <x:v>Королевский фиолетовый</x:v>
      </x:c>
      <x:c r="D29" s="89" t="str">
        <x:v>Классическая многослойка</x:v>
      </x:c>
      <x:c r="E29" s="89" t="str">
        <x:v>Black Primer</x:v>
      </x:c>
      <x:c r="F29" s="89" t="str">
        <x:v>Naggaroth Night</x:v>
      </x:c>
      <x:c r="G29" s="89" t="str">
        <x:v>Druchii Violet; Shyish Purple только в самых глубоких тенях</x:v>
      </x:c>
      <x:c r="H29" s="89" t="str">
        <x:v>Xereus Purple</x:v>
      </x:c>
      <x:c r="I29" s="89" t="str">
        <x:v>Genestealer Purple</x:v>
      </x:c>
      <x:c r="J29" s="89" t="str">
        <x:v>Warpfiend Grey</x:v>
      </x:c>
      <x:c r="K29" s="89" t="str">
        <x:v>Slaanesh Grey точечно</x:v>
      </x:c>
      <x:c r="L29" s="89" t="str">
        <x:v>Violet Ink 1:10 с Lahmian Medium при необходимости</x:v>
      </x:c>
      <x:c r="M29" s="89" t="str">
        <x:v>Matt Varnish</x:v>
      </x:c>
      <x:c r="N29" s="90" t="str">
        <x:v>Средняя</x:v>
      </x:c>
      <x:c r="O29" s="89" t="str">
        <x:v>Исправлено по официальной схеме: Naggaroth Night → Druchii/Shyish → Xereus → Genestealer → серо-фиолетовый точечный блик.</x:v>
      </x:c>
      <x:c r="P29" s="89" t="str">
        <x:v>Исправлено после аудита</x:v>
      </x:c>
      <x:c r="Q29" s="89" t="str">
        <x:v>Порядок слоёв или материал скорректирован по официальной инструкции/схеме. См. лист «Аудит матрицы».</x:v>
      </x:c>
    </x:row>
    <x:row r="30">
      <x:c r="A30" s="90" t="n">
        <x:v>26</x:v>
      </x:c>
      <x:c r="B30" s="181" t="str">
        <x:v>Фиолетовый и розовый</x:v>
      </x:c>
      <x:c r="C30" s="181" t="str">
        <x:v>Тёплый пурпур</x:v>
      </x:c>
      <x:c r="D30" s="89" t="str">
        <x:v>Contrast + слои</x:v>
      </x:c>
      <x:c r="E30" s="89" t="str">
        <x:v>Grey Seer</x:v>
      </x:c>
      <x:c r="F30" s="89" t="str">
        <x:v>Luxion Purple</x:v>
      </x:c>
      <x:c r="G30" s="89" t="str">
        <x:v>Leviathan Purple в тени</x:v>
      </x:c>
      <x:c r="H30" s="89" t="str">
        <x:v>AK Purple</x:v>
      </x:c>
      <x:c r="I30" s="89" t="str">
        <x:v>Genestealer Purple</x:v>
      </x:c>
      <x:c r="J30" s="89" t="str">
        <x:v>Pink Horror</x:v>
      </x:c>
      <x:c r="K30" s="89" t="str">
        <x:v>Fulgrim Pink точечно</x:v>
      </x:c>
      <x:c r="L30" s="89" t="str">
        <x:v>Doomfire Magenta очень тонко</x:v>
      </x:c>
      <x:c r="M30" s="89" t="str">
        <x:v>Matt Varnish</x:v>
      </x:c>
      <x:c r="N30" s="90" t="str">
        <x:v>Средняя</x:v>
      </x:c>
      <x:c r="O30" s="89" t="str">
        <x:v>Doomfire Magenta усиливает насыщенность средних тонов.</x:v>
      </x:c>
      <x:c r="P30" s="89" t="str">
        <x:v>Авторская комбинация — тест</x:v>
      </x:c>
      <x:c r="Q30" s="89" t="str">
        <x:v>Цветовая логика корректна, но точный результат зависит от укрывистости и толщины слоёв; рекомендована тестовая ложка/бит.</x:v>
      </x:c>
    </x:row>
    <x:row r="31">
      <x:c r="A31" s="90" t="n">
        <x:v>27</x:v>
      </x:c>
      <x:c r="B31" s="181" t="str">
        <x:v>Фиолетовый и розовый</x:v>
      </x:c>
      <x:c r="C31" s="181" t="str">
        <x:v>Серо-лиловая ткань</x:v>
      </x:c>
      <x:c r="D31" s="89" t="str">
        <x:v>Приглушённая многослойка</x:v>
      </x:c>
      <x:c r="E31" s="89" t="str">
        <x:v>Grey Seer</x:v>
      </x:c>
      <x:c r="F31" s="89" t="str">
        <x:v>Daemonette Hide</x:v>
      </x:c>
      <x:c r="G31" s="89" t="str">
        <x:v>Dreadful Visage</x:v>
      </x:c>
      <x:c r="H31" s="89" t="str">
        <x:v>Warpfiend Grey</x:v>
      </x:c>
      <x:c r="I31" s="89" t="str">
        <x:v>Slaanesh Grey</x:v>
      </x:c>
      <x:c r="J31" s="89" t="str">
        <x:v>Pallid Wych Flesh + Slaanesh Grey 1:1</x:v>
      </x:c>
      <x:c r="K31" s="89" t="str">
        <x:v>Pallid Wych Flesh</x:v>
      </x:c>
      <x:c r="L31" s="89" t="str">
        <x:v>Druchii Violet очень тонко</x:v>
      </x:c>
      <x:c r="M31" s="89" t="str">
        <x:v>Matt Varnish</x:v>
      </x:c>
      <x:c r="N31" s="90" t="str">
        <x:v>Средняя</x:v>
      </x:c>
      <x:c r="O31" s="89" t="str">
        <x:v>Подходит для теней, мистической ткани и бледной кожи.</x:v>
      </x:c>
      <x:c r="P31" s="89" t="str">
        <x:v>Авторская комбинация — тест</x:v>
      </x:c>
      <x:c r="Q31" s="89" t="str">
        <x:v>Цветовая логика корректна, но точный результат зависит от укрывистости и толщины слоёв; рекомендована тестовая ложка/бит.</x:v>
      </x:c>
    </x:row>
    <x:row r="32">
      <x:c r="A32" s="90" t="n">
        <x:v>28</x:v>
      </x:c>
      <x:c r="B32" s="181" t="str">
        <x:v>Фиолетовый и розовый</x:v>
      </x:c>
      <x:c r="C32" s="181" t="str">
        <x:v>Яркий розовый</x:v>
      </x:c>
      <x:c r="D32" s="89" t="str">
        <x:v>Классическая многослойка</x:v>
      </x:c>
      <x:c r="E32" s="89" t="str">
        <x:v>Grey Seer</x:v>
      </x:c>
      <x:c r="F32" s="89" t="str">
        <x:v>Barak-Nar Burgundy</x:v>
      </x:c>
      <x:c r="G32" s="89" t="str">
        <x:v>Volupus Pink 1:1 с Contrast Medium</x:v>
      </x:c>
      <x:c r="H32" s="89" t="str">
        <x:v>Pink Horror</x:v>
      </x:c>
      <x:c r="I32" s="89" t="str">
        <x:v>Emperor's Children</x:v>
      </x:c>
      <x:c r="J32" s="89" t="str">
        <x:v>Fulgrim Pink</x:v>
      </x:c>
      <x:c r="K32" s="89" t="str">
        <x:v>White точечно</x:v>
      </x:c>
      <x:c r="L32" s="89" t="str">
        <x:v>Magenta Fluorescent</x:v>
      </x:c>
      <x:c r="M32" s="89" t="str">
        <x:v>Satin Varnish</x:v>
      </x:c>
      <x:c r="N32" s="90" t="str">
        <x:v>Средняя</x:v>
      </x:c>
      <x:c r="O32" s="89" t="str">
        <x:v>Флуоресцент использовать только поверх Fulgrim Pink/White.</x:v>
      </x:c>
      <x:c r="P32" s="89" t="str">
        <x:v>Проверено — рабочая схема</x:v>
      </x:c>
      <x:c r="Q32" s="89" t="str">
        <x:v>Последовательность база → локальная тень → возврат среднего тона → уменьшающиеся высветления соответствует системам производителей.</x:v>
      </x:c>
    </x:row>
    <x:row r="33">
      <x:c r="A33" s="90" t="n">
        <x:v>29</x:v>
      </x:c>
      <x:c r="B33" s="181" t="str">
        <x:v>Фиолетовый и розовый</x:v>
      </x:c>
      <x:c r="C33" s="181" t="str">
        <x:v>Болезненный розовый</x:v>
      </x:c>
      <x:c r="D33" s="89" t="str">
        <x:v>Мягкие слои</x:v>
      </x:c>
      <x:c r="E33" s="89" t="str">
        <x:v>Grey Seer</x:v>
      </x:c>
      <x:c r="F33" s="89" t="str">
        <x:v>AK Brown Rose</x:v>
      </x:c>
      <x:c r="G33" s="89" t="str">
        <x:v>Dreadful Visage очень тонко</x:v>
      </x:c>
      <x:c r="H33" s="89" t="str">
        <x:v>AK Sickly Pink</x:v>
      </x:c>
      <x:c r="I33" s="89" t="str">
        <x:v>Vallejo Pale Flesh</x:v>
      </x:c>
      <x:c r="J33" s="89" t="str">
        <x:v>Fulgrim Pink + Pale Flesh 1:1</x:v>
      </x:c>
      <x:c r="K33" s="89" t="str">
        <x:v>White точечно</x:v>
      </x:c>
      <x:c r="L33" s="89" t="str">
        <x:v>Magos Purple очень тонко в тени</x:v>
      </x:c>
      <x:c r="M33" s="89" t="str">
        <x:v>Matt Varnish</x:v>
      </x:c>
      <x:c r="N33" s="90" t="str">
        <x:v>Средняя</x:v>
      </x:c>
      <x:c r="O33" s="89" t="str">
        <x:v>Хорошо работает для мутантов и демонической кожи.</x:v>
      </x:c>
      <x:c r="P33" s="89" t="str">
        <x:v>Авторская комбинация — тест</x:v>
      </x:c>
      <x:c r="Q33" s="89" t="str">
        <x:v>Цветовая логика корректна, но точный результат зависит от укрывистости и толщины слоёв; рекомендована тестовая ложка/бит.</x:v>
      </x:c>
    </x:row>
    <x:row r="34">
      <x:c r="A34" s="90" t="n">
        <x:v>30</x:v>
      </x:c>
      <x:c r="B34" s="181" t="str">
        <x:v>Фиолетовый и розовый</x:v>
      </x:c>
      <x:c r="C34" s="181" t="str">
        <x:v>Фиолетовое свечение</x:v>
      </x:c>
      <x:c r="D34" s="89" t="str">
        <x:v>OSL</x:v>
      </x:c>
      <x:c r="E34" s="89" t="str">
        <x:v>White подложка</x:v>
      </x:c>
      <x:c r="F34" s="89" t="str">
        <x:v>Leviathan Purple</x:v>
      </x:c>
      <x:c r="G34" s="89" t="str">
        <x:v>—</x:v>
      </x:c>
      <x:c r="H34" s="89" t="str">
        <x:v>AK Purple</x:v>
      </x:c>
      <x:c r="I34" s="89" t="str">
        <x:v>Genestealer Purple</x:v>
      </x:c>
      <x:c r="J34" s="89" t="str">
        <x:v>Fulgrim Pink</x:v>
      </x:c>
      <x:c r="K34" s="89" t="str">
        <x:v>White</x:v>
      </x:c>
      <x:c r="L34" s="89" t="str">
        <x:v>Violet Ink по периферии</x:v>
      </x:c>
      <x:c r="M34" s="89" t="str">
        <x:v>Satin Varnish</x:v>
      </x:c>
      <x:c r="N34" s="90" t="str">
        <x:v>Высокая</x:v>
      </x:c>
      <x:c r="O34" s="89" t="str">
        <x:v>Самый светлый центр должен быть почти белым.</x:v>
      </x:c>
      <x:c r="P34" s="89" t="str">
        <x:v>Проверено по свойствам материала</x:v>
      </x:c>
      <x:c r="Q34" s="89" t="str">
        <x:v>Совместимость и порядок нанесения подтверждены назначением Contrast/Shade/Technical/Vallejo Medium/масляных материалов.</x:v>
      </x:c>
    </x:row>
    <x:row r="35">
      <x:c r="A35" s="90" t="n">
        <x:v>31</x:v>
      </x:c>
      <x:c r="B35" s="182" t="str">
        <x:v>Телесный</x:v>
      </x:c>
      <x:c r="C35" s="182" t="str">
        <x:v>Тёплая человеческая кожа</x:v>
      </x:c>
      <x:c r="D35" s="89" t="str">
        <x:v>Классическая многослойка</x:v>
      </x:c>
      <x:c r="E35" s="89" t="str">
        <x:v>Grey Seer</x:v>
      </x:c>
      <x:c r="F35" s="89" t="str">
        <x:v>Bugman's Glow</x:v>
      </x:c>
      <x:c r="G35" s="89" t="str">
        <x:v>Reikland Fleshshade</x:v>
      </x:c>
      <x:c r="H35" s="89" t="str">
        <x:v>Cadian Fleshtone</x:v>
      </x:c>
      <x:c r="I35" s="89" t="str">
        <x:v>Knight-Questor Flesh</x:v>
      </x:c>
      <x:c r="J35" s="89" t="str">
        <x:v>Flayed One Flesh</x:v>
      </x:c>
      <x:c r="K35" s="89" t="str">
        <x:v>Pallid Wych Flesh точечно</x:v>
      </x:c>
      <x:c r="L35" s="89" t="str">
        <x:v>Guilliman Flesh 1:8 с Contrast Medium</x:v>
      </x:c>
      <x:c r="M35" s="89" t="str">
        <x:v>Matt Varnish</x:v>
      </x:c>
      <x:c r="N35" s="90" t="str">
        <x:v>Средняя</x:v>
      </x:c>
      <x:c r="O35" s="89" t="str">
        <x:v>Лессировка Guilliman Flesh возвращает естественную насыщенность.</x:v>
      </x:c>
      <x:c r="P35" s="89" t="str">
        <x:v>Проверено — рабочая схема</x:v>
      </x:c>
      <x:c r="Q35" s="89" t="str">
        <x:v>Последовательность база → локальная тень → возврат среднего тона → уменьшающиеся высветления соответствует системам производителей.</x:v>
      </x:c>
    </x:row>
    <x:row r="36">
      <x:c r="A36" s="90" t="n">
        <x:v>32</x:v>
      </x:c>
      <x:c r="B36" s="182" t="str">
        <x:v>Телесный</x:v>
      </x:c>
      <x:c r="C36" s="182" t="str">
        <x:v>Бледная кожа</x:v>
      </x:c>
      <x:c r="D36" s="89" t="str">
        <x:v>Классическая многослойка</x:v>
      </x:c>
      <x:c r="E36" s="89" t="str">
        <x:v>Grey Seer</x:v>
      </x:c>
      <x:c r="F36" s="89" t="str">
        <x:v>Rakarth Flesh</x:v>
      </x:c>
      <x:c r="G36" s="89" t="str">
        <x:v>Dreadful Visage или Soulblight Grey</x:v>
      </x:c>
      <x:c r="H36" s="89" t="str">
        <x:v>AK Brown Rose</x:v>
      </x:c>
      <x:c r="I36" s="89" t="str">
        <x:v>Vallejo Pale Flesh</x:v>
      </x:c>
      <x:c r="J36" s="89" t="str">
        <x:v>Pallid Wych Flesh</x:v>
      </x:c>
      <x:c r="K36" s="89" t="str">
        <x:v>White точечно</x:v>
      </x:c>
      <x:c r="L36" s="89" t="str">
        <x:v>Magos Purple очень тонко у глаз</x:v>
      </x:c>
      <x:c r="M36" s="89" t="str">
        <x:v>Matt Varnish</x:v>
      </x:c>
      <x:c r="N36" s="90" t="str">
        <x:v>Средняя</x:v>
      </x:c>
      <x:c r="O36" s="89" t="str">
        <x:v>Фиолетовая тень делает кожу живой, но не должна окрашивать всю поверхность.</x:v>
      </x:c>
      <x:c r="P36" s="89" t="str">
        <x:v>Проверено — рабочая схема</x:v>
      </x:c>
      <x:c r="Q36" s="89" t="str">
        <x:v>Последовательность база → локальная тень → возврат среднего тона → уменьшающиеся высветления соответствует системам производителей.</x:v>
      </x:c>
    </x:row>
    <x:row r="37">
      <x:c r="A37" s="90" t="n">
        <x:v>33</x:v>
      </x:c>
      <x:c r="B37" s="182" t="str">
        <x:v>Телесный</x:v>
      </x:c>
      <x:c r="C37" s="182" t="str">
        <x:v>Быстрая обычная кожа</x:v>
      </x:c>
      <x:c r="D37" s="89" t="str">
        <x:v>Contrast + слои</x:v>
      </x:c>
      <x:c r="E37" s="89" t="str">
        <x:v>Wraithbone</x:v>
      </x:c>
      <x:c r="F37" s="89" t="str">
        <x:v>Guilliman Flesh</x:v>
      </x:c>
      <x:c r="G37" s="89" t="str">
        <x:v>Reikland Fleshshade локально</x:v>
      </x:c>
      <x:c r="H37" s="89" t="str">
        <x:v>Cadian Fleshtone</x:v>
      </x:c>
      <x:c r="I37" s="89" t="str">
        <x:v>Flayed One Flesh</x:v>
      </x:c>
      <x:c r="J37" s="89" t="str">
        <x:v>Pallid Wych Flesh</x:v>
      </x:c>
      <x:c r="K37" s="89" t="str">
        <x:v>—</x:v>
      </x:c>
      <x:c r="L37" s="89" t="str">
        <x:v>Guilliman Flesh 1:10 с Contrast Medium</x:v>
      </x:c>
      <x:c r="M37" s="89" t="str">
        <x:v>Matt Varnish</x:v>
      </x:c>
      <x:c r="N37" s="90" t="str">
        <x:v>Низкая</x:v>
      </x:c>
      <x:c r="O37" s="89" t="str">
        <x:v>На лицах с большой площадью наносить Contrast без повторных проходов.</x:v>
      </x:c>
      <x:c r="P37" s="89" t="str">
        <x:v>Проверено — рабочая схема</x:v>
      </x:c>
      <x:c r="Q37" s="89" t="str">
        <x:v>Последовательность база → локальная тень → возврат среднего тона → уменьшающиеся высветления соответствует системам производителей.</x:v>
      </x:c>
    </x:row>
    <x:row r="38">
      <x:c r="A38" s="90" t="n">
        <x:v>34</x:v>
      </x:c>
      <x:c r="B38" s="182" t="str">
        <x:v>Телесный</x:v>
      </x:c>
      <x:c r="C38" s="182" t="str">
        <x:v>Смуглая кожа</x:v>
      </x:c>
      <x:c r="D38" s="89" t="str">
        <x:v>Смешанная многослойка</x:v>
      </x:c>
      <x:c r="E38" s="89" t="str">
        <x:v>Grey Seer</x:v>
      </x:c>
      <x:c r="F38" s="89" t="str">
        <x:v>Dryad Bark + Bugman's Glow 1:1</x:v>
      </x:c>
      <x:c r="G38" s="89" t="str">
        <x:v>Darkoath Flesh</x:v>
      </x:c>
      <x:c r="H38" s="89" t="str">
        <x:v>Bugman's Glow</x:v>
      </x:c>
      <x:c r="I38" s="89" t="str">
        <x:v>Cadian Fleshtone</x:v>
      </x:c>
      <x:c r="J38" s="89" t="str">
        <x:v>Flayed One Flesh</x:v>
      </x:c>
      <x:c r="K38" s="89" t="str">
        <x:v>Pale Sand точечно</x:v>
      </x:c>
      <x:c r="L38" s="89" t="str">
        <x:v>Умбра жжёная по лаку</x:v>
      </x:c>
      <x:c r="M38" s="89" t="str">
        <x:v>Matt Varnish</x:v>
      </x:c>
      <x:c r="N38" s="90" t="str">
        <x:v>Высокая</x:v>
      </x:c>
      <x:c r="O38" s="89" t="str">
        <x:v>Переходы удобно делать смесями соседних этапов 1:1.</x:v>
      </x:c>
      <x:c r="P38" s="89" t="str">
        <x:v>Авторская комбинация — тест</x:v>
      </x:c>
      <x:c r="Q38" s="89" t="str">
        <x:v>Цветовая логика корректна, но точный результат зависит от укрывистости и толщины слоёв; рекомендована тестовая ложка/бит.</x:v>
      </x:c>
    </x:row>
    <x:row r="39">
      <x:c r="A39" s="90" t="n">
        <x:v>35</x:v>
      </x:c>
      <x:c r="B39" s="182" t="str">
        <x:v>Телесный</x:v>
      </x:c>
      <x:c r="C39" s="182" t="str">
        <x:v>Обветренная кожа</x:v>
      </x:c>
      <x:c r="D39" s="89" t="str">
        <x:v>Гримдарк</x:v>
      </x:c>
      <x:c r="E39" s="89" t="str">
        <x:v>Grey Seer</x:v>
      </x:c>
      <x:c r="F39" s="89" t="str">
        <x:v>Heavy Skintone</x:v>
      </x:c>
      <x:c r="G39" s="89" t="str">
        <x:v>Reikland Fleshshade + Agrax Earthshade 1:1</x:v>
      </x:c>
      <x:c r="H39" s="89" t="str">
        <x:v>Cadian Fleshtone</x:v>
      </x:c>
      <x:c r="I39" s="89" t="str">
        <x:v>Flayed One Flesh</x:v>
      </x:c>
      <x:c r="J39" s="89" t="str">
        <x:v>Pale Sand</x:v>
      </x:c>
      <x:c r="K39" s="89" t="str">
        <x:v>Pallid Wych Flesh точечно</x:v>
      </x:c>
      <x:c r="L39" s="89" t="str">
        <x:v>Умбра жжёная точечно после Gloss Varnish</x:v>
      </x:c>
      <x:c r="M39" s="89" t="str">
        <x:v>Matt Varnish</x:v>
      </x:c>
      <x:c r="N39" s="90" t="str">
        <x:v>Высокая</x:v>
      </x:c>
      <x:c r="O39" s="89" t="str">
        <x:v>Красно-коричневые тени оставлять вокруг носа, глаз и складок.</x:v>
      </x:c>
      <x:c r="P39" s="89" t="str">
        <x:v>Авторская комбинация — тест</x:v>
      </x:c>
      <x:c r="Q39" s="89" t="str">
        <x:v>Цветовая логика корректна, но точный результат зависит от укрывистости и толщины слоёв; рекомендована тестовая ложка/бит.</x:v>
      </x:c>
    </x:row>
    <x:row r="40">
      <x:c r="A40" s="90" t="n">
        <x:v>36</x:v>
      </x:c>
      <x:c r="B40" s="182" t="str">
        <x:v>Телесный</x:v>
      </x:c>
      <x:c r="C40" s="182" t="str">
        <x:v>Мертвенная кожа</x:v>
      </x:c>
      <x:c r="D40" s="89" t="str">
        <x:v>Холодная многослойка</x:v>
      </x:c>
      <x:c r="E40" s="89" t="str">
        <x:v>Grey Seer</x:v>
      </x:c>
      <x:c r="F40" s="89" t="str">
        <x:v>Rakarth Flesh</x:v>
      </x:c>
      <x:c r="G40" s="89" t="str">
        <x:v>Dreadful Visage</x:v>
      </x:c>
      <x:c r="H40" s="89" t="str">
        <x:v>Deepkin Flesh</x:v>
      </x:c>
      <x:c r="I40" s="89" t="str">
        <x:v>Pallid Wych Flesh</x:v>
      </x:c>
      <x:c r="J40" s="89" t="str">
        <x:v>White Grey</x:v>
      </x:c>
      <x:c r="K40" s="89" t="str">
        <x:v>White</x:v>
      </x:c>
      <x:c r="L40" s="89" t="str">
        <x:v>Серая Пейна по лаку</x:v>
      </x:c>
      <x:c r="M40" s="89" t="str">
        <x:v>Matt Varnish</x:v>
      </x:c>
      <x:c r="N40" s="90" t="str">
        <x:v>Средняя</x:v>
      </x:c>
      <x:c r="O40" s="89" t="str">
        <x:v>Тонкая масляная тень особенно хорошо работает вокруг глаз и рта.</x:v>
      </x:c>
      <x:c r="P40" s="89" t="str">
        <x:v>Авторская комбинация — тест</x:v>
      </x:c>
      <x:c r="Q40" s="89" t="str">
        <x:v>Цветовая логика корректна, но точный результат зависит от укрывистости и толщины слоёв; рекомендована тестовая ложка/бит.</x:v>
      </x:c>
    </x:row>
    <x:row r="41">
      <x:c r="A41" s="90" t="n">
        <x:v>37</x:v>
      </x:c>
      <x:c r="B41" s="182" t="str">
        <x:v>Телесный</x:v>
      </x:c>
      <x:c r="C41" s="182" t="str">
        <x:v>Красная демоническая кожа</x:v>
      </x:c>
      <x:c r="D41" s="89" t="str">
        <x:v>Классическая многослойка</x:v>
      </x:c>
      <x:c r="E41" s="89" t="str">
        <x:v>Black Primer</x:v>
      </x:c>
      <x:c r="F41" s="89" t="str">
        <x:v>Gal Vorbak Red</x:v>
      </x:c>
      <x:c r="G41" s="89" t="str">
        <x:v>Berserker Bloodshade</x:v>
      </x:c>
      <x:c r="H41" s="89" t="str">
        <x:v>Word Bearers Red</x:v>
      </x:c>
      <x:c r="I41" s="89" t="str">
        <x:v>Wazdakka Red</x:v>
      </x:c>
      <x:c r="J41" s="89" t="str">
        <x:v>Pink Horror</x:v>
      </x:c>
      <x:c r="K41" s="89" t="str">
        <x:v>Fulgrim Pink точечно</x:v>
      </x:c>
      <x:c r="L41" s="89" t="str">
        <x:v>Flesh Tearers Red очень тонко</x:v>
      </x:c>
      <x:c r="M41" s="89" t="str">
        <x:v>Matt Varnish</x:v>
      </x:c>
      <x:c r="N41" s="90" t="str">
        <x:v>Средняя</x:v>
      </x:c>
      <x:c r="O41" s="89" t="str">
        <x:v>Для более горячего результата заменить финал на Fire Dragon Bright.</x:v>
      </x:c>
      <x:c r="P41" s="89" t="str">
        <x:v>Проверено — рабочая схема</x:v>
      </x:c>
      <x:c r="Q41" s="89" t="str">
        <x:v>Последовательность база → локальная тень → возврат среднего тона → уменьшающиеся высветления соответствует системам производителей.</x:v>
      </x:c>
    </x:row>
    <x:row r="42">
      <x:c r="A42" s="90" t="n">
        <x:v>38</x:v>
      </x:c>
      <x:c r="B42" s="183" t="str">
        <x:v>Коричневый и кожа</x:v>
      </x:c>
      <x:c r="C42" s="183" t="str">
        <x:v>Тёмная кожа</x:v>
      </x:c>
      <x:c r="D42" s="89" t="str">
        <x:v>Классическая многослойка</x:v>
      </x:c>
      <x:c r="E42" s="89" t="str">
        <x:v>Black Primer</x:v>
      </x:c>
      <x:c r="F42" s="89" t="str">
        <x:v>Dryad Bark</x:v>
      </x:c>
      <x:c r="G42" s="89" t="str">
        <x:v>Agrax Earthshade</x:v>
      </x:c>
      <x:c r="H42" s="89" t="str">
        <x:v>Gorthor Brown</x:v>
      </x:c>
      <x:c r="I42" s="89" t="str">
        <x:v>Baneblade Brown</x:v>
      </x:c>
      <x:c r="J42" s="89" t="str">
        <x:v>Karak Stone</x:v>
      </x:c>
      <x:c r="K42" s="89" t="str">
        <x:v>Pale Sand точечно</x:v>
      </x:c>
      <x:c r="L42" s="89" t="str">
        <x:v>Wyldwood очень тонко</x:v>
      </x:c>
      <x:c r="M42" s="89" t="str">
        <x:v>Matt Varnish</x:v>
      </x:c>
      <x:c r="N42" s="90" t="str">
        <x:v>Средняя</x:v>
      </x:c>
      <x:c r="O42" s="89" t="str">
        <x:v>Края высветлять прерывисто, имитируя потёртости.</x:v>
      </x:c>
      <x:c r="P42" s="89" t="str">
        <x:v>Проверено — рабочая схема</x:v>
      </x:c>
      <x:c r="Q42" s="89" t="str">
        <x:v>Последовательность база → локальная тень → возврат среднего тона → уменьшающиеся высветления соответствует системам производителей.</x:v>
      </x:c>
    </x:row>
    <x:row r="43">
      <x:c r="A43" s="90" t="n">
        <x:v>39</x:v>
      </x:c>
      <x:c r="B43" s="183" t="str">
        <x:v>Коричневый и кожа</x:v>
      </x:c>
      <x:c r="C43" s="183" t="str">
        <x:v>Тёплая кожа</x:v>
      </x:c>
      <x:c r="D43" s="89" t="str">
        <x:v>Contrast + слои</x:v>
      </x:c>
      <x:c r="E43" s="89" t="str">
        <x:v>Wraithbone</x:v>
      </x:c>
      <x:c r="F43" s="89" t="str">
        <x:v>Snakebite Leather</x:v>
      </x:c>
      <x:c r="G43" s="89" t="str">
        <x:v>Gore-Grunta Fur в тени</x:v>
      </x:c>
      <x:c r="H43" s="89" t="str">
        <x:v>Gorthor Brown</x:v>
      </x:c>
      <x:c r="I43" s="89" t="str">
        <x:v>AK Orange Brown</x:v>
      </x:c>
      <x:c r="J43" s="89" t="str">
        <x:v>AK Pale Sand</x:v>
      </x:c>
      <x:c r="K43" s="89" t="str">
        <x:v>White точечно</x:v>
      </x:c>
      <x:c r="L43" s="89" t="str">
        <x:v>Seraphim Sepia очень тонко</x:v>
      </x:c>
      <x:c r="M43" s="89" t="str">
        <x:v>Matt Varnish</x:v>
      </x:c>
      <x:c r="N43" s="90" t="str">
        <x:v>Низкая</x:v>
      </x:c>
      <x:c r="O43" s="89" t="str">
        <x:v>Подходит для ремней, сумок и седельной кожи.</x:v>
      </x:c>
      <x:c r="P43" s="89" t="str">
        <x:v>Проверено — рабочая схема</x:v>
      </x:c>
      <x:c r="Q43" s="89" t="str">
        <x:v>Последовательность база → локальная тень → возврат среднего тона → уменьшающиеся высветления соответствует системам производителей.</x:v>
      </x:c>
    </x:row>
    <x:row r="44">
      <x:c r="A44" s="90" t="n">
        <x:v>40</x:v>
      </x:c>
      <x:c r="B44" s="183" t="str">
        <x:v>Коричневый и кожа</x:v>
      </x:c>
      <x:c r="C44" s="183" t="str">
        <x:v>Красно-коричневая кожа</x:v>
      </x:c>
      <x:c r="D44" s="89" t="str">
        <x:v>Классическая многослойка</x:v>
      </x:c>
      <x:c r="E44" s="89" t="str">
        <x:v>Black Primer</x:v>
      </x:c>
      <x:c r="F44" s="89" t="str">
        <x:v>AK Deep Brown</x:v>
      </x:c>
      <x:c r="G44" s="89" t="str">
        <x:v>Agrax Earthshade</x:v>
      </x:c>
      <x:c r="H44" s="89" t="str">
        <x:v>AK Burnt Umber</x:v>
      </x:c>
      <x:c r="I44" s="89" t="str">
        <x:v>AK Orange Brown</x:v>
      </x:c>
      <x:c r="J44" s="89" t="str">
        <x:v>AK Light Rust</x:v>
      </x:c>
      <x:c r="K44" s="89" t="str">
        <x:v>Pale Sand точечно</x:v>
      </x:c>
      <x:c r="L44" s="89" t="str">
        <x:v>AK Intense Sienna Ink 1:8</x:v>
      </x:c>
      <x:c r="M44" s="89" t="str">
        <x:v>Matt Varnish</x:v>
      </x:c>
      <x:c r="N44" s="90" t="str">
        <x:v>Средняя</x:v>
      </x:c>
      <x:c r="O44" s="89" t="str">
        <x:v>Чернила объединяют переходы и возвращают кожаную насыщенность.</x:v>
      </x:c>
      <x:c r="P44" s="89" t="str">
        <x:v>Авторская комбинация — тест</x:v>
      </x:c>
      <x:c r="Q44" s="89" t="str">
        <x:v>Цветовая логика корректна, но точный результат зависит от укрывистости и толщины слоёв; рекомендована тестовая ложка/бит.</x:v>
      </x:c>
    </x:row>
    <x:row r="45">
      <x:c r="A45" s="90" t="n">
        <x:v>41</x:v>
      </x:c>
      <x:c r="B45" s="183" t="str">
        <x:v>Коричневый и кожа</x:v>
      </x:c>
      <x:c r="C45" s="183" t="str">
        <x:v>Чёрная кожа</x:v>
      </x:c>
      <x:c r="D45" s="89" t="str">
        <x:v>Классическая многослойка</x:v>
      </x:c>
      <x:c r="E45" s="89" t="str">
        <x:v>Black Primer</x:v>
      </x:c>
      <x:c r="F45" s="89" t="str">
        <x:v>Corvus Black</x:v>
      </x:c>
      <x:c r="G45" s="89" t="str">
        <x:v>Nuln Oil</x:v>
      </x:c>
      <x:c r="H45" s="89" t="str">
        <x:v>Eshin Grey</x:v>
      </x:c>
      <x:c r="I45" s="89" t="str">
        <x:v>Dawnstone</x:v>
      </x:c>
      <x:c r="J45" s="89" t="str">
        <x:v>Fenrisian Grey</x:v>
      </x:c>
      <x:c r="K45" s="89" t="str">
        <x:v>Ulthuan Grey точечно</x:v>
      </x:c>
      <x:c r="L45" s="89" t="str">
        <x:v>Black Templar очень тонко</x:v>
      </x:c>
      <x:c r="M45" s="89" t="str">
        <x:v>Satin Varnish</x:v>
      </x:c>
      <x:c r="N45" s="90" t="str">
        <x:v>Средняя</x:v>
      </x:c>
      <x:c r="O45" s="89" t="str">
        <x:v>Satin Varnish отличает кожу от матовой ткани.</x:v>
      </x:c>
      <x:c r="P45" s="89" t="str">
        <x:v>Проверено — рабочая схема</x:v>
      </x:c>
      <x:c r="Q45" s="89" t="str">
        <x:v>Последовательность база → локальная тень → возврат среднего тона → уменьшающиеся высветления соответствует системам производителей.</x:v>
      </x:c>
    </x:row>
    <x:row r="46">
      <x:c r="A46" s="90" t="n">
        <x:v>42</x:v>
      </x:c>
      <x:c r="B46" s="183" t="str">
        <x:v>Коричневый и кожа</x:v>
      </x:c>
      <x:c r="C46" s="183" t="str">
        <x:v>Дерево</x:v>
      </x:c>
      <x:c r="D46" s="89" t="str">
        <x:v>Текстурная многослойка</x:v>
      </x:c>
      <x:c r="E46" s="89" t="str">
        <x:v>Black Primer</x:v>
      </x:c>
      <x:c r="F46" s="89" t="str">
        <x:v>AK Burnt Umber</x:v>
      </x:c>
      <x:c r="G46" s="89" t="str">
        <x:v>Wyldwood или Agrax Earthshade</x:v>
      </x:c>
      <x:c r="H46" s="89" t="str">
        <x:v>Gorthor Brown полосами</x:v>
      </x:c>
      <x:c r="I46" s="89" t="str">
        <x:v>Baneblade Brown тонкими линиями</x:v>
      </x:c>
      <x:c r="J46" s="89" t="str">
        <x:v>Karak Stone</x:v>
      </x:c>
      <x:c r="K46" s="89" t="str">
        <x:v>Pale Sand точечно</x:v>
      </x:c>
      <x:c r="L46" s="89" t="str">
        <x:v>Умбра жжёная по лаку</x:v>
      </x:c>
      <x:c r="M46" s="89" t="str">
        <x:v>Matt Varnish</x:v>
      </x:c>
      <x:c r="N46" s="90" t="str">
        <x:v>Средняя</x:v>
      </x:c>
      <x:c r="O46" s="89" t="str">
        <x:v>Не закрашивать всю площадь каждым высветлением — рисовать волокна.</x:v>
      </x:c>
      <x:c r="P46" s="89" t="str">
        <x:v>Авторская комбинация — тест</x:v>
      </x:c>
      <x:c r="Q46" s="89" t="str">
        <x:v>Цветовая логика корректна, но точный результат зависит от укрывистости и толщины слоёв; рекомендована тестовая ложка/бит.</x:v>
      </x:c>
    </x:row>
    <x:row r="47">
      <x:c r="A47" s="90" t="n">
        <x:v>43</x:v>
      </x:c>
      <x:c r="B47" s="183" t="str">
        <x:v>Коричневый и кожа</x:v>
      </x:c>
      <x:c r="C47" s="183" t="str">
        <x:v>Старый пергамент</x:v>
      </x:c>
      <x:c r="D47" s="89" t="str">
        <x:v>Классическая многослойка</x:v>
      </x:c>
      <x:c r="E47" s="89" t="str">
        <x:v>Grey Seer</x:v>
      </x:c>
      <x:c r="F47" s="89" t="str">
        <x:v>Rakarth Flesh</x:v>
      </x:c>
      <x:c r="G47" s="89" t="str">
        <x:v>Seraphim Sepia</x:v>
      </x:c>
      <x:c r="H47" s="89" t="str">
        <x:v>Screaming Skull</x:v>
      </x:c>
      <x:c r="I47" s="89" t="str">
        <x:v>Flayed One Flesh</x:v>
      </x:c>
      <x:c r="J47" s="89" t="str">
        <x:v>Pallid Wych Flesh</x:v>
      </x:c>
      <x:c r="K47" s="89" t="str">
        <x:v>White точечно</x:v>
      </x:c>
      <x:c r="L47" s="89" t="str">
        <x:v>Умбра жжёная по краям после Gloss Varnish</x:v>
      </x:c>
      <x:c r="M47" s="89" t="str">
        <x:v>Matt Varnish</x:v>
      </x:c>
      <x:c r="N47" s="90" t="str">
        <x:v>Средняя</x:v>
      </x:c>
      <x:c r="O47" s="89" t="str">
        <x:v>Центр оставлять светлым, края и сгибы затемнять.</x:v>
      </x:c>
      <x:c r="P47" s="89" t="str">
        <x:v>Проверено — рабочая схема</x:v>
      </x:c>
      <x:c r="Q47" s="89" t="str">
        <x:v>Последовательность база → локальная тень → возврат среднего тона → уменьшающиеся высветления соответствует системам производителей.</x:v>
      </x:c>
    </x:row>
    <x:row r="48">
      <x:c r="A48" s="90" t="n">
        <x:v>44</x:v>
      </x:c>
      <x:c r="B48" s="184" t="str">
        <x:v>Кость и белый</x:v>
      </x:c>
      <x:c r="C48" s="184" t="str">
        <x:v>Тёплая кость</x:v>
      </x:c>
      <x:c r="D48" s="89" t="str">
        <x:v>Contrast + слои</x:v>
      </x:c>
      <x:c r="E48" s="89" t="str">
        <x:v>Wraithbone</x:v>
      </x:c>
      <x:c r="F48" s="89" t="str">
        <x:v>Skeleton Horde</x:v>
      </x:c>
      <x:c r="G48" s="89" t="str">
        <x:v>Agrax Earthshade локально</x:v>
      </x:c>
      <x:c r="H48" s="89" t="str">
        <x:v>Screaming Skull</x:v>
      </x:c>
      <x:c r="I48" s="89" t="str">
        <x:v>Flayed One Flesh</x:v>
      </x:c>
      <x:c r="J48" s="89" t="str">
        <x:v>Pallid Wych Flesh</x:v>
      </x:c>
      <x:c r="K48" s="89" t="str">
        <x:v>White точечно</x:v>
      </x:c>
      <x:c r="L48" s="89" t="str">
        <x:v>Seraphim Sepia очень тонко</x:v>
      </x:c>
      <x:c r="M48" s="89" t="str">
        <x:v>Matt Varnish</x:v>
      </x:c>
      <x:c r="N48" s="90" t="str">
        <x:v>Низкая</x:v>
      </x:c>
      <x:c r="O48" s="89" t="str">
        <x:v>Контраст Skeleton Horde не должен собираться лужами на плоскостях.</x:v>
      </x:c>
      <x:c r="P48" s="89" t="str">
        <x:v>Проверено — рабочая схема</x:v>
      </x:c>
      <x:c r="Q48" s="89" t="str">
        <x:v>Последовательность база → локальная тень → возврат среднего тона → уменьшающиеся высветления соответствует системам производителей.</x:v>
      </x:c>
    </x:row>
    <x:row r="49">
      <x:c r="A49" s="90" t="n">
        <x:v>45</x:v>
      </x:c>
      <x:c r="B49" s="184" t="str">
        <x:v>Кость и белый</x:v>
      </x:c>
      <x:c r="C49" s="184" t="str">
        <x:v>Старая грязная кость</x:v>
      </x:c>
      <x:c r="D49" s="89" t="str">
        <x:v>Классическая многослойка</x:v>
      </x:c>
      <x:c r="E49" s="89" t="str">
        <x:v>Black Primer</x:v>
      </x:c>
      <x:c r="F49" s="89" t="str">
        <x:v>Rakarth Flesh</x:v>
      </x:c>
      <x:c r="G49" s="89" t="str">
        <x:v>Agrax Earthshade</x:v>
      </x:c>
      <x:c r="H49" s="89" t="str">
        <x:v>Baneblade Brown + Rakarth Flesh 1:1</x:v>
      </x:c>
      <x:c r="I49" s="89" t="str">
        <x:v>Screaming Skull</x:v>
      </x:c>
      <x:c r="J49" s="89" t="str">
        <x:v>Flayed One Flesh</x:v>
      </x:c>
      <x:c r="K49" s="89" t="str">
        <x:v>Pallid Wych Flesh</x:v>
      </x:c>
      <x:c r="L49" s="89" t="str">
        <x:v>Умбра жжёная по лаку</x:v>
      </x:c>
      <x:c r="M49" s="89" t="str">
        <x:v>Matt Varnish</x:v>
      </x:c>
      <x:c r="N49" s="90" t="str">
        <x:v>Средняя</x:v>
      </x:c>
      <x:c r="O49" s="89" t="str">
        <x:v>Часть тёмной базы оставить у суставов и трещин.</x:v>
      </x:c>
      <x:c r="P49" s="89" t="str">
        <x:v>Проверено — рабочая схема</x:v>
      </x:c>
      <x:c r="Q49" s="89" t="str">
        <x:v>Последовательность база → локальная тень → возврат среднего тона → уменьшающиеся высветления соответствует системам производителей.</x:v>
      </x:c>
    </x:row>
    <x:row r="50">
      <x:c r="A50" s="90" t="n">
        <x:v>46</x:v>
      </x:c>
      <x:c r="B50" s="184" t="str">
        <x:v>Кость и белый</x:v>
      </x:c>
      <x:c r="C50" s="184" t="str">
        <x:v>Холодный белый</x:v>
      </x:c>
      <x:c r="D50" s="89" t="str">
        <x:v>Классическая многослойка</x:v>
      </x:c>
      <x:c r="E50" s="89" t="str">
        <x:v>Grey Seer</x:v>
      </x:c>
      <x:c r="F50" s="89" t="str">
        <x:v>Grey Seer</x:v>
      </x:c>
      <x:c r="G50" s="89" t="str">
        <x:v>Soulblight Grey</x:v>
      </x:c>
      <x:c r="H50" s="89" t="str">
        <x:v>Ulthuan Grey</x:v>
      </x:c>
      <x:c r="I50" s="89" t="str">
        <x:v>White Grey</x:v>
      </x:c>
      <x:c r="J50" s="89" t="str">
        <x:v>White</x:v>
      </x:c>
      <x:c r="K50" s="89" t="str">
        <x:v>White точечно</x:v>
      </x:c>
      <x:c r="L50" s="89" t="str">
        <x:v>Apothecary White очень тонко</x:v>
      </x:c>
      <x:c r="M50" s="89" t="str">
        <x:v>Matt Varnish</x:v>
      </x:c>
      <x:c r="N50" s="90" t="str">
        <x:v>Средняя</x:v>
      </x:c>
      <x:c r="O50" s="89" t="str">
        <x:v>Не покрывать чистым белым всю площадь.</x:v>
      </x:c>
      <x:c r="P50" s="89" t="str">
        <x:v>Проверено — рабочая схема</x:v>
      </x:c>
      <x:c r="Q50" s="89" t="str">
        <x:v>Последовательность база → локальная тень → возврат среднего тона → уменьшающиеся высветления соответствует системам производителей.</x:v>
      </x:c>
    </x:row>
    <x:row r="51">
      <x:c r="A51" s="90" t="n">
        <x:v>47</x:v>
      </x:c>
      <x:c r="B51" s="184" t="str">
        <x:v>Кость и белый</x:v>
      </x:c>
      <x:c r="C51" s="184" t="str">
        <x:v>Тёплая белая ткань</x:v>
      </x:c>
      <x:c r="D51" s="89" t="str">
        <x:v>Классическая многослойка</x:v>
      </x:c>
      <x:c r="E51" s="89" t="str">
        <x:v>Grey Seer</x:v>
      </x:c>
      <x:c r="F51" s="89" t="str">
        <x:v>Heavy Warmgrey</x:v>
      </x:c>
      <x:c r="G51" s="89" t="str">
        <x:v>Seraphim Sepia 1:2 с Lahmian Medium</x:v>
      </x:c>
      <x:c r="H51" s="89" t="str">
        <x:v>Deepkin Flesh</x:v>
      </x:c>
      <x:c r="I51" s="89" t="str">
        <x:v>Pallid Wych Flesh</x:v>
      </x:c>
      <x:c r="J51" s="89" t="str">
        <x:v>White</x:v>
      </x:c>
      <x:c r="K51" s="89" t="str">
        <x:v>White точечно</x:v>
      </x:c>
      <x:c r="L51" s="89" t="str">
        <x:v>—</x:v>
      </x:c>
      <x:c r="M51" s="89" t="str">
        <x:v>Matt Varnish</x:v>
      </x:c>
      <x:c r="N51" s="90" t="str">
        <x:v>Средняя</x:v>
      </x:c>
      <x:c r="O51" s="89" t="str">
        <x:v>Подходит для плащей и ткани, где чистый холодный белый нежелателен.</x:v>
      </x:c>
      <x:c r="P51" s="89" t="str">
        <x:v>Проверено — рабочая схема</x:v>
      </x:c>
      <x:c r="Q51" s="89" t="str">
        <x:v>Последовательность база → локальная тень → возврат среднего тона → уменьшающиеся высветления соответствует системам производителей.</x:v>
      </x:c>
    </x:row>
    <x:row r="52">
      <x:c r="A52" s="90" t="n">
        <x:v>48</x:v>
      </x:c>
      <x:c r="B52" s="185" t="str">
        <x:v>Серый и чёрный</x:v>
      </x:c>
      <x:c r="C52" s="185" t="str">
        <x:v>Нейтральный чёрный</x:v>
      </x:c>
      <x:c r="D52" s="89" t="str">
        <x:v>Классическая многослойка</x:v>
      </x:c>
      <x:c r="E52" s="89" t="str">
        <x:v>Black Primer</x:v>
      </x:c>
      <x:c r="F52" s="89" t="str">
        <x:v>AK Black</x:v>
      </x:c>
      <x:c r="G52" s="89" t="str">
        <x:v>—</x:v>
      </x:c>
      <x:c r="H52" s="89" t="str">
        <x:v>Corvus Black широким высветлением</x:v>
      </x:c>
      <x:c r="I52" s="89" t="str">
        <x:v>Eshin Grey</x:v>
      </x:c>
      <x:c r="J52" s="89" t="str">
        <x:v>Dawnstone</x:v>
      </x:c>
      <x:c r="K52" s="89" t="str">
        <x:v>White Grey точечно</x:v>
      </x:c>
      <x:c r="L52" s="89" t="str">
        <x:v>Black Templar 1:6 с Contrast Medium только если нужно приглушить переходы</x:v>
      </x:c>
      <x:c r="M52" s="89" t="str">
        <x:v>Matt Varnish</x:v>
      </x:c>
      <x:c r="N52" s="90" t="str">
        <x:v>Средняя</x:v>
      </x:c>
      <x:c r="O52" s="89" t="str">
        <x:v>Nuln Oil по сплошной чёрной базе почти не добавляет объёма; форму создают последовательные серые высветления.</x:v>
      </x:c>
      <x:c r="P52" s="89" t="str">
        <x:v>Исправлено после аудита</x:v>
      </x:c>
      <x:c r="Q52" s="89" t="str">
        <x:v>Порядок слоёв или материал скорректирован по официальной инструкции/схеме. См. лист «Аудит матрицы».</x:v>
      </x:c>
    </x:row>
    <x:row r="53">
      <x:c r="A53" s="90" t="n">
        <x:v>49</x:v>
      </x:c>
      <x:c r="B53" s="185" t="str">
        <x:v>Серый и чёрный</x:v>
      </x:c>
      <x:c r="C53" s="185" t="str">
        <x:v>Сине-чёрный</x:v>
      </x:c>
      <x:c r="D53" s="89" t="str">
        <x:v>Классическая многослойка</x:v>
      </x:c>
      <x:c r="E53" s="89" t="str">
        <x:v>Black Primer</x:v>
      </x:c>
      <x:c r="F53" s="89" t="str">
        <x:v>AK Black</x:v>
      </x:c>
      <x:c r="G53" s="89" t="str">
        <x:v>Leviadon Blue 1:2 с Contrast Medium</x:v>
      </x:c>
      <x:c r="H53" s="89" t="str">
        <x:v>Dark Reaper</x:v>
      </x:c>
      <x:c r="I53" s="89" t="str">
        <x:v>The Fang</x:v>
      </x:c>
      <x:c r="J53" s="89" t="str">
        <x:v>Fenrisian Grey</x:v>
      </x:c>
      <x:c r="K53" s="89" t="str">
        <x:v>Ulthuan Grey</x:v>
      </x:c>
      <x:c r="L53" s="89" t="str">
        <x:v>Серая Пейна по лаку</x:v>
      </x:c>
      <x:c r="M53" s="89" t="str">
        <x:v>Matt Varnish</x:v>
      </x:c>
      <x:c r="N53" s="90" t="str">
        <x:v>Средняя</x:v>
      </x:c>
      <x:c r="O53" s="89" t="str">
        <x:v>Подходит для чёрной брони с холодным отражением.</x:v>
      </x:c>
      <x:c r="P53" s="89" t="str">
        <x:v>Проверено — рабочая схема</x:v>
      </x:c>
      <x:c r="Q53" s="89" t="str">
        <x:v>Последовательность база → локальная тень → возврат среднего тона → уменьшающиеся высветления соответствует системам производителей.</x:v>
      </x:c>
    </x:row>
    <x:row r="54">
      <x:c r="A54" s="90" t="n">
        <x:v>50</x:v>
      </x:c>
      <x:c r="B54" s="185" t="str">
        <x:v>Серый и чёрный</x:v>
      </x:c>
      <x:c r="C54" s="185" t="str">
        <x:v>Нейтральный серый</x:v>
      </x:c>
      <x:c r="D54" s="89" t="str">
        <x:v>Классическая многослойка</x:v>
      </x:c>
      <x:c r="E54" s="89" t="str">
        <x:v>Black Primer</x:v>
      </x:c>
      <x:c r="F54" s="89" t="str">
        <x:v>Mechanicus Standard Grey</x:v>
      </x:c>
      <x:c r="G54" s="89" t="str">
        <x:v>Nuln Oil</x:v>
      </x:c>
      <x:c r="H54" s="89" t="str">
        <x:v>Dawnstone</x:v>
      </x:c>
      <x:c r="I54" s="89" t="str">
        <x:v>Longbeard Grey</x:v>
      </x:c>
      <x:c r="J54" s="89" t="str">
        <x:v>White Grey</x:v>
      </x:c>
      <x:c r="K54" s="89" t="str">
        <x:v>White точечно</x:v>
      </x:c>
      <x:c r="L54" s="89" t="str">
        <x:v>Soulblight Grey очень тонко</x:v>
      </x:c>
      <x:c r="M54" s="89" t="str">
        <x:v>Matt Varnish</x:v>
      </x:c>
      <x:c r="N54" s="90" t="str">
        <x:v>Низкая</x:v>
      </x:c>
      <x:c r="O54" s="89" t="str">
        <x:v>Longbeard Grey можно наносить сухой кистью на текстуру.</x:v>
      </x:c>
      <x:c r="P54" s="89" t="str">
        <x:v>Проверено — рабочая схема</x:v>
      </x:c>
      <x:c r="Q54" s="89" t="str">
        <x:v>Последовательность база → локальная тень → возврат среднего тона → уменьшающиеся высветления соответствует системам производителей.</x:v>
      </x:c>
    </x:row>
    <x:row r="55">
      <x:c r="A55" s="90" t="n">
        <x:v>51</x:v>
      </x:c>
      <x:c r="B55" s="185" t="str">
        <x:v>Серый и чёрный</x:v>
      </x:c>
      <x:c r="C55" s="185" t="str">
        <x:v>Тёплый камень</x:v>
      </x:c>
      <x:c r="D55" s="89" t="str">
        <x:v>Классическая многослойка</x:v>
      </x:c>
      <x:c r="E55" s="89" t="str">
        <x:v>Black Primer</x:v>
      </x:c>
      <x:c r="F55" s="89" t="str">
        <x:v>AK Medium Grey</x:v>
      </x:c>
      <x:c r="G55" s="89" t="str">
        <x:v>Targor Rageshade</x:v>
      </x:c>
      <x:c r="H55" s="89" t="str">
        <x:v>Heavy Warmgrey</x:v>
      </x:c>
      <x:c r="I55" s="89" t="str">
        <x:v>Karak Stone</x:v>
      </x:c>
      <x:c r="J55" s="89" t="str">
        <x:v>Pale Sand</x:v>
      </x:c>
      <x:c r="K55" s="89" t="str">
        <x:v>White точечно</x:v>
      </x:c>
      <x:c r="L55" s="89" t="str">
        <x:v>Умбра жжёная по лаку</x:v>
      </x:c>
      <x:c r="M55" s="89" t="str">
        <x:v>Matt Varnish</x:v>
      </x:c>
      <x:c r="N55" s="90" t="str">
        <x:v>Средняя</x:v>
      </x:c>
      <x:c r="O55" s="89" t="str">
        <x:v>Полезно для руин, подставок и каменных деталей.</x:v>
      </x:c>
      <x:c r="P55" s="89" t="str">
        <x:v>Авторская комбинация — тест</x:v>
      </x:c>
      <x:c r="Q55" s="89" t="str">
        <x:v>Цветовая логика корректна, но точный результат зависит от укрывистости и толщины слоёв; рекомендована тестовая ложка/бит.</x:v>
      </x:c>
    </x:row>
    <x:row r="56">
      <x:c r="A56" s="90" t="n">
        <x:v>52</x:v>
      </x:c>
      <x:c r="B56" s="186" t="str">
        <x:v>Металлик</x:v>
      </x:c>
      <x:c r="C56" s="186" t="str">
        <x:v>Обычная сталь</x:v>
      </x:c>
      <x:c r="D56" s="89" t="str">
        <x:v>Металлическая многослойка</x:v>
      </x:c>
      <x:c r="E56" s="89" t="str">
        <x:v>Black Primer</x:v>
      </x:c>
      <x:c r="F56" s="89" t="str">
        <x:v>Iron Warriors</x:v>
      </x:c>
      <x:c r="G56" s="89" t="str">
        <x:v>Nuln Oil</x:v>
      </x:c>
      <x:c r="H56" s="89" t="str">
        <x:v>Leadbelcher или Vallejo Gunmetal</x:v>
      </x:c>
      <x:c r="I56" s="89" t="str">
        <x:v>Ironbreaker</x:v>
      </x:c>
      <x:c r="J56" s="89" t="str">
        <x:v>Runefang Steel</x:v>
      </x:c>
      <x:c r="K56" s="89" t="str">
        <x:v>Vallejo Silver точечно</x:v>
      </x:c>
      <x:c r="L56" s="89" t="str">
        <x:v>—</x:v>
      </x:c>
      <x:c r="M56" s="89" t="str">
        <x:v>Metal Varnish или Satin Varnish</x:v>
      </x:c>
      <x:c r="N56" s="90" t="str">
        <x:v>Низкая</x:v>
      </x:c>
      <x:c r="O56" s="89" t="str">
        <x:v>Silver использовать только на самых острых кромках.</x:v>
      </x:c>
      <x:c r="P56" s="89" t="str">
        <x:v>Проверено — рабочая схема</x:v>
      </x:c>
      <x:c r="Q56" s="89" t="str">
        <x:v>Последовательность база → локальная тень → возврат среднего тона → уменьшающиеся высветления соответствует системам производителей.</x:v>
      </x:c>
    </x:row>
    <x:row r="57">
      <x:c r="A57" s="90" t="n">
        <x:v>53</x:v>
      </x:c>
      <x:c r="B57" s="186" t="str">
        <x:v>Металлик</x:v>
      </x:c>
      <x:c r="C57" s="186" t="str">
        <x:v>Чёрный металл</x:v>
      </x:c>
      <x:c r="D57" s="89" t="str">
        <x:v>Металлическая многослойка</x:v>
      </x:c>
      <x:c r="E57" s="89" t="str">
        <x:v>Black Primer</x:v>
      </x:c>
      <x:c r="F57" s="89" t="str">
        <x:v>Vallejo Black Metallic</x:v>
      </x:c>
      <x:c r="G57" s="89" t="str">
        <x:v>Nuln Oil Gloss</x:v>
      </x:c>
      <x:c r="H57" s="89" t="str">
        <x:v>Vallejo Gunmetal</x:v>
      </x:c>
      <x:c r="I57" s="89" t="str">
        <x:v>Ironbreaker</x:v>
      </x:c>
      <x:c r="J57" s="89" t="str">
        <x:v>Runefang Steel</x:v>
      </x:c>
      <x:c r="K57" s="89" t="str">
        <x:v>Vallejo Silver точечно</x:v>
      </x:c>
      <x:c r="L57" s="89" t="str">
        <x:v>Black Templar очень тонко</x:v>
      </x:c>
      <x:c r="M57" s="89" t="str">
        <x:v>Metal Varnish</x:v>
      </x:c>
      <x:c r="N57" s="90" t="str">
        <x:v>Средняя</x:v>
      </x:c>
      <x:c r="O57" s="89" t="str">
        <x:v>Тёмный прозрачный слой после высветлений создаёт лакированный металл.</x:v>
      </x:c>
      <x:c r="P57" s="89" t="str">
        <x:v>Проверено — рабочая схема</x:v>
      </x:c>
      <x:c r="Q57" s="89" t="str">
        <x:v>Последовательность база → локальная тень → возврат среднего тона → уменьшающиеся высветления соответствует системам производителей.</x:v>
      </x:c>
    </x:row>
    <x:row r="58">
      <x:c r="A58" s="90" t="n">
        <x:v>54</x:v>
      </x:c>
      <x:c r="B58" s="186" t="str">
        <x:v>Металлик</x:v>
      </x:c>
      <x:c r="C58" s="186" t="str">
        <x:v>Светлая полированная сталь</x:v>
      </x:c>
      <x:c r="D58" s="89" t="str">
        <x:v>Металлическая многослойка</x:v>
      </x:c>
      <x:c r="E58" s="89" t="str">
        <x:v>Black Primer</x:v>
      </x:c>
      <x:c r="F58" s="89" t="str">
        <x:v>Leadbelcher</x:v>
      </x:c>
      <x:c r="G58" s="89" t="str">
        <x:v>Nuln Oil только в швы</x:v>
      </x:c>
      <x:c r="H58" s="89" t="str">
        <x:v>Ironbreaker</x:v>
      </x:c>
      <x:c r="I58" s="89" t="str">
        <x:v>Runefang Steel</x:v>
      </x:c>
      <x:c r="J58" s="89" t="str">
        <x:v>Vallejo Silver</x:v>
      </x:c>
      <x:c r="K58" s="89" t="str">
        <x:v>White точечно</x:v>
      </x:c>
      <x:c r="L58" s="89" t="str">
        <x:v>—</x:v>
      </x:c>
      <x:c r="M58" s="89" t="str">
        <x:v>Metal Varnish</x:v>
      </x:c>
      <x:c r="N58" s="90" t="str">
        <x:v>Средняя</x:v>
      </x:c>
      <x:c r="O58" s="89" t="str">
        <x:v>Не наносить Nuln Oil на всю поверхность после финального блеска.</x:v>
      </x:c>
      <x:c r="P58" s="89" t="str">
        <x:v>Проверено — рабочая схема</x:v>
      </x:c>
      <x:c r="Q58" s="89" t="str">
        <x:v>Последовательность база → локальная тень → возврат среднего тона → уменьшающиеся высветления соответствует системам производителей.</x:v>
      </x:c>
    </x:row>
    <x:row r="59">
      <x:c r="A59" s="90" t="n">
        <x:v>55</x:v>
      </x:c>
      <x:c r="B59" s="186" t="str">
        <x:v>Металлик</x:v>
      </x:c>
      <x:c r="C59" s="186" t="str">
        <x:v>Тёплое золото</x:v>
      </x:c>
      <x:c r="D59" s="89" t="str">
        <x:v>Металлическая многослойка</x:v>
      </x:c>
      <x:c r="E59" s="89" t="str">
        <x:v>Black Primer</x:v>
      </x:c>
      <x:c r="F59" s="89" t="str">
        <x:v>Retributor Armour</x:v>
      </x:c>
      <x:c r="G59" s="89" t="str">
        <x:v>Reikland Fleshshade</x:v>
      </x:c>
      <x:c r="H59" s="89" t="str">
        <x:v>Gehenna's Gold</x:v>
      </x:c>
      <x:c r="I59" s="89" t="str">
        <x:v>Liberator Gold</x:v>
      </x:c>
      <x:c r="J59" s="89" t="str">
        <x:v>Canoptek Alloy</x:v>
      </x:c>
      <x:c r="K59" s="89" t="str">
        <x:v>Vallejo Silver точечно</x:v>
      </x:c>
      <x:c r="L59" s="89" t="str">
        <x:v>Seraphim Sepia очень тонко</x:v>
      </x:c>
      <x:c r="M59" s="89" t="str">
        <x:v>Metal Varnish</x:v>
      </x:c>
      <x:c r="N59" s="90" t="str">
        <x:v>Средняя</x:v>
      </x:c>
      <x:c r="O59" s="89" t="str">
        <x:v>Серебро использовать только на единичных бликах.</x:v>
      </x:c>
      <x:c r="P59" s="89" t="str">
        <x:v>Проверено — рабочая схема</x:v>
      </x:c>
      <x:c r="Q59" s="89" t="str">
        <x:v>Последовательность база → локальная тень → возврат среднего тона → уменьшающиеся высветления соответствует системам производителей.</x:v>
      </x:c>
    </x:row>
    <x:row r="60">
      <x:c r="A60" s="90" t="n">
        <x:v>56</x:v>
      </x:c>
      <x:c r="B60" s="186" t="str">
        <x:v>Металлик</x:v>
      </x:c>
      <x:c r="C60" s="186" t="str">
        <x:v>Старое золото</x:v>
      </x:c>
      <x:c r="D60" s="89" t="str">
        <x:v>Металлическая многослойка</x:v>
      </x:c>
      <x:c r="E60" s="89" t="str">
        <x:v>Black Primer</x:v>
      </x:c>
      <x:c r="F60" s="89" t="str">
        <x:v>Warplock Bronze</x:v>
      </x:c>
      <x:c r="G60" s="89" t="str">
        <x:v>Agrax Earthshade</x:v>
      </x:c>
      <x:c r="H60" s="89" t="str">
        <x:v>Balthasar Gold</x:v>
      </x:c>
      <x:c r="I60" s="89" t="str">
        <x:v>Brass Scorpion</x:v>
      </x:c>
      <x:c r="J60" s="89" t="str">
        <x:v>Runelord Brass</x:v>
      </x:c>
      <x:c r="K60" s="89" t="str">
        <x:v>Canoptek Alloy</x:v>
      </x:c>
      <x:c r="L60" s="89" t="str">
        <x:v>Умбра жжёная по Gloss Varnish</x:v>
      </x:c>
      <x:c r="M60" s="89" t="str">
        <x:v>Metal Varnish</x:v>
      </x:c>
      <x:c r="N60" s="90" t="str">
        <x:v>Средняя</x:v>
      </x:c>
      <x:c r="O60" s="89" t="str">
        <x:v>Подходит для древних артефактов и тёмного золота.</x:v>
      </x:c>
      <x:c r="P60" s="89" t="str">
        <x:v>Проверено — рабочая схема</x:v>
      </x:c>
      <x:c r="Q60" s="89" t="str">
        <x:v>Последовательность база → локальная тень → возврат среднего тона → уменьшающиеся высветления соответствует системам производителей.</x:v>
      </x:c>
    </x:row>
    <x:row r="61">
      <x:c r="A61" s="90" t="n">
        <x:v>57</x:v>
      </x:c>
      <x:c r="B61" s="186" t="str">
        <x:v>Металлик</x:v>
      </x:c>
      <x:c r="C61" s="186" t="str">
        <x:v>Медь</x:v>
      </x:c>
      <x:c r="D61" s="89" t="str">
        <x:v>Металлическая многослойка</x:v>
      </x:c>
      <x:c r="E61" s="89" t="str">
        <x:v>Black Primer</x:v>
      </x:c>
      <x:c r="F61" s="89" t="str">
        <x:v>Warplock Bronze</x:v>
      </x:c>
      <x:c r="G61" s="89" t="str">
        <x:v>Agrax Earthshade</x:v>
      </x:c>
      <x:c r="H61" s="89" t="str">
        <x:v>Vallejo Copper</x:v>
      </x:c>
      <x:c r="I61" s="89" t="str">
        <x:v>Brass Scorpion</x:v>
      </x:c>
      <x:c r="J61" s="89" t="str">
        <x:v>Canoptek Alloy</x:v>
      </x:c>
      <x:c r="K61" s="89" t="str">
        <x:v>Vallejo Silver точечно</x:v>
      </x:c>
      <x:c r="L61" s="89" t="str">
        <x:v>—</x:v>
      </x:c>
      <x:c r="M61" s="89" t="str">
        <x:v>Metal Varnish</x:v>
      </x:c>
      <x:c r="N61" s="90" t="str">
        <x:v>Средняя</x:v>
      </x:c>
      <x:c r="O61" s="89" t="str">
        <x:v>Для более красной меди вернуть тонкий слой Copper после Wash.</x:v>
      </x:c>
      <x:c r="P61" s="89" t="str">
        <x:v>Проверено — рабочая схема</x:v>
      </x:c>
      <x:c r="Q61" s="89" t="str">
        <x:v>Последовательность база → локальная тень → возврат среднего тона → уменьшающиеся высветления соответствует системам производителей.</x:v>
      </x:c>
    </x:row>
    <x:row r="62">
      <x:c r="A62" s="90" t="n">
        <x:v>58</x:v>
      </x:c>
      <x:c r="B62" s="186" t="str">
        <x:v>Металлик</x:v>
      </x:c>
      <x:c r="C62" s="186" t="str">
        <x:v>Латунь</x:v>
      </x:c>
      <x:c r="D62" s="89" t="str">
        <x:v>Металлическая многослойка</x:v>
      </x:c>
      <x:c r="E62" s="89" t="str">
        <x:v>Black Primer</x:v>
      </x:c>
      <x:c r="F62" s="89" t="str">
        <x:v>Balthasar Gold</x:v>
      </x:c>
      <x:c r="G62" s="89" t="str">
        <x:v>Agrax Earthshade</x:v>
      </x:c>
      <x:c r="H62" s="89" t="str">
        <x:v>Runelord Brass</x:v>
      </x:c>
      <x:c r="I62" s="89" t="str">
        <x:v>Canoptek Alloy</x:v>
      </x:c>
      <x:c r="J62" s="89" t="str">
        <x:v>Liberator Gold</x:v>
      </x:c>
      <x:c r="K62" s="89" t="str">
        <x:v>Vallejo Silver точечно</x:v>
      </x:c>
      <x:c r="L62" s="89" t="str">
        <x:v>—</x:v>
      </x:c>
      <x:c r="M62" s="89" t="str">
        <x:v>Metal Varnish</x:v>
      </x:c>
      <x:c r="N62" s="90" t="str">
        <x:v>Средняя</x:v>
      </x:c>
      <x:c r="O62" s="89" t="str">
        <x:v>Подходит для механизмов и индустриальных деталей.</x:v>
      </x:c>
      <x:c r="P62" s="89" t="str">
        <x:v>Проверено — рабочая схема</x:v>
      </x:c>
      <x:c r="Q62" s="89" t="str">
        <x:v>Последовательность база → локальная тень → возврат среднего тона → уменьшающиеся высветления соответствует системам производителей.</x:v>
      </x:c>
    </x:row>
    <x:row r="63">
      <x:c r="A63" s="90" t="n">
        <x:v>59</x:v>
      </x:c>
      <x:c r="B63" s="186" t="str">
        <x:v>Металлик</x:v>
      </x:c>
      <x:c r="C63" s="186" t="str">
        <x:v>Окисленная бронза</x:v>
      </x:c>
      <x:c r="D63" s="89" t="str">
        <x:v>Металл + патина</x:v>
      </x:c>
      <x:c r="E63" s="89" t="str">
        <x:v>Black Primer</x:v>
      </x:c>
      <x:c r="F63" s="89" t="str">
        <x:v>Runelord Brass</x:v>
      </x:c>
      <x:c r="G63" s="89" t="str">
        <x:v>Agrax Earthshade</x:v>
      </x:c>
      <x:c r="H63" s="89" t="str">
        <x:v>Canoptek Alloy</x:v>
      </x:c>
      <x:c r="I63" s="89" t="str">
        <x:v>Nihilakh Oxide в углубления</x:v>
      </x:c>
      <x:c r="J63" s="89" t="str">
        <x:v>Runelord Brass по краям</x:v>
      </x:c>
      <x:c r="K63" s="89" t="str">
        <x:v>Vallejo Silver точечно</x:v>
      </x:c>
      <x:c r="L63" s="89" t="str">
        <x:v>—</x:v>
      </x:c>
      <x:c r="M63" s="89" t="str">
        <x:v>Matt Varnish или Metal Varnish локально</x:v>
      </x:c>
      <x:c r="N63" s="90" t="str">
        <x:v>Средняя</x:v>
      </x:c>
      <x:c r="O63" s="89" t="str">
        <x:v>Патина должна оставаться в углублениях и вокруг заклёпок.</x:v>
      </x:c>
      <x:c r="P63" s="89" t="str">
        <x:v>Проверено по свойствам материала</x:v>
      </x:c>
      <x:c r="Q63" s="89" t="str">
        <x:v>Совместимость и порядок нанесения подтверждены назначением Contrast/Shade/Technical/Vallejo Medium/масляных материалов.</x:v>
      </x:c>
    </x:row>
    <x:row r="64">
      <x:c r="A64" s="90" t="n">
        <x:v>60</x:v>
      </x:c>
      <x:c r="B64" s="186" t="str">
        <x:v>Металлик</x:v>
      </x:c>
      <x:c r="C64" s="186" t="str">
        <x:v>Нагретый выхлоп</x:v>
      </x:c>
      <x:c r="D64" s="89" t="str">
        <x:v>Прозрачные цветные лессировки</x:v>
      </x:c>
      <x:c r="E64" s="89" t="str">
        <x:v>Black Primer</x:v>
      </x:c>
      <x:c r="F64" s="89" t="str">
        <x:v>Vallejo Exhaust Manifold</x:v>
      </x:c>
      <x:c r="G64" s="89" t="str">
        <x:v>Nuln Oil</x:v>
      </x:c>
      <x:c r="H64" s="89" t="str">
        <x:v>Vallejo Copper у горячей зоны</x:v>
      </x:c>
      <x:c r="I64" s="89" t="str">
        <x:v>Brass Scorpion</x:v>
      </x:c>
      <x:c r="J64" s="89" t="str">
        <x:v>Blue Ink полосой</x:v>
      </x:c>
      <x:c r="K64" s="89" t="str">
        <x:v>Violet Ink тонкой полосой</x:v>
      </x:c>
      <x:c r="L64" s="89" t="str">
        <x:v>Black Templar у холодного конца</x:v>
      </x:c>
      <x:c r="M64" s="89" t="str">
        <x:v>Metal Varnish</x:v>
      </x:c>
      <x:c r="N64" s="90" t="str">
        <x:v>Высокая</x:v>
      </x:c>
      <x:c r="O64" s="89" t="str">
        <x:v>Границы цветных полос размывать Lahmian Medium.</x:v>
      </x:c>
      <x:c r="P64" s="89" t="str">
        <x:v>Проверено по свойствам материала</x:v>
      </x:c>
      <x:c r="Q64" s="89" t="str">
        <x:v>Совместимость и порядок нанесения подтверждены назначением Contrast/Shade/Technical/Vallejo Medium/масляных материалов.</x:v>
      </x:c>
    </x:row>
    <x:row r="65">
      <x:c r="A65" s="90" t="n">
        <x:v>61</x:v>
      </x:c>
      <x:c r="B65" s="187" t="str">
        <x:v>Эффекты</x:v>
      </x:c>
      <x:c r="C65" s="187" t="str">
        <x:v>Ржавая сталь</x:v>
      </x:c>
      <x:c r="D65" s="89" t="str">
        <x:v>Текстура + сухая кисть</x:v>
      </x:c>
      <x:c r="E65" s="89" t="str">
        <x:v>Black Primer</x:v>
      </x:c>
      <x:c r="F65" s="89" t="str">
        <x:v>Iron Warriors</x:v>
      </x:c>
      <x:c r="G65" s="89" t="str">
        <x:v>Typhus Corrosion</x:v>
      </x:c>
      <x:c r="H65" s="89" t="str">
        <x:v>AK Dark Rust пятнами</x:v>
      </x:c>
      <x:c r="I65" s="89" t="str">
        <x:v>AK Light Rust</x:v>
      </x:c>
      <x:c r="J65" s="89" t="str">
        <x:v>Ryza Rust сухой кистью</x:v>
      </x:c>
      <x:c r="K65" s="89" t="str">
        <x:v>Orange Fluorescent точечно</x:v>
      </x:c>
      <x:c r="L65" s="89" t="str">
        <x:v>Vallejo Rust Wash</x:v>
      </x:c>
      <x:c r="M65" s="89" t="str">
        <x:v>Matt Varnish</x:v>
      </x:c>
      <x:c r="N65" s="90" t="str">
        <x:v>Средняя</x:v>
      </x:c>
      <x:c r="O65" s="89" t="str">
        <x:v>Металл должен местами оставаться видимым.</x:v>
      </x:c>
      <x:c r="P65" s="89" t="str">
        <x:v>Проверено по свойствам материала</x:v>
      </x:c>
      <x:c r="Q65" s="89" t="str">
        <x:v>Совместимость и порядок нанесения подтверждены назначением Contrast/Shade/Technical/Vallejo Medium/масляных материалов.</x:v>
      </x:c>
    </x:row>
    <x:row r="66">
      <x:c r="A66" s="90" t="n">
        <x:v>62</x:v>
      </x:c>
      <x:c r="B66" s="187" t="str">
        <x:v>Эффекты</x:v>
      </x:c>
      <x:c r="C66" s="187" t="str">
        <x:v>Красный драгоценный камень</x:v>
      </x:c>
      <x:c r="D66" s="89" t="str">
        <x:v>Прозрачный эффект по металлу</x:v>
      </x:c>
      <x:c r="E66" s="89" t="str">
        <x:v>Runefang Steel или Vallejo Silver</x:v>
      </x:c>
      <x:c r="F66" s="89" t="str">
        <x:v>Black Templar 1:2 с Contrast Medium на нижнюю треть</x:v>
      </x:c>
      <x:c r="G66" s="89" t="str">
        <x:v>Spiritstone Red по всей поверхности</x:v>
      </x:c>
      <x:c r="H66" s="89" t="str">
        <x:v>Spiritstone Red вторым тонким слоем</x:v>
      </x:c>
      <x:c r="I66" s="89" t="str">
        <x:v>Runefang Steel маленькой дугой</x:v>
      </x:c>
      <x:c r="J66" s="89" t="str">
        <x:v>Vallejo Silver меньшей дугой</x:v>
      </x:c>
      <x:c r="K66" s="89" t="str">
        <x:v>White точкой</x:v>
      </x:c>
      <x:c r="L66" s="89" t="str">
        <x:v>Gloss Varnish</x:v>
      </x:c>
      <x:c r="M66" s="89" t="str">
        <x:v>Gloss Varnish</x:v>
      </x:c>
      <x:c r="N66" s="90" t="str">
        <x:v>Низкая</x:v>
      </x:c>
      <x:c r="O66" s="89" t="str">
        <x:v>Прозрачный красный Technical работает как цветной лак поверх металлической светотени.</x:v>
      </x:c>
      <x:c r="P66" s="89" t="str">
        <x:v>Исправлено после аудита</x:v>
      </x:c>
      <x:c r="Q66" s="89" t="str">
        <x:v>Порядок слоёв или материал скорректирован по официальной инструкции/схеме. См. лист «Аудит матрицы».</x:v>
      </x:c>
    </x:row>
    <x:row r="67">
      <x:c r="A67" s="90" t="n">
        <x:v>63</x:v>
      </x:c>
      <x:c r="B67" s="187" t="str">
        <x:v>Эффекты</x:v>
      </x:c>
      <x:c r="C67" s="187" t="str">
        <x:v>Токсичная слизь</x:v>
      </x:c>
      <x:c r="D67" s="89" t="str">
        <x:v>Прозрачный глянцевый эффект</x:v>
      </x:c>
      <x:c r="E67" s="89" t="str">
        <x:v>White</x:v>
      </x:c>
      <x:c r="F67" s="89" t="str">
        <x:v>Hexwraith Flame</x:v>
      </x:c>
      <x:c r="G67" s="89" t="str">
        <x:v>Warp Lightning в глубокие места</x:v>
      </x:c>
      <x:c r="H67" s="89" t="str">
        <x:v>Moot Green</x:v>
      </x:c>
      <x:c r="I67" s="89" t="str">
        <x:v>Green Fluorescent</x:v>
      </x:c>
      <x:c r="J67" s="89" t="str">
        <x:v>White точечно</x:v>
      </x:c>
      <x:c r="K67" s="89" t="str">
        <x:v>—</x:v>
      </x:c>
      <x:c r="L67" s="89" t="str">
        <x:v>Nurgle's Rot последним</x:v>
      </x:c>
      <x:c r="M67" s="89" t="str">
        <x:v>Без матового лака поверх</x:v>
      </x:c>
      <x:c r="N67" s="90" t="str">
        <x:v>Низкая</x:v>
      </x:c>
      <x:c r="O67" s="89" t="str">
        <x:v>Глянцевые эффекты наносить после общего матового лака.</x:v>
      </x:c>
      <x:c r="P67" s="89" t="str">
        <x:v>Проверено по свойствам материала</x:v>
      </x:c>
      <x:c r="Q67" s="89" t="str">
        <x:v>Совместимость и порядок нанесения подтверждены назначением Contrast/Shade/Technical/Vallejo Medium/масляных материалов.</x:v>
      </x:c>
    </x:row>
    <x:row r="68">
      <x:c r="A68" s="90" t="n">
        <x:v>64</x:v>
      </x:c>
      <x:c r="B68" s="187" t="str">
        <x:v>Эффекты</x:v>
      </x:c>
      <x:c r="C68" s="187" t="str">
        <x:v>Розовое магическое свечение</x:v>
      </x:c>
      <x:c r="D68" s="89" t="str">
        <x:v>OSL</x:v>
      </x:c>
      <x:c r="E68" s="89" t="str">
        <x:v>White подложка</x:v>
      </x:c>
      <x:c r="F68" s="89" t="str">
        <x:v>AK Purple</x:v>
      </x:c>
      <x:c r="G68" s="89" t="str">
        <x:v>—</x:v>
      </x:c>
      <x:c r="H68" s="89" t="str">
        <x:v>Pink Horror</x:v>
      </x:c>
      <x:c r="I68" s="89" t="str">
        <x:v>Emperor's Children</x:v>
      </x:c>
      <x:c r="J68" s="89" t="str">
        <x:v>Fulgrim Pink</x:v>
      </x:c>
      <x:c r="K68" s="89" t="str">
        <x:v>White</x:v>
      </x:c>
      <x:c r="L68" s="89" t="str">
        <x:v>Magenta Fluorescent</x:v>
      </x:c>
      <x:c r="M68" s="89" t="str">
        <x:v>Satin Varnish</x:v>
      </x:c>
      <x:c r="N68" s="90" t="str">
        <x:v>Высокая</x:v>
      </x:c>
      <x:c r="O68" s="89" t="str">
        <x:v>Флуоресцент не должен полностью перекрывать белый центр.</x:v>
      </x:c>
      <x:c r="P68" s="89" t="str">
        <x:v>Проверено по свойствам материала</x:v>
      </x:c>
      <x:c r="Q68" s="89" t="str">
        <x:v>Совместимость и порядок нанесения подтверждены назначением Contrast/Shade/Technical/Vallejo Medium/масляных материалов.</x:v>
      </x:c>
    </x:row>
    <x:row r="69">
      <x:c r="A69" s="90" t="n">
        <x:v>65</x:v>
      </x:c>
      <x:c r="B69" s="187" t="str">
        <x:v>Эффекты</x:v>
      </x:c>
      <x:c r="C69" s="187" t="str">
        <x:v>Тёплый масляный гримдарк</x:v>
      </x:c>
      <x:c r="D69" s="89" t="str">
        <x:v>Масляный фильтр</x:v>
      </x:c>
      <x:c r="E69" s="89" t="str">
        <x:v>Полностью высохшая акриловая схема</x:v>
      </x:c>
      <x:c r="F69" s="89" t="str">
        <x:v>Gloss Varnish, полностью отверждённый по инструкции</x:v>
      </x:c>
      <x:c r="G69" s="89" t="str">
        <x:v>Умбра жжёная, сильно разбавленная подходящим растворителем</x:v>
      </x:c>
      <x:c r="H69" s="89" t="str">
        <x:v>Снять масло с выступов и оставить в тенях</x:v>
      </x:c>
      <x:c r="I69" s="89" t="str">
        <x:v>После высыхания вернуть акриловые блики</x:v>
      </x:c>
      <x:c r="J69" s="89" t="str">
        <x:v>—</x:v>
      </x:c>
      <x:c r="K69" s="89" t="str">
        <x:v>—</x:v>
      </x:c>
      <x:c r="L69" s="89" t="str">
        <x:v>Локальная грязь AK/Vallejo при необходимости</x:v>
      </x:c>
      <x:c r="M69" s="89" t="str">
        <x:v>Matt Varnish только после полного высыхания масла</x:v>
      </x:c>
      <x:c r="N69" s="90" t="str">
        <x:v>Средняя</x:v>
      </x:c>
      <x:c r="O69" s="89" t="str">
        <x:v>Тонкая умбра обычно сохнет быстрее других масел, но финальный лак наносить только когда поверхность полностью сухая и не липнет.</x:v>
      </x:c>
      <x:c r="P69" s="89" t="str">
        <x:v>Исправлено после аудита</x:v>
      </x:c>
      <x:c r="Q69" s="89" t="str">
        <x:v>Порядок слоёв или материал скорректирован по официальной инструкции/схеме. См. лист «Аудит матрицы».</x:v>
      </x:c>
    </x:row>
    <x:row r="70">
      <x:c r="A70" s="90" t="n">
        <x:v>66</x:v>
      </x:c>
      <x:c r="B70" s="187" t="str">
        <x:v>Эффекты</x:v>
      </x:c>
      <x:c r="C70" s="187" t="str">
        <x:v>Холодный масляный гримдарк</x:v>
      </x:c>
      <x:c r="D70" s="89" t="str">
        <x:v>Масляный фильтр</x:v>
      </x:c>
      <x:c r="E70" s="89" t="str">
        <x:v>Полностью высохшая акриловая схема</x:v>
      </x:c>
      <x:c r="F70" s="89" t="str">
        <x:v>Gloss Varnish, полностью отверждённый по инструкции</x:v>
      </x:c>
      <x:c r="G70" s="89" t="str">
        <x:v>Серая Пейна, сильно разбавленная подходящим растворителем</x:v>
      </x:c>
      <x:c r="H70" s="89" t="str">
        <x:v>Снять масло с верхних плоскостей</x:v>
      </x:c>
      <x:c r="I70" s="89" t="str">
        <x:v>После высыхания вернуть холодные акриловые блики</x:v>
      </x:c>
      <x:c r="J70" s="89" t="str">
        <x:v>—</x:v>
      </x:c>
      <x:c r="K70" s="89" t="str">
        <x:v>—</x:v>
      </x:c>
      <x:c r="L70" s="89" t="str">
        <x:v>—</x:v>
      </x:c>
      <x:c r="M70" s="89" t="str">
        <x:v>Matt Varnish только после полного высыхания масла</x:v>
      </x:c>
      <x:c r="N70" s="90" t="str">
        <x:v>Средняя</x:v>
      </x:c>
      <x:c r="O70" s="89" t="str">
        <x:v>Серая Пейна особенно полезна для синего, серого, белого и стали. Время высыхания зависит от толщины слоя, температуры и влажности.</x:v>
      </x:c>
      <x:c r="P70" s="89" t="str">
        <x:v>Исправлено после аудита</x:v>
      </x:c>
      <x:c r="Q70" s="89" t="str">
        <x:v>Порядок слоёв или материал скорректирован по официальной инструкции/схеме. См. лист «Аудит матрицы».</x:v>
      </x:c>
    </x:row>
    <x:row r="71">
      <x:c r="A71" s="90" t="n">
        <x:v>67</x:v>
      </x:c>
      <x:c r="B71" s="187" t="str">
        <x:v>Эффекты</x:v>
      </x:c>
      <x:c r="C71" s="187" t="str">
        <x:v>Масляная пин-проливка</x:v>
      </x:c>
      <x:c r="D71" s="89" t="str">
        <x:v>Масляная проливка</x:v>
      </x:c>
      <x:c r="E71" s="89" t="str">
        <x:v>Полностью высохшая акриловая схема</x:v>
      </x:c>
      <x:c r="F71" s="89" t="str">
        <x:v>Gloss Varnish, полностью отверждённый по инструкции</x:v>
      </x:c>
      <x:c r="G71" s="89" t="str">
        <x:v>Сажа газовая, очень сильно разбавленная</x:v>
      </x:c>
      <x:c r="H71" s="89" t="str">
        <x:v>Удалить излишки чистой кистью</x:v>
      </x:c>
      <x:c r="I71" s="89" t="str">
        <x:v>После высыхания вернуть повреждённые блики</x:v>
      </x:c>
      <x:c r="J71" s="89" t="str">
        <x:v>—</x:v>
      </x:c>
      <x:c r="K71" s="89" t="str">
        <x:v>—</x:v>
      </x:c>
      <x:c r="L71" s="89" t="str">
        <x:v>—</x:v>
      </x:c>
      <x:c r="M71" s="89" t="str">
        <x:v>Выбранный финальный лак только после полного высыхания масла</x:v>
      </x:c>
      <x:c r="N71" s="90" t="str">
        <x:v>Низкая</x:v>
      </x:c>
      <x:c r="O71" s="89" t="str">
        <x:v>Сажа газовая может оставаться липкой дольше умбры. Для тонкой масляной плёнки закладывать несколько дней и проверять поверхность перед лаком.</x:v>
      </x:c>
      <x:c r="P71" s="89" t="str">
        <x:v>Исправлено после аудита</x:v>
      </x:c>
      <x:c r="Q71" s="89" t="str">
        <x:v>Порядок слоёв или материал скорректирован по официальной инструкции/схеме. См. лист «Аудит матрицы».</x:v>
      </x:c>
    </x:row>
    <x:row r="72">
      <x:c r="A72" s="90" t="n">
        <x:v>68</x:v>
      </x:c>
      <x:c r="B72" s="187" t="str">
        <x:v>Эффекты</x:v>
      </x:c>
      <x:c r="C72" s="187" t="str">
        <x:v>Сколы краски</x:v>
      </x:c>
      <x:c r="D72" s="89" t="str">
        <x:v>Chipping Medium</x:v>
      </x:c>
      <x:c r="E72" s="89" t="str">
        <x:v>Black Primer</x:v>
      </x:c>
      <x:c r="F72" s="89" t="str">
        <x:v>Iron Warriors или AK Deep Brown</x:v>
      </x:c>
      <x:c r="G72" s="89" t="str">
        <x:v>Vallejo Chipping Medium</x:v>
      </x:c>
      <x:c r="H72" s="89" t="str">
        <x:v>Дать Medium высохнуть около 30 минут</x:v>
      </x:c>
      <x:c r="I72" s="89" t="str">
        <x:v>Нанести основной цвет брони</x:v>
      </x:c>
      <x:c r="J72" s="89" t="str">
        <x:v>После высыхания смочить водой и снять верхний слой</x:v>
      </x:c>
      <x:c r="K72" s="89" t="str">
        <x:v>AK Dark Rust внутри крупных сколов</x:v>
      </x:c>
      <x:c r="L72" s="89" t="str">
        <x:v>Vallejo Silver на свежих кромках; Умбра жжёная вокруг старых сколов</x:v>
      </x:c>
      <x:c r="M72" s="89" t="str">
        <x:v>Matt Varnish</x:v>
      </x:c>
      <x:c r="N72" s="90" t="str">
        <x:v>Высокая</x:v>
      </x:c>
      <x:c r="O72" s="89" t="str">
        <x:v>Исправлено по инструкции Vallejo: базовый цвет → Chipping Medium → около 30 минут → верхний цвет → вода и скалывание → защитный лак.</x:v>
      </x:c>
      <x:c r="P72" s="89" t="str">
        <x:v>Исправлено после аудита</x:v>
      </x:c>
      <x:c r="Q72" s="89" t="str">
        <x:v>Порядок слоёв или материал скорректирован по официальной инструкции/схеме. См. лист «Аудит матрицы».</x:v>
      </x:c>
    </x:row>
    <x:row r="73">
      <x:c r="A73" s="90" t="n">
        <x:v>69</x:v>
      </x:c>
      <x:c r="B73" s="222" t="str">
        <x:v>Эффекты</x:v>
      </x:c>
      <x:c r="C73" s="222" t="str">
        <x:v>Растрескавшаяся поверхность / лава</x:v>
      </x:c>
      <x:c r="D73" s="89" t="str">
        <x:v>Crackle Medium</x:v>
      </x:c>
      <x:c r="E73" s="89" t="str">
        <x:v>Тёмная или яркая контрастная подложка</x:v>
      </x:c>
      <x:c r="F73" s="89" t="str">
        <x:v>Нижний цвет: Orange Fire, AK Yellow или AK Deep Brown</x:v>
      </x:c>
      <x:c r="G73" s="89" t="str">
        <x:v>Crackle Medium 70.598 обильным слоем</x:v>
      </x:c>
      <x:c r="H73" s="89" t="str">
        <x:v>Пока Medium ещё не высох, нанести контрастный верхний цвет</x:v>
      </x:c>
      <x:c r="I73" s="89" t="str">
        <x:v>Оставить отверждаться 24 часа</x:v>
      </x:c>
      <x:c r="J73" s="89" t="str">
        <x:v>Satin Varnish перед проливками и сухой кистью</x:v>
      </x:c>
      <x:c r="K73" s="89" t="str">
        <x:v>Longbeard Grey, Pale Sand или Fire Dragon Bright по рельефу</x:v>
      </x:c>
      <x:c r="L73" s="89" t="str">
        <x:v>Wash только после защитного лака</x:v>
      </x:c>
      <x:c r="M73" s="89" t="str">
        <x:v>Matt или Satin Varnish</x:v>
      </x:c>
      <x:c r="N73" s="90" t="str">
        <x:v>Высокая</x:v>
      </x:c>
      <x:c r="O73" s="89" t="str">
        <x:v>Критическое исправление: верхний цвет наносится до высыхания Crackle Medium; полный рисунок проявляется после примерно 24 часов.</x:v>
      </x:c>
      <x:c r="P73" s="89" t="str">
        <x:v>Исправлено после аудита</x:v>
      </x:c>
      <x:c r="Q73" s="89" t="str">
        <x:v>Порядок слоёв или материал скорректирован по официальной инструкции/схеме. См. лист «Аудит матрицы».</x:v>
      </x:c>
    </x:row>
    <x:row r="74">
      <x:c r="A74" s="90" t="n">
        <x:v>70</x:v>
      </x:c>
      <x:c r="B74" s="223" t="str">
        <x:v>Металлик</x:v>
      </x:c>
      <x:c r="C74" s="223" t="str">
        <x:v>Металлическая бирюзовая броня</x:v>
      </x:c>
      <x:c r="D74" s="89" t="str">
        <x:v>Контрастная глазурь по металлу</x:v>
      </x:c>
      <x:c r="E74" s="89" t="str">
        <x:v>Black Primer</x:v>
      </x:c>
      <x:c r="F74" s="89" t="str">
        <x:v>Runefang Steel</x:v>
      </x:c>
      <x:c r="G74" s="89" t="str">
        <x:v>Nuln Oil только в швы</x:v>
      </x:c>
      <x:c r="H74" s="89" t="str">
        <x:v>Akhelian Green + Frostheart + Contrast Medium 1:1:2</x:v>
      </x:c>
      <x:c r="I74" s="89" t="str">
        <x:v>Akhelian Green + Leviadon Blue + Contrast Medium 1:1:2 на нижнюю треть</x:v>
      </x:c>
      <x:c r="J74" s="89" t="str">
        <x:v>Runefang Steel по кромкам</x:v>
      </x:c>
      <x:c r="K74" s="89" t="str">
        <x:v>Vallejo Silver точечно</x:v>
      </x:c>
      <x:c r="L74" s="89" t="str">
        <x:v>Первая бирюзовая смесь очень тонко для объединения</x:v>
      </x:c>
      <x:c r="M74" s="89" t="str">
        <x:v>Gloss Metal Varnish 77.657</x:v>
      </x:c>
      <x:c r="N74" s="90" t="str">
        <x:v>Высокая</x:v>
      </x:c>
      <x:c r="O74" s="89" t="str">
        <x:v>Адаптация официальной металлической бирюзы Solar Auxilia: Frostheart заменяет отсутствующий светлый голубой Contrast.</x:v>
      </x:c>
      <x:c r="P74" s="89" t="str">
        <x:v>Внешний референс — адаптировано</x:v>
      </x:c>
      <x:c r="Q74" s="89" t="str">
        <x:v>Официальная схема производителя адаптирована только под имеющиеся краски; сначала проверить на тестовой детали. См. лист «Аудит матрицы».</x:v>
      </x:c>
    </x:row>
    <x:row r="75">
      <x:c r="A75" s="90" t="n">
        <x:v>71</x:v>
      </x:c>
      <x:c r="B75" s="223" t="str">
        <x:v>Металлик</x:v>
      </x:c>
      <x:c r="C75" s="223" t="str">
        <x:v>Магическая синяя сталь</x:v>
      </x:c>
      <x:c r="D75" s="89" t="str">
        <x:v>Shade по металлу</x:v>
      </x:c>
      <x:c r="E75" s="89" t="str">
        <x:v>Black Primer</x:v>
      </x:c>
      <x:c r="F75" s="89" t="str">
        <x:v>Iron Warriors</x:v>
      </x:c>
      <x:c r="G75" s="89" t="str">
        <x:v>Tyran Blue</x:v>
      </x:c>
      <x:c r="H75" s="89" t="str">
        <x:v>Ironbreaker</x:v>
      </x:c>
      <x:c r="I75" s="89" t="str">
        <x:v>Runefang Steel</x:v>
      </x:c>
      <x:c r="J75" s="89" t="str">
        <x:v>Vallejo Silver</x:v>
      </x:c>
      <x:c r="K75" s="89" t="str">
        <x:v>White точечно</x:v>
      </x:c>
      <x:c r="L75" s="89" t="str">
        <x:v>Tyran Blue очень тонко при необходимости</x:v>
      </x:c>
      <x:c r="M75" s="89" t="str">
        <x:v>Gloss Metal Varnish 77.657</x:v>
      </x:c>
      <x:c r="N75" s="90" t="str">
        <x:v>Низкая</x:v>
      </x:c>
      <x:c r="O75" s="89" t="str">
        <x:v>Основано на официальной идее: синяя Shade поверх серебра создаёт цветную магическую сталь, затем возвращаются металлические блики.</x:v>
      </x:c>
      <x:c r="P75" s="89" t="str">
        <x:v>Внешний референс — адаптировано</x:v>
      </x:c>
      <x:c r="Q75" s="89" t="str">
        <x:v>Официальная схема производителя адаптирована только под имеющиеся краски; сначала проверить на тестовой детали. См. лист «Аудит матрицы».</x:v>
      </x:c>
    </x:row>
    <x:row r="76">
      <x:c r="A76" s="90" t="n">
        <x:v>72</x:v>
      </x:c>
      <x:c r="B76" s="224" t="str">
        <x:v>Зелёный</x:v>
      </x:c>
      <x:c r="C76" s="224" t="str">
        <x:v>Быстрая зелёная ткань</x:v>
      </x:c>
      <x:c r="D76" s="89" t="str">
        <x:v>Contrast в два прохода</x:v>
      </x:c>
      <x:c r="E76" s="89" t="str">
        <x:v>Grey Seer</x:v>
      </x:c>
      <x:c r="F76" s="89" t="str">
        <x:v>Warp Lightning — первый ровный слой</x:v>
      </x:c>
      <x:c r="G76" s="89" t="str">
        <x:v>Warp Lightning — второй слой только в тенях</x:v>
      </x:c>
      <x:c r="H76" s="89" t="str">
        <x:v>Kabalite Green на выступах</x:v>
      </x:c>
      <x:c r="I76" s="89" t="str">
        <x:v>Sybarite Green</x:v>
      </x:c>
      <x:c r="J76" s="89" t="str">
        <x:v>Moot Green</x:v>
      </x:c>
      <x:c r="K76" s="89" t="str">
        <x:v>Moot Green + White 2:1 точечно</x:v>
      </x:c>
      <x:c r="L76" s="89" t="str">
        <x:v>Green Ink 1:12 с Lahmian Medium при необходимости</x:v>
      </x:c>
      <x:c r="M76" s="89" t="str">
        <x:v>Matt Varnish</x:v>
      </x:c>
      <x:c r="N76" s="90" t="str">
        <x:v>Низкая</x:v>
      </x:c>
      <x:c r="O76" s="89" t="str">
        <x:v>Развитие официальной идеи двух слоёв Warp Lightning по Grey Seer: второй слой концентрируется в тенях, затем добавляются обычные блики.</x:v>
      </x:c>
      <x:c r="P76" s="89" t="str">
        <x:v>Внешний референс — адаптировано</x:v>
      </x:c>
      <x:c r="Q76" s="89" t="str">
        <x:v>Официальная схема производителя адаптирована только под имеющиеся краски; сначала проверить на тестовой детали. См. лист «Аудит матрицы».</x:v>
      </x:c>
    </x:row>
    <x:row r="77">
      <x:c r="A77" s="90" t="n">
        <x:v>73</x:v>
      </x:c>
      <x:c r="B77" s="225" t="str">
        <x:v>Серый и чёрный</x:v>
      </x:c>
      <x:c r="C77" s="225" t="str">
        <x:v>NMM: холодная сталь</x:v>
      </x:c>
      <x:c r="D77" s="89" t="str">
        <x:v>Неметаллический металл</x:v>
      </x:c>
      <x:c r="E77" s="89" t="str">
        <x:v>Black Primer</x:v>
      </x:c>
      <x:c r="F77" s="89" t="str">
        <x:v>AK Black</x:v>
      </x:c>
      <x:c r="G77" s="89" t="str">
        <x:v>AK Dark Prussian Blue + AK Black 1:1</x:v>
      </x:c>
      <x:c r="H77" s="89" t="str">
        <x:v>AK German Grey Uniform</x:v>
      </x:c>
      <x:c r="I77" s="89" t="str">
        <x:v>AK Medium Grey</x:v>
      </x:c>
      <x:c r="J77" s="89" t="str">
        <x:v>White Grey</x:v>
      </x:c>
      <x:c r="K77" s="89" t="str">
        <x:v>White резкими точками и линиями</x:v>
      </x:c>
      <x:c r="L77" s="89" t="str">
        <x:v>Blue Ink 1:12 с Lahmian Medium в холодные полутона</x:v>
      </x:c>
      <x:c r="M77" s="89" t="str">
        <x:v>Matt Varnish</x:v>
      </x:c>
      <x:c r="N77" s="90" t="str">
        <x:v>Высокая</x:v>
      </x:c>
      <x:c r="O77" s="89" t="str">
        <x:v>Адаптация AK NMM Steel: резкие соседние зоны света и тени важнее плавного равномерного градиента.</x:v>
      </x:c>
      <x:c r="P77" s="89" t="str">
        <x:v>Внешний референс — адаптировано</x:v>
      </x:c>
      <x:c r="Q77" s="89" t="str">
        <x:v>Официальная схема производителя адаптирована только под имеющиеся краски; сначала проверить на тестовой детали. См. лист «Аудит матрицы».</x:v>
      </x:c>
    </x:row>
    <x:row r="78">
      <x:c r="A78" s="90" t="n">
        <x:v>74</x:v>
      </x:c>
      <x:c r="B78" s="226" t="str">
        <x:v>Жёлтый и оранжевый</x:v>
      </x:c>
      <x:c r="C78" s="226" t="str">
        <x:v>NMM: золото</x:v>
      </x:c>
      <x:c r="D78" s="89" t="str">
        <x:v>Неметаллический металл</x:v>
      </x:c>
      <x:c r="E78" s="89" t="str">
        <x:v>Black Primer</x:v>
      </x:c>
      <x:c r="F78" s="89" t="str">
        <x:v>AK Deep Brown</x:v>
      </x:c>
      <x:c r="G78" s="89" t="str">
        <x:v>AK Purple + AK Deep Brown 1:2</x:v>
      </x:c>
      <x:c r="H78" s="89" t="str">
        <x:v>AK Orange Brown</x:v>
      </x:c>
      <x:c r="I78" s="89" t="str">
        <x:v>AK Dirty Yellow</x:v>
      </x:c>
      <x:c r="J78" s="89" t="str">
        <x:v>AK Yellow + Pale Sand 1:1</x:v>
      </x:c>
      <x:c r="K78" s="89" t="str">
        <x:v>White точечно</x:v>
      </x:c>
      <x:c r="L78" s="89" t="str">
        <x:v>AK Intense Sienna Ink 1:12 для объединения тёплых полутонов</x:v>
      </x:c>
      <x:c r="M78" s="89" t="str">
        <x:v>Matt Varnish</x:v>
      </x:c>
      <x:c r="N78" s="90" t="str">
        <x:v>Высокая</x:v>
      </x:c>
      <x:c r="O78" s="89" t="str">
        <x:v>Адаптация AK NMM Gold: фиолетово-коричневая тень, жёлтые света и почти белый отражённый блик.</x:v>
      </x:c>
      <x:c r="P78" s="89" t="str">
        <x:v>Внешний референс — адаптировано</x:v>
      </x:c>
      <x:c r="Q78" s="89" t="str">
        <x:v>Официальная схема производителя адаптирована только под имеющиеся краски; сначала проверить на тестовой детали. См. лист «Аудит матрицы».</x:v>
      </x:c>
    </x:row>
    <x:row r="79">
      <x:c r="A79" s="90" t="n">
        <x:v>75</x:v>
      </x:c>
      <x:c r="B79" s="227" t="str">
        <x:v>Кость и белый</x:v>
      </x:c>
      <x:c r="C79" s="227" t="str">
        <x:v>Холодная белая броня</x:v>
      </x:c>
      <x:c r="D79" s="89" t="str">
        <x:v>Официальная логика белой брони, адаптация</x:v>
      </x:c>
      <x:c r="E79" s="89" t="str">
        <x:v>Grey Seer</x:v>
      </x:c>
      <x:c r="F79" s="89" t="str">
        <x:v>Grey Seer</x:v>
      </x:c>
      <x:c r="G79" s="89" t="str">
        <x:v>Dark Reaper только в глубокие стыки</x:v>
      </x:c>
      <x:c r="H79" s="89" t="str">
        <x:v>Ulthuan Grey</x:v>
      </x:c>
      <x:c r="I79" s="89" t="str">
        <x:v>White Grey</x:v>
      </x:c>
      <x:c r="J79" s="89" t="str">
        <x:v>White</x:v>
      </x:c>
      <x:c r="K79" s="89" t="str">
        <x:v>White точечно</x:v>
      </x:c>
      <x:c r="L79" s="89" t="str">
        <x:v>Apothecary White 1:2 с Contrast Medium при необходимости</x:v>
      </x:c>
      <x:c r="M79" s="89" t="str">
        <x:v>Matt Varnish</x:v>
      </x:c>
      <x:c r="N79" s="90" t="str">
        <x:v>Средняя</x:v>
      </x:c>
      <x:c r="O79" s="89" t="str">
        <x:v>Тёмно-синий серый используется только как глубокая тень; большая часть поверхности остаётся почти белой.</x:v>
      </x:c>
      <x:c r="P79" s="89" t="str">
        <x:v>Внешний референс — адаптировано</x:v>
      </x:c>
      <x:c r="Q79" s="89" t="str">
        <x:v>Официальная схема производителя адаптирована только под имеющиеся краски; сначала проверить на тестовой детали. См. лист «Аудит матрицы».</x:v>
      </x:c>
    </x:row>
    <x:row r="80">
      <x:c r="A80" s="90" t="n">
        <x:v>76</x:v>
      </x:c>
      <x:c r="B80" s="233" t="str">
        <x:v>Телесный</x:v>
      </x:c>
      <x:c r="C80" s="233" t="str">
        <x:v>Зенитальная мертвенная кожа</x:v>
      </x:c>
      <x:c r="D80" s="89" t="str">
        <x:v>Зенитальная подложка + Contrast</x:v>
      </x:c>
      <x:c r="E80" s="89" t="str">
        <x:v>Black Primer → Grey Seer сухой кистью/аэрографом под 45° → White сверху</x:v>
      </x:c>
      <x:c r="F80" s="89" t="str">
        <x:v>Dreadful Visage + Contrast Medium 1:1</x:v>
      </x:c>
      <x:c r="G80" s="89" t="str">
        <x:v>Space Wolves Grey только в глубокие тени</x:v>
      </x:c>
      <x:c r="H80" s="89" t="str">
        <x:v>Fenrisian Grey</x:v>
      </x:c>
      <x:c r="I80" s="89" t="str">
        <x:v>Deepkin Flesh</x:v>
      </x:c>
      <x:c r="J80" s="89" t="str">
        <x:v>Pallid Wych Flesh</x:v>
      </x:c>
      <x:c r="K80" s="89" t="str">
        <x:v>White точечно</x:v>
      </x:c>
      <x:c r="L80" s="89" t="str">
        <x:v>Dreadful Visage 1:4 с Contrast Medium при необходимости</x:v>
      </x:c>
      <x:c r="M80" s="89" t="str">
        <x:v>Matt Varnish</x:v>
      </x:c>
      <x:c r="N80" s="90" t="str">
        <x:v>Средняя</x:v>
      </x:c>
      <x:c r="O80" s="89" t="str">
        <x:v>Адаптация официальной зенитальной логики для бледной кожи: подложка заранее создаёт объём, прозрачный слой сохраняет его.</x:v>
      </x:c>
      <x:c r="P80" s="241" t="str">
        <x:v>Внешний референс — адаптировано</x:v>
      </x:c>
      <x:c r="Q80" s="89" t="str">
        <x:v>Зенитальная подложка и прозрачный цвет подтверждены официальной практикой; рецепт адаптирован под имеющиеся Dreadful Visage, Fenrisian Grey и Deepkin Flesh.</x:v>
      </x:c>
    </x:row>
    <x:row r="81">
      <x:c r="A81" s="90" t="n">
        <x:v>77</x:v>
      </x:c>
      <x:c r="B81" s="233" t="str">
        <x:v>Телесный</x:v>
      </x:c>
      <x:c r="C81" s="233" t="str">
        <x:v>Обветренная бледная кожа</x:v>
      </x:c>
      <x:c r="D81" s="89" t="str">
        <x:v>Shade + слои</x:v>
      </x:c>
      <x:c r="E81" s="89" t="str">
        <x:v>Любой настоящий грунт → Grey Seer</x:v>
      </x:c>
      <x:c r="F81" s="89" t="str">
        <x:v>Rakarth Flesh</x:v>
      </x:c>
      <x:c r="G81" s="89" t="str">
        <x:v>Targor Rageshade в углубления и вокруг деталей лица</x:v>
      </x:c>
      <x:c r="H81" s="89" t="str">
        <x:v>Rakarth Flesh</x:v>
      </x:c>
      <x:c r="I81" s="89" t="str">
        <x:v>Flayed One Flesh</x:v>
      </x:c>
      <x:c r="J81" s="89" t="str">
        <x:v>Pallid Wych Flesh</x:v>
      </x:c>
      <x:c r="K81" s="89" t="str">
        <x:v>White точечно</x:v>
      </x:c>
      <x:c r="L81" s="89" t="str">
        <x:v>Targor Rageshade очень тонко локально</x:v>
      </x:c>
      <x:c r="M81" s="89" t="str">
        <x:v>Matt Varnish</x:v>
      </x:c>
      <x:c r="N81" s="90" t="str">
        <x:v>Средняя</x:v>
      </x:c>
      <x:c r="O81" s="89" t="str">
        <x:v>Основано на официальной рекомендации использовать Targor Rageshade по Rakarth Flesh для бледной, потрёпанной кожи.</x:v>
      </x:c>
      <x:c r="P81" s="241" t="str">
        <x:v>Внешний референс — адаптировано</x:v>
      </x:c>
      <x:c r="Q81" s="89" t="str">
        <x:v>Связка Rakarth Flesh + Targor Rageshade подтверждена официальной рекомендацией Warhammer Colour.</x:v>
      </x:c>
    </x:row>
    <x:row r="82">
      <x:c r="A82" s="90" t="n">
        <x:v>78</x:v>
      </x:c>
      <x:c r="B82" s="234" t="str">
        <x:v>Кость и белый</x:v>
      </x:c>
      <x:c r="C82" s="234" t="str">
        <x:v>Выветренная серая кость</x:v>
      </x:c>
      <x:c r="D82" s="89" t="str">
        <x:v>Shade + сухая кисть</x:v>
      </x:c>
      <x:c r="E82" s="89" t="str">
        <x:v>Любой настоящий грунт → Wraithbone</x:v>
      </x:c>
      <x:c r="F82" s="89" t="str">
        <x:v>Screaming Skull</x:v>
      </x:c>
      <x:c r="G82" s="89" t="str">
        <x:v>Soulblight Grey</x:v>
      </x:c>
      <x:c r="H82" s="89" t="str">
        <x:v>Screaming Skull на выступах</x:v>
      </x:c>
      <x:c r="I82" s="89" t="str">
        <x:v>Flayed One Flesh сухой кистью</x:v>
      </x:c>
      <x:c r="J82" s="89" t="str">
        <x:v>Pallid Wych Flesh</x:v>
      </x:c>
      <x:c r="K82" s="89" t="str">
        <x:v>White точечно</x:v>
      </x:c>
      <x:c r="L82" s="89" t="str">
        <x:v>Seraphim Sepia только в отдельных старых пятнах</x:v>
      </x:c>
      <x:c r="M82" s="89" t="str">
        <x:v>Matt Varnish</x:v>
      </x:c>
      <x:c r="N82" s="90" t="str">
        <x:v>Низкая</x:v>
      </x:c>
      <x:c r="O82" s="89" t="str">
        <x:v>Основано на официальной идее Soulblight Grey поверх Screaming Skull с последующим светлым drybrush.</x:v>
      </x:c>
      <x:c r="P82" s="241" t="str">
        <x:v>Внешний референс — адаптировано</x:v>
      </x:c>
      <x:c r="Q82" s="89" t="str">
        <x:v>Связка Screaming Skull + Soulblight Grey + светлый drybrush подтверждена официальной рекомендацией Warhammer Colour.</x:v>
      </x:c>
    </x:row>
    <x:row r="83">
      <x:c r="A83" s="90" t="n">
        <x:v>79</x:v>
      </x:c>
      <x:c r="B83" s="235" t="str">
        <x:v>Металлик</x:v>
      </x:c>
      <x:c r="C83" s="235" t="str">
        <x:v>Тёмная цветная металлическая броня</x:v>
      </x:c>
      <x:c r="D83" s="89" t="str">
        <x:v>Contrast по металлу</x:v>
      </x:c>
      <x:c r="E83" s="89" t="str">
        <x:v>Black Primer</x:v>
      </x:c>
      <x:c r="F83" s="89" t="str">
        <x:v>Iron Warriors</x:v>
      </x:c>
      <x:c r="G83" s="89" t="str">
        <x:v>Black Legion + Contrast Medium 1:1</x:v>
      </x:c>
      <x:c r="H83" s="89" t="str">
        <x:v>Iron Warriors на верхних плоскостях</x:v>
      </x:c>
      <x:c r="I83" s="89" t="str">
        <x:v>Ironbreaker</x:v>
      </x:c>
      <x:c r="J83" s="89" t="str">
        <x:v>Runefang Steel</x:v>
      </x:c>
      <x:c r="K83" s="89" t="str">
        <x:v>Vallejo Silver точечно</x:v>
      </x:c>
      <x:c r="L83" s="89" t="str">
        <x:v>Black Legion 1:5 с Contrast Medium при необходимости</x:v>
      </x:c>
      <x:c r="M83" s="89" t="str">
        <x:v>Metal Varnish 77.657</x:v>
      </x:c>
      <x:c r="N83" s="90" t="str">
        <x:v>Низкая</x:v>
      </x:c>
      <x:c r="O83" s="89" t="str">
        <x:v>Адаптация официального быстрого метода: Base-металл по чёрному грунту, затем Contrast с Medium для цветной глубины.</x:v>
      </x:c>
      <x:c r="P83" s="241" t="str">
        <x:v>Внешний референс — адаптировано</x:v>
      </x:c>
      <x:c r="Q83" s="89" t="str">
        <x:v>Contrast с Contrast Medium поверх Base-металла подтверждён официальным быстрым методом.</x:v>
      </x:c>
    </x:row>
    <x:row r="84">
      <x:c r="A84" s="90" t="n">
        <x:v>80</x:v>
      </x:c>
      <x:c r="B84" s="236" t="str">
        <x:v>Серый и чёрный</x:v>
      </x:c>
      <x:c r="C84" s="236" t="str">
        <x:v>Быстрая чёрная ткань</x:v>
      </x:c>
      <x:c r="D84" s="89" t="str">
        <x:v>Contrast + слои</x:v>
      </x:c>
      <x:c r="E84" s="89" t="str">
        <x:v>Настоящий грунт → Grey Seer</x:v>
      </x:c>
      <x:c r="F84" s="89" t="str">
        <x:v>Black Legion + Contrast Medium 1:1</x:v>
      </x:c>
      <x:c r="G84" s="89" t="str">
        <x:v>Black Templar только в глубокие складки</x:v>
      </x:c>
      <x:c r="H84" s="89" t="str">
        <x:v>Corvus Black</x:v>
      </x:c>
      <x:c r="I84" s="89" t="str">
        <x:v>Eshin Grey</x:v>
      </x:c>
      <x:c r="J84" s="89" t="str">
        <x:v>Dawnstone</x:v>
      </x:c>
      <x:c r="K84" s="89" t="str">
        <x:v>White Grey точечно</x:v>
      </x:c>
      <x:c r="L84" s="89" t="str">
        <x:v>Black Legion 1:8 с Contrast Medium для объединения</x:v>
      </x:c>
      <x:c r="M84" s="89" t="str">
        <x:v>Matt Varnish</x:v>
      </x:c>
      <x:c r="N84" s="90" t="str">
        <x:v>Низкая</x:v>
      </x:c>
      <x:c r="O84" s="89" t="str">
        <x:v>Тонкий Black Legion создаёт более читаемую ткань, чем сплошной непрозрачный чёрный; затем форму усиливают серыми бликами.</x:v>
      </x:c>
      <x:c r="P84" s="241" t="str">
        <x:v>Внешний референс — адаптировано</x:v>
      </x:c>
      <x:c r="Q84" s="89" t="str">
        <x:v>Разбавленный Black Legion официально применяется для чёрной ткани и кожи; серые высветления адаптированы под коллекцию.</x:v>
      </x:c>
    </x:row>
    <x:row r="85">
      <x:c r="A85" s="90" t="n">
        <x:v>81</x:v>
      </x:c>
      <x:c r="B85" s="233" t="str">
        <x:v>Телесный</x:v>
      </x:c>
      <x:c r="C85" s="233" t="str">
        <x:v>Быстрая тёплая кожа с цветными тенями</x:v>
      </x:c>
      <x:c r="D85" s="89" t="str">
        <x:v>Contrast + слои</x:v>
      </x:c>
      <x:c r="E85" s="89" t="str">
        <x:v>Настоящий грунт → Wraithbone</x:v>
      </x:c>
      <x:c r="F85" s="89" t="str">
        <x:v>Guilliman Flesh + Contrast Medium 1:1</x:v>
      </x:c>
      <x:c r="G85" s="89" t="str">
        <x:v>Darkoath Flesh только в глубокие складки</x:v>
      </x:c>
      <x:c r="H85" s="89" t="str">
        <x:v>Cadian Fleshtone</x:v>
      </x:c>
      <x:c r="I85" s="89" t="str">
        <x:v>Flayed One Flesh</x:v>
      </x:c>
      <x:c r="J85" s="89" t="str">
        <x:v>Pallid Wych Flesh</x:v>
      </x:c>
      <x:c r="K85" s="89" t="str">
        <x:v>White точечно</x:v>
      </x:c>
      <x:c r="L85" s="89" t="str">
        <x:v>Guilliman Flesh 1:8 с Contrast Medium</x:v>
      </x:c>
      <x:c r="M85" s="89" t="str">
        <x:v>Matt Varnish</x:v>
      </x:c>
      <x:c r="N85" s="90" t="str">
        <x:v>Низкая</x:v>
      </x:c>
      <x:c r="O85" s="89" t="str">
        <x:v>Основано на официальной практике совместного применения разбавленного Guilliman Flesh и Darkoath Flesh.</x:v>
      </x:c>
      <x:c r="P85" s="241" t="str">
        <x:v>Внешний референс — адаптировано</x:v>
      </x:c>
      <x:c r="Q85" s="89" t="str">
        <x:v>Совместное применение разбавленных Guilliman Flesh и Darkoath Flesh подтверждено официальной практикой.</x:v>
      </x:c>
    </x:row>
    <x:row r="86">
      <x:c r="A86" s="90" t="n">
        <x:v>82</x:v>
      </x:c>
      <x:c r="B86" s="237" t="str">
        <x:v>Эффекты</x:v>
      </x:c>
      <x:c r="C86" s="237" t="str">
        <x:v>Светящийся красно-оранжевый камень</x:v>
      </x:c>
      <x:c r="D86" s="89" t="str">
        <x:v>Ink + Fluorescent</x:v>
      </x:c>
      <x:c r="E86" s="89" t="str">
        <x:v>Настоящий грунт → White</x:v>
      </x:c>
      <x:c r="F86" s="89" t="str">
        <x:v>Red Ink на камень и небольшой ореол</x:v>
      </x:c>
      <x:c r="G86" s="89" t="str">
        <x:v>Red Ink повторно на внешнюю и нижнюю часть</x:v>
      </x:c>
      <x:c r="H86" s="89" t="str">
        <x:v>White узкой внутренней линией</x:v>
      </x:c>
      <x:c r="I86" s="89" t="str">
        <x:v>Orange Fluorescent</x:v>
      </x:c>
      <x:c r="J86" s="89" t="str">
        <x:v>Orange Fluorescent + Yellow Fluorescent 1:1</x:v>
      </x:c>
      <x:c r="K86" s="89" t="str">
        <x:v>White точкой</x:v>
      </x:c>
      <x:c r="L86" s="89" t="str">
        <x:v>Yellow Fluorescent очень тонко на самом ярком участке</x:v>
      </x:c>
      <x:c r="M86" s="89" t="str">
        <x:v>Gloss Varnish на камне; Satin на ореоле</x:v>
      </x:c>
      <x:c r="N86" s="90" t="str">
        <x:v>Средняя</x:v>
      </x:c>
      <x:c r="O86" s="89" t="str">
        <x:v>Адаптация официального Vallejo glowing gemstone: белая основа, Red Ink, новая белая линия и флуоресцентные оранжево-жёлтые слои.</x:v>
      </x:c>
      <x:c r="P86" s="241" t="str">
        <x:v>Внешний референс — адаптировано</x:v>
      </x:c>
      <x:c r="Q86" s="89" t="str">
        <x:v>Последовательность White → Red Ink → White → Fluorescent Orange/Yellow адаптирована из официального Vallejo tutorial.</x:v>
      </x:c>
    </x:row>
    <x:row r="87">
      <x:c r="A87" s="90" t="n">
        <x:v>83</x:v>
      </x:c>
      <x:c r="B87" s="238" t="str">
        <x:v>Красный</x:v>
      </x:c>
      <x:c r="C87" s="238" t="str">
        <x:v>Светящееся красное лезвие или коготь</x:v>
      </x:c>
      <x:c r="D87" s="89" t="str">
        <x:v>Contrast по красной базе</x:v>
      </x:c>
      <x:c r="E87" s="89" t="str">
        <x:v>Настоящий грунт → Grey Seer</x:v>
      </x:c>
      <x:c r="F87" s="89" t="str">
        <x:v>Mephiston Red Air, 2–3 тонких слоя кистью</x:v>
      </x:c>
      <x:c r="G87" s="89" t="str">
        <x:v>Flesh Tearers Red</x:v>
      </x:c>
      <x:c r="H87" s="89" t="str">
        <x:v>Mephiston Red Air вернуть на свет</x:v>
      </x:c>
      <x:c r="I87" s="89" t="str">
        <x:v>Evil Sunz Scarlet</x:v>
      </x:c>
      <x:c r="J87" s="89" t="str">
        <x:v>Fire Dragon Bright</x:v>
      </x:c>
      <x:c r="K87" s="89" t="str">
        <x:v>White точечно</x:v>
      </x:c>
      <x:c r="L87" s="89" t="str">
        <x:v>Baal Red 1:5 с Contrast Medium при необходимости</x:v>
      </x:c>
      <x:c r="M87" s="89" t="str">
        <x:v>Satin Varnish</x:v>
      </x:c>
      <x:c r="N87" s="90" t="str">
        <x:v>Средняя</x:v>
      </x:c>
      <x:c r="O87" s="89" t="str">
        <x:v>Адаптация официального приёма Mephiston Red → Flesh Tearers Red → яркое высветление; Air наносится кистью несколькими тонкими слоями.</x:v>
      </x:c>
      <x:c r="P87" s="241" t="str">
        <x:v>Внешний референс — адаптировано</x:v>
      </x:c>
      <x:c r="Q87" s="89" t="str">
        <x:v>Красная база с Flesh Tearers Red и ярким высветлением подтверждена официальным примером; Mephiston Red Air используется кистью тонкими слоями.</x:v>
      </x:c>
    </x:row>
    <x:row r="88">
      <x:c r="A88" s="90" t="n">
        <x:v>84</x:v>
      </x:c>
      <x:c r="B88" s="235" t="str">
        <x:v>Металлик</x:v>
      </x:c>
      <x:c r="C88" s="235" t="str">
        <x:v>Спектральное синее золото</x:v>
      </x:c>
      <x:c r="D88" s="89" t="str">
        <x:v>Shade по золоту</x:v>
      </x:c>
      <x:c r="E88" s="89" t="str">
        <x:v>Black Primer</x:v>
      </x:c>
      <x:c r="F88" s="89" t="str">
        <x:v>Retributor Armour</x:v>
      </x:c>
      <x:c r="G88" s="89" t="str">
        <x:v>Tyran Blue</x:v>
      </x:c>
      <x:c r="H88" s="89" t="str">
        <x:v>Gehenna's Gold</x:v>
      </x:c>
      <x:c r="I88" s="89" t="str">
        <x:v>Liberator Gold</x:v>
      </x:c>
      <x:c r="J88" s="89" t="str">
        <x:v>Canoptek Alloy</x:v>
      </x:c>
      <x:c r="K88" s="89" t="str">
        <x:v>Vallejo Silver точечно</x:v>
      </x:c>
      <x:c r="L88" s="89" t="str">
        <x:v>Tyran Blue очень тонко только в глубокие зоны</x:v>
      </x:c>
      <x:c r="M88" s="89" t="str">
        <x:v>Metal Varnish 77.657</x:v>
      </x:c>
      <x:c r="N88" s="90" t="str">
        <x:v>Средняя</x:v>
      </x:c>
      <x:c r="O88" s="89" t="str">
        <x:v>Развитие официальной идеи Tyran Blue по золоту: синяя тень создаёт фантастический холодный контраст, затем возвращаются тёплые металлические блики.</x:v>
      </x:c>
      <x:c r="P88" s="241" t="str">
        <x:v>Внешний референс — адаптировано</x:v>
      </x:c>
      <x:c r="Q88" s="89" t="str">
        <x:v>Tyran Blue официально рекомендован для необычных сочетаний поверх золота и серебра.</x:v>
      </x:c>
    </x:row>
    <x:row r="89">
      <x:c r="A89" s="90" t="n">
        <x:v>85</x:v>
      </x:c>
      <x:c r="B89" s="239" t="str">
        <x:v>Синий</x:v>
      </x:c>
      <x:c r="C89" s="239" t="str">
        <x:v>Сине-фиолетовый Ink-фильтр по серой броне</x:v>
      </x:c>
      <x:c r="D89" s="89" t="str">
        <x:v>Game Ink filter</x:v>
      </x:c>
      <x:c r="E89" s="89" t="str">
        <x:v>Black Primer</x:v>
      </x:c>
      <x:c r="F89" s="89" t="str">
        <x:v>AK Medium Grey</x:v>
      </x:c>
      <x:c r="G89" s="89" t="str">
        <x:v>Violet Ink на нижнюю треть и в углубления</x:v>
      </x:c>
      <x:c r="H89" s="89" t="str">
        <x:v>White Grey на верхних плоскостях</x:v>
      </x:c>
      <x:c r="I89" s="89" t="str">
        <x:v>Blue Ink очень тонким фильтром по всей панели</x:v>
      </x:c>
      <x:c r="J89" s="89" t="str">
        <x:v>White Grey вернуть на кромки</x:v>
      </x:c>
      <x:c r="K89" s="89" t="str">
        <x:v>White точечно</x:v>
      </x:c>
      <x:c r="L89" s="89" t="str">
        <x:v>Blue Ink повторно только в переходах</x:v>
      </x:c>
      <x:c r="M89" s="89" t="str">
        <x:v>Satin Varnish</x:v>
      </x:c>
      <x:c r="N89" s="90" t="str">
        <x:v>Средняя</x:v>
      </x:c>
      <x:c r="O89" s="89" t="str">
        <x:v>Vallejo Game Inks остаются прозрачными даже после нескольких слоёв: предварительная серая светотень продолжает читаться под фильтром.</x:v>
      </x:c>
      <x:c r="P89" s="241" t="str">
        <x:v>Внешний референс — адаптировано</x:v>
      </x:c>
      <x:c r="Q89" s="89" t="str">
        <x:v>Vallejo подтверждает прозрачность Game Inks и сохранение предварительно нанесённой светотени под несколькими фильтрами.</x:v>
      </x:c>
    </x:row>
    <x:row r="90">
      <x:c r="A90" s="90" t="n">
        <x:v>86</x:v>
      </x:c>
      <x:c r="B90" s="240" t="str">
        <x:v>Зелёный</x:v>
      </x:c>
      <x:c r="C90" s="240" t="str">
        <x:v>Быстрая болотная кожа</x:v>
      </x:c>
      <x:c r="D90" s="89" t="str">
        <x:v>Contrast в два слоя</x:v>
      </x:c>
      <x:c r="E90" s="89" t="str">
        <x:v>Настоящий грунт → Wraithbone</x:v>
      </x:c>
      <x:c r="F90" s="89" t="str">
        <x:v>Plaguebearer Flesh — первый ровный слой</x:v>
      </x:c>
      <x:c r="G90" s="89" t="str">
        <x:v>Plaguebearer Flesh — второй слой в тенях</x:v>
      </x:c>
      <x:c r="H90" s="89" t="str">
        <x:v>Death Guard Green на выступах</x:v>
      </x:c>
      <x:c r="I90" s="89" t="str">
        <x:v>Zamesi Desert</x:v>
      </x:c>
      <x:c r="J90" s="89" t="str">
        <x:v>Pallid Wych Flesh</x:v>
      </x:c>
      <x:c r="K90" s="89" t="str">
        <x:v>White точечно</x:v>
      </x:c>
      <x:c r="L90" s="89" t="str">
        <x:v>Militarum Green только в самых глубоких складках</x:v>
      </x:c>
      <x:c r="M90" s="89" t="str">
        <x:v>Matt Varnish</x:v>
      </x:c>
      <x:c r="N90" s="90" t="str">
        <x:v>Низкая</x:v>
      </x:c>
      <x:c r="O90" s="89" t="str">
        <x:v>Основано на официальной практике двух слоёв Plaguebearer Flesh; непрозрачные блики повышают читаемость на игровом расстоянии.</x:v>
      </x:c>
      <x:c r="P90" s="241" t="str">
        <x:v>Внешний референс — адаптировано</x:v>
      </x:c>
      <x:c r="Q90" s="89" t="str">
        <x:v>Два слоя Plaguebearer Flesh подтверждены официальным примером; дальнейшие блики адаптированы под коллекцию.</x:v>
      </x:c>
    </x:row>
    <x:row r="91">
      <x:c r="A91" s="90" t="n">
        <x:v>87</x:v>
      </x:c>
      <x:c r="B91" s="272" t="str">
        <x:v>Коричневый и кожа</x:v>
      </x:c>
      <x:c r="C91" s="272" t="str">
        <x:v>Быстрая тёмная кожа</x:v>
      </x:c>
      <x:c r="D91" s="89" t="str">
        <x:v>Contrast + edge highlight</x:v>
      </x:c>
      <x:c r="E91" s="89" t="str">
        <x:v>Настоящий грунт → Wraithbone или Grey Seer</x:v>
      </x:c>
      <x:c r="F91" s="89" t="str">
        <x:v>Cygor Brown + Contrast Medium 1:1</x:v>
      </x:c>
      <x:c r="G91" s="89" t="str">
        <x:v>Cygor Brown без Medium только в глубокие складки</x:v>
      </x:c>
      <x:c r="H91" s="89" t="str">
        <x:v>Gorthor Brown</x:v>
      </x:c>
      <x:c r="I91" s="89" t="str">
        <x:v>Baneblade Brown</x:v>
      </x:c>
      <x:c r="J91" s="89" t="str">
        <x:v>Zamesi Desert</x:v>
      </x:c>
      <x:c r="K91" s="89" t="str">
        <x:v>Pale Sand точечно</x:v>
      </x:c>
      <x:c r="L91" s="89" t="str">
        <x:v>Cygor Brown 1:6 с Contrast Medium для объединения</x:v>
      </x:c>
      <x:c r="M91" s="89" t="str">
        <x:v>Satin Varnish</x:v>
      </x:c>
      <x:c r="N91" s="90" t="str">
        <x:v>Низкая</x:v>
      </x:c>
      <x:c r="O91" s="89" t="str">
        <x:v>Адаптация официальной схемы Kruleboyz: разбавленный Cygor Brown создаёт кожу, Gorthor Brown — кромки; дополнительные светлые ступени взяты из коллекции.</x:v>
      </x:c>
      <x:c r="P91" s="89" t="str">
        <x:v>Внешний референс — адаптировано</x:v>
      </x:c>
      <x:c r="Q91" s="89" t="str">
        <x:v>Официальная схема Cygor Brown + Contrast Medium → Gorthor Brown расширена светлыми оттенками из коллекции.</x:v>
      </x:c>
    </x:row>
    <x:row r="92">
      <x:c r="A92" s="90" t="n">
        <x:v>88</x:v>
      </x:c>
      <x:c r="B92" s="272" t="str">
        <x:v>Коричневый и кожа</x:v>
      </x:c>
      <x:c r="C92" s="272" t="str">
        <x:v>Быстрое дерево</x:v>
      </x:c>
      <x:c r="D92" s="89" t="str">
        <x:v>Contrast + прорисовка волокон</x:v>
      </x:c>
      <x:c r="E92" s="89" t="str">
        <x:v>Настоящий грунт → Wraithbone</x:v>
      </x:c>
      <x:c r="F92" s="89" t="str">
        <x:v>Wyldwood + Contrast Medium 1:1</x:v>
      </x:c>
      <x:c r="G92" s="89" t="str">
        <x:v>Wyldwood без Medium в сучки и трещины</x:v>
      </x:c>
      <x:c r="H92" s="89" t="str">
        <x:v>Baneblade Brown тонкими линиями</x:v>
      </x:c>
      <x:c r="I92" s="89" t="str">
        <x:v>Karak Stone более редкими линиями</x:v>
      </x:c>
      <x:c r="J92" s="89" t="str">
        <x:v>Pale Sand</x:v>
      </x:c>
      <x:c r="K92" s="89" t="str">
        <x:v>White точечно</x:v>
      </x:c>
      <x:c r="L92" s="89" t="str">
        <x:v>Умбра жжёная по отверждённому Gloss Varnish при необходимости</x:v>
      </x:c>
      <x:c r="M92" s="89" t="str">
        <x:v>Matt Varnish</x:v>
      </x:c>
      <x:c r="N92" s="90" t="str">
        <x:v>Низкая</x:v>
      </x:c>
      <x:c r="O92" s="89" t="str">
        <x:v>Основано на официальной последовательности Wyldwood + Contrast Medium → Baneblade Brown; светлые волокна добавлены из имеющейся палитры.</x:v>
      </x:c>
      <x:c r="P92" s="89" t="str">
        <x:v>Внешний референс — адаптировано</x:v>
      </x:c>
      <x:c r="Q92" s="89" t="str">
        <x:v>Официальная схема Wyldwood + Contrast Medium → Baneblade Brown расширена Karak Stone и Pale Sand.</x:v>
      </x:c>
    </x:row>
    <x:row r="93">
      <x:c r="A93" s="90" t="n">
        <x:v>89</x:v>
      </x:c>
      <x:c r="B93" s="273" t="str">
        <x:v>Кость и белый</x:v>
      </x:c>
      <x:c r="C93" s="273" t="str">
        <x:v>Зимний бело-серый мех</x:v>
      </x:c>
      <x:c r="D93" s="89" t="str">
        <x:v>Contrast + drybrush</x:v>
      </x:c>
      <x:c r="E93" s="89" t="str">
        <x:v>Настоящий грунт → Grey Seer</x:v>
      </x:c>
      <x:c r="F93" s="89" t="str">
        <x:v>Space Wolves Grey</x:v>
      </x:c>
      <x:c r="G93" s="89" t="str">
        <x:v>Space Wolves Grey вторым слоем только в глубоких участках</x:v>
      </x:c>
      <x:c r="H93" s="89" t="str">
        <x:v>Fenrisian Grey сухой кистью</x:v>
      </x:c>
      <x:c r="I93" s="89" t="str">
        <x:v>Ulthuan Grey сухой кистью сверху</x:v>
      </x:c>
      <x:c r="J93" s="89" t="str">
        <x:v>White Grey</x:v>
      </x:c>
      <x:c r="K93" s="89" t="str">
        <x:v>White точечно</x:v>
      </x:c>
      <x:c r="L93" s="89" t="str">
        <x:v>Apothecary White 1:3 с Contrast Medium при необходимости</x:v>
      </x:c>
      <x:c r="M93" s="89" t="str">
        <x:v>Matt Varnish</x:v>
      </x:c>
      <x:c r="N93" s="90" t="str">
        <x:v>Низкая</x:v>
      </x:c>
      <x:c r="O93" s="89" t="str">
        <x:v>Адаптация официального метода зимнего меха: Space Wolves Grey по светлой основе и светлая сухая кисть; отсутствующий Celestra Grey заменён Fenrisian/Ulthuan Grey.</x:v>
      </x:c>
      <x:c r="P93" s="89" t="str">
        <x:v>Внешний референс — адаптировано</x:v>
      </x:c>
      <x:c r="Q93" s="89" t="str">
        <x:v>Официальный зимний мех Space Wolves Grey + светлый drybrush адаптирован под Fenrisian Grey и Ulthuan Grey.</x:v>
      </x:c>
    </x:row>
    <x:row r="94">
      <x:c r="A94" s="90" t="n">
        <x:v>90</x:v>
      </x:c>
      <x:c r="B94" s="274" t="str">
        <x:v>Металлик</x:v>
      </x:c>
      <x:c r="C94" s="274" t="str">
        <x:v>Болезненный зелёный металл</x:v>
      </x:c>
      <x:c r="D94" s="89" t="str">
        <x:v>Contrast по металлу + drybrush</x:v>
      </x:c>
      <x:c r="E94" s="89" t="str">
        <x:v>Black Primer</x:v>
      </x:c>
      <x:c r="F94" s="89" t="str">
        <x:v>Leadbelcher или Runelord Brass</x:v>
      </x:c>
      <x:c r="G94" s="89" t="str">
        <x:v>Warp Lightning</x:v>
      </x:c>
      <x:c r="H94" s="89" t="str">
        <x:v>Исходный металл вернуть на выступах</x:v>
      </x:c>
      <x:c r="I94" s="89" t="str">
        <x:v>AK Yellow очень лёгкой сухой кистью</x:v>
      </x:c>
      <x:c r="J94" s="89" t="str">
        <x:v>Moot Green точечно</x:v>
      </x:c>
      <x:c r="K94" s="89" t="str">
        <x:v>Vallejo Silver на острых кромках</x:v>
      </x:c>
      <x:c r="L94" s="89" t="str">
        <x:v>Warp Lightning 1:4 с Contrast Medium локально</x:v>
      </x:c>
      <x:c r="M94" s="89" t="str">
        <x:v>Metal Varnish 77.657</x:v>
      </x:c>
      <x:c r="N94" s="90" t="str">
        <x:v>Средняя</x:v>
      </x:c>
      <x:c r="O94" s="89" t="str">
        <x:v>Официальная идея Warp Lightning по металлу адаптирована под коллекцию: отсутствующий Flash Gitz Yellow заменён AK Yellow, а Moot Green усиливает токсичное свечение.</x:v>
      </x:c>
      <x:c r="P94" s="89" t="str">
        <x:v>Внешний референс — адаптировано</x:v>
      </x:c>
      <x:c r="Q94" s="89" t="str">
        <x:v>Официальная идея Warp Lightning поверх металла адаптирована заменой Flash Gitz Yellow на AK Yellow.</x:v>
      </x:c>
    </x:row>
    <x:row r="95">
      <x:c r="A95" s="90" t="n">
        <x:v>91</x:v>
      </x:c>
      <x:c r="B95" s="274" t="str">
        <x:v>Металлик</x:v>
      </x:c>
      <x:c r="C95" s="274" t="str">
        <x:v>Эфирное пурпурное золото</x:v>
      </x:c>
      <x:c r="D95" s="89" t="str">
        <x:v>Contrast по золоту</x:v>
      </x:c>
      <x:c r="E95" s="89" t="str">
        <x:v>Black Primer</x:v>
      </x:c>
      <x:c r="F95" s="89" t="str">
        <x:v>Retributor Armour</x:v>
      </x:c>
      <x:c r="G95" s="89" t="str">
        <x:v>Doomfire Magenta + Contrast Medium 1:1</x:v>
      </x:c>
      <x:c r="H95" s="89" t="str">
        <x:v>Gehenna's Gold на верхних плоскостях</x:v>
      </x:c>
      <x:c r="I95" s="89" t="str">
        <x:v>Liberator Gold</x:v>
      </x:c>
      <x:c r="J95" s="89" t="str">
        <x:v>Canoptek Alloy</x:v>
      </x:c>
      <x:c r="K95" s="89" t="str">
        <x:v>Vallejo Silver точечно</x:v>
      </x:c>
      <x:c r="L95" s="89" t="str">
        <x:v>Doomfire Magenta 1:6 с Contrast Medium в тени</x:v>
      </x:c>
      <x:c r="M95" s="89" t="str">
        <x:v>Metal Varnish 77.657</x:v>
      </x:c>
      <x:c r="N95" s="90" t="str">
        <x:v>Средняя</x:v>
      </x:c>
      <x:c r="O95" s="89" t="str">
        <x:v>Развитие официальной идеи цветных Contrast поверх золота для эфирного металлического блеска; Doomfire Magenta из коллекции используется как прозрачная глазурь.</x:v>
      </x:c>
      <x:c r="P95" s="89" t="str">
        <x:v>Внешний референс — адаптировано</x:v>
      </x:c>
      <x:c r="Q95" s="89" t="str">
        <x:v>Официальная практика цветных Contrast поверх золота адаптирована с Doomfire Magenta.</x:v>
      </x:c>
    </x:row>
    <x:row r="96">
      <x:c r="A96" s="90" t="n">
        <x:v>92</x:v>
      </x:c>
      <x:c r="B96" s="274" t="str">
        <x:v>Металлик</x:v>
      </x:c>
      <x:c r="C96" s="274" t="str">
        <x:v>Проклятая фиолетовая сталь</x:v>
      </x:c>
      <x:c r="D96" s="89" t="str">
        <x:v>Shade по металлу</x:v>
      </x:c>
      <x:c r="E96" s="89" t="str">
        <x:v>Black Primer</x:v>
      </x:c>
      <x:c r="F96" s="89" t="str">
        <x:v>Iron Warriors</x:v>
      </x:c>
      <x:c r="G96" s="89" t="str">
        <x:v>Druchii Violet по всей поверхности</x:v>
      </x:c>
      <x:c r="H96" s="89" t="str">
        <x:v>Iron Warriors вернуть на верхних плоскостях</x:v>
      </x:c>
      <x:c r="I96" s="89" t="str">
        <x:v>Ironbreaker</x:v>
      </x:c>
      <x:c r="J96" s="89" t="str">
        <x:v>Runefang Steel</x:v>
      </x:c>
      <x:c r="K96" s="89" t="str">
        <x:v>Vallejo Silver точечно</x:v>
      </x:c>
      <x:c r="L96" s="89" t="str">
        <x:v>Druchii Violet локально повторить в глубоких тенях</x:v>
      </x:c>
      <x:c r="M96" s="89" t="str">
        <x:v>Metal Varnish 77.657</x:v>
      </x:c>
      <x:c r="N96" s="90" t="str">
        <x:v>Низкая</x:v>
      </x:c>
      <x:c r="O96" s="89" t="str">
        <x:v>Основано на официальном применении Druchii Violet по металлической поверхности для объединённого фиолетового эффекта.</x:v>
      </x:c>
      <x:c r="P96" s="89" t="str">
        <x:v>Внешний референс — адаптировано</x:v>
      </x:c>
      <x:c r="Q96" s="89" t="str">
        <x:v>Официальная практика Druchii Violet по металликам продолжена имеющимися стальными высветлениями.</x:v>
      </x:c>
    </x:row>
    <x:row r="97">
      <x:c r="A97" s="90" t="n">
        <x:v>93</x:v>
      </x:c>
      <x:c r="B97" s="275" t="str">
        <x:v>Подставки и террейн</x:v>
      </x:c>
      <x:c r="C97" s="275" t="str">
        <x:v>Городской асфальт</x:v>
      </x:c>
      <x:c r="D97" s="89" t="str">
        <x:v>Текстурная паста + drybrush</x:v>
      </x:c>
      <x:c r="E97" s="89" t="str">
        <x:v>Любой настоящий грунт</x:v>
      </x:c>
      <x:c r="F97" s="89" t="str">
        <x:v>AK Asphalt</x:v>
      </x:c>
      <x:c r="G97" s="89" t="str">
        <x:v>Nuln Oil или Сажа газовая по полностью высохшей текстуре</x:v>
      </x:c>
      <x:c r="H97" s="89" t="str">
        <x:v>Eshin Grey сухой кистью</x:v>
      </x:c>
      <x:c r="I97" s="89" t="str">
        <x:v>Dawnstone сухой кистью</x:v>
      </x:c>
      <x:c r="J97" s="89" t="str">
        <x:v>Longbeard Grey очень легко</x:v>
      </x:c>
      <x:c r="K97" s="89" t="str">
        <x:v>White Grey на отдельных камнях</x:v>
      </x:c>
      <x:c r="L97" s="89" t="str">
        <x:v>AK Light Rust и Typhus Corrosion локально</x:v>
      </x:c>
      <x:c r="M97" s="89" t="str">
        <x:v>Matt Varnish</x:v>
      </x:c>
      <x:c r="N97" s="90" t="str">
        <x:v>Низкая</x:v>
      </x:c>
      <x:c r="O97" s="89" t="str">
        <x:v>Асфальтовая паста становится основной фактурой; Dry-краски используются только по выступающей текстуре, где раскрывается их назначение.</x:v>
      </x:c>
      <x:c r="P97" s="89" t="str">
        <x:v>Проверено по свойствам материала</x:v>
      </x:c>
      <x:c r="Q97" s="89" t="str">
        <x:v>AK Asphalt — готовая текстурная диорамная паста; Dry-краски применены только по рельефу.</x:v>
      </x:c>
    </x:row>
    <x:row r="98">
      <x:c r="A98" s="90" t="n">
        <x:v>94</x:v>
      </x:c>
      <x:c r="B98" s="275" t="str">
        <x:v>Подставки и террейн</x:v>
      </x:c>
      <x:c r="C98" s="275" t="str">
        <x:v>Сухая светлая земля</x:v>
      </x:c>
      <x:c r="D98" s="89" t="str">
        <x:v>Текстурная паста + wash + drybrush</x:v>
      </x:c>
      <x:c r="E98" s="89" t="str">
        <x:v>Любой настоящий грунт</x:v>
      </x:c>
      <x:c r="F98" s="89" t="str">
        <x:v>AK Light Earth</x:v>
      </x:c>
      <x:c r="G98" s="89" t="str">
        <x:v>Seraphim Sepia; Agrax Earthshade в глубоких местах</x:v>
      </x:c>
      <x:c r="H98" s="89" t="str">
        <x:v>AK Dark Sand сухой кистью</x:v>
      </x:c>
      <x:c r="I98" s="89" t="str">
        <x:v>AK Pale Sand</x:v>
      </x:c>
      <x:c r="J98" s="89" t="str">
        <x:v>Deepkin Flesh</x:v>
      </x:c>
      <x:c r="K98" s="89" t="str">
        <x:v>White точечно на камнях</x:v>
      </x:c>
      <x:c r="L98" s="89" t="str">
        <x:v>Умбра жжёная локально после защитного лака</x:v>
      </x:c>
      <x:c r="M98" s="89" t="str">
        <x:v>Matt Varnish</x:v>
      </x:c>
      <x:c r="N98" s="90" t="str">
        <x:v>Низкая</x:v>
      </x:c>
      <x:c r="O98" s="89" t="str">
        <x:v>Тёплая цепочка использует обе диорамные пасты AK и светлые непрозрачные оттенки коллекции; каждый drybrush наносится всё легче.</x:v>
      </x:c>
      <x:c r="P98" s="89" t="str">
        <x:v>Проверено по свойствам материала</x:v>
      </x:c>
      <x:c r="Q98" s="89" t="str">
        <x:v>AK Light Earth — готовая текстурная диорамная паста; Wash и drybrush используются после полного высыхания.</x:v>
      </x:c>
    </x:row>
    <x:row r="99">
      <x:c r="A99" s="90" t="n">
        <x:v>95</x:v>
      </x:c>
      <x:c r="B99" s="275" t="str">
        <x:v>Подставки и террейн</x:v>
      </x:c>
      <x:c r="C99" s="275" t="str">
        <x:v>Потрескавшаяся пустынная земля</x:v>
      </x:c>
      <x:c r="D99" s="89" t="str">
        <x:v>Texture + drybrush</x:v>
      </x:c>
      <x:c r="E99" s="89" t="str">
        <x:v>Любой настоящий грунт → AK Deep Brown</x:v>
      </x:c>
      <x:c r="F99" s="89" t="str">
        <x:v>Agrellan Earth или Agrellan Badland</x:v>
      </x:c>
      <x:c r="G99" s="89" t="str">
        <x:v>Agrax Earthshade только в наиболее глубокие трещины</x:v>
      </x:c>
      <x:c r="H99" s="89" t="str">
        <x:v>Zamesi Desert сухой кистью</x:v>
      </x:c>
      <x:c r="I99" s="89" t="str">
        <x:v>Karak Stone</x:v>
      </x:c>
      <x:c r="J99" s="89" t="str">
        <x:v>Pale Sand</x:v>
      </x:c>
      <x:c r="K99" s="89" t="str">
        <x:v>White точечно</x:v>
      </x:c>
      <x:c r="L99" s="89" t="str">
        <x:v>Seraphim Sepia очень тонко при необходимости</x:v>
      </x:c>
      <x:c r="M99" s="89" t="str">
        <x:v>Matt Varnish</x:v>
      </x:c>
      <x:c r="N99" s="90" t="str">
        <x:v>Низкая</x:v>
      </x:c>
      <x:c r="O99" s="89" t="str">
        <x:v>Тёмная подложка должна читаться в трещинах; Agrellan Badland даёт более выраженную зернистую фактуру, Agrellan Earth — более гладкую растрескавшуюся поверхность.</x:v>
      </x:c>
      <x:c r="P99" s="89" t="str">
        <x:v>Авторская комбинация — тест</x:v>
      </x:c>
      <x:c r="Q99" s="89" t="str">
        <x:v>Agrellan Texture построен по стандартной логике тёмной подложки и уменьшающихся сухих высветлений; сначала проверить толщину слоя.</x:v>
      </x:c>
    </x:row>
    <x:row r="100">
      <x:c r="A100" s="90" t="n">
        <x:v>96</x:v>
      </x:c>
      <x:c r="B100" s="275" t="str">
        <x:v>Подставки и террейн</x:v>
      </x:c>
      <x:c r="C100" s="275" t="str">
        <x:v>Индустриальная ржавая площадка</x:v>
      </x:c>
      <x:c r="D100" s="89" t="str">
        <x:v>Металл + коррозия</x:v>
      </x:c>
      <x:c r="E100" s="89" t="str">
        <x:v>Black Primer</x:v>
      </x:c>
      <x:c r="F100" s="89" t="str">
        <x:v>Iron Warriors</x:v>
      </x:c>
      <x:c r="G100" s="89" t="str">
        <x:v>Typhus Corrosion локально</x:v>
      </x:c>
      <x:c r="H100" s="89" t="str">
        <x:v>AK Dark Rust пятнами</x:v>
      </x:c>
      <x:c r="I100" s="89" t="str">
        <x:v>AK Light Rust меньшими пятнами</x:v>
      </x:c>
      <x:c r="J100" s="89" t="str">
        <x:v>Ryza Rust сухой кистью</x:v>
      </x:c>
      <x:c r="K100" s="89" t="str">
        <x:v>Vallejo Silver на свежих сколах</x:v>
      </x:c>
      <x:c r="L100" s="89" t="str">
        <x:v>Vallejo Rust Wash и Умбра жжёная в стыки</x:v>
      </x:c>
      <x:c r="M100" s="89" t="str">
        <x:v>Matt Varnish; Silver локально вернуть после лака</x:v>
      </x:c>
      <x:c r="N100" s="90" t="str">
        <x:v>Средняя</x:v>
      </x:c>
      <x:c r="O100" s="89" t="str">
        <x:v>Ржавчина строится от тёмной к светлой и не должна полностью скрывать металл; Dry применяется только по фактуре Typhus Corrosion.</x:v>
      </x:c>
      <x:c r="P100" s="89" t="str">
        <x:v>Проверено по свойствам материала</x:v>
      </x:c>
      <x:c r="Q100" s="89" t="str">
        <x:v>Typhus Corrosion создаёт фактуру коррозии, Ryza Rust предназначен для сухой кисти по этой фактуре.</x:v>
      </x:c>
    </x:row>
    <x:row r="101">
      <x:c r="A101" s="90" t="n">
        <x:v>97</x:v>
      </x:c>
      <x:c r="B101" s="275" t="str">
        <x:v>Подставки и террейн</x:v>
      </x:c>
      <x:c r="C101" s="275" t="str">
        <x:v>Холодный гранит</x:v>
      </x:c>
      <x:c r="D101" s="89" t="str">
        <x:v>Непрозрачные слои + drybrush</x:v>
      </x:c>
      <x:c r="E101" s="89" t="str">
        <x:v>Black Primer</x:v>
      </x:c>
      <x:c r="F101" s="89" t="str">
        <x:v>AK German Grey Uniform</x:v>
      </x:c>
      <x:c r="G101" s="89" t="str">
        <x:v>Nuln Oil</x:v>
      </x:c>
      <x:c r="H101" s="89" t="str">
        <x:v>AK Medium Grey сухой кистью</x:v>
      </x:c>
      <x:c r="I101" s="89" t="str">
        <x:v>White Grey сухой кистью</x:v>
      </x:c>
      <x:c r="J101" s="89" t="str">
        <x:v>Longbeard Grey очень легко</x:v>
      </x:c>
      <x:c r="K101" s="89" t="str">
        <x:v>White точечно</x:v>
      </x:c>
      <x:c r="L101" s="89" t="str">
        <x:v>Серая Пейна в глубокие трещины по лаку</x:v>
      </x:c>
      <x:c r="M101" s="89" t="str">
        <x:v>Matt Varnish</x:v>
      </x:c>
      <x:c r="N101" s="90" t="str">
        <x:v>Низкая</x:v>
      </x:c>
      <x:c r="O101" s="89" t="str">
        <x:v>Адаптация четырёхтонной логики AK Stone and Rock Effects под имеющиеся German Grey, Medium Grey, White Grey и Longbeard Grey.</x:v>
      </x:c>
      <x:c r="P101" s="89" t="str">
        <x:v>Внешний референс — адаптировано</x:v>
      </x:c>
      <x:c r="Q101" s="89" t="str">
        <x:v>Четырёхтонная логика AK Stone and Rock Effects адаптирована под реальные серые оттенки коллекции.</x:v>
      </x:c>
    </x:row>
    <x:row r="102">
      <x:c r="A102" s="90" t="n">
        <x:v>98</x:v>
      </x:c>
      <x:c r="B102" s="276" t="str">
        <x:v>Фиолетовый и розовый</x:v>
      </x:c>
      <x:c r="C102" s="276" t="str">
        <x:v>Быстрая бордовая ткань</x:v>
      </x:c>
      <x:c r="D102" s="89" t="str">
        <x:v>Contrast + слои</x:v>
      </x:c>
      <x:c r="E102" s="89" t="str">
        <x:v>Настоящий грунт → Grey Seer</x:v>
      </x:c>
      <x:c r="F102" s="89" t="str">
        <x:v>Sigvald Burgundy</x:v>
      </x:c>
      <x:c r="G102" s="89" t="str">
        <x:v>Sigvald Burgundy вторым слоем в складках</x:v>
      </x:c>
      <x:c r="H102" s="89" t="str">
        <x:v>Barak-Nar Burgundy на широких выступах</x:v>
      </x:c>
      <x:c r="I102" s="89" t="str">
        <x:v>Pink Horror</x:v>
      </x:c>
      <x:c r="J102" s="89" t="str">
        <x:v>Emperor's Children</x:v>
      </x:c>
      <x:c r="K102" s="89" t="str">
        <x:v>Fulgrim Pink точечно</x:v>
      </x:c>
      <x:c r="L102" s="89" t="str">
        <x:v>Sigvald Burgundy 1:5 с Contrast Medium для объединения</x:v>
      </x:c>
      <x:c r="M102" s="89" t="str">
        <x:v>Matt Varnish</x:v>
      </x:c>
      <x:c r="N102" s="90" t="str">
        <x:v>Низкая</x:v>
      </x:c>
      <x:c r="O102" s="89" t="str">
        <x:v>Sigvald Burgundy официально используется для ткани и перьев; непрозрачные высветления адаптированы под имеющуюся бордово-розовую цепочку.</x:v>
      </x:c>
      <x:c r="P102" s="89" t="str">
        <x:v>Внешний референс — адаптировано</x:v>
      </x:c>
      <x:c r="Q102" s="89" t="str">
        <x:v>Sigvald Burgundy официально применяется для ткани; непрозрачные высветления подобраны из коллекции.</x:v>
      </x:c>
    </x:row>
    <x:row r="103">
      <x:c r="A103" s="90" t="n">
        <x:v>99</x:v>
      </x:c>
      <x:c r="B103" s="277" t="str">
        <x:v>Эффекты</x:v>
      </x:c>
      <x:c r="C103" s="277" t="str">
        <x:v>Зелёное энергетическое оружие по металлу</x:v>
      </x:c>
      <x:c r="D103" s="89" t="str">
        <x:v>Contrast по металлу</x:v>
      </x:c>
      <x:c r="E103" s="89" t="str">
        <x:v>Black Primer</x:v>
      </x:c>
      <x:c r="F103" s="89" t="str">
        <x:v>Leadbelcher</x:v>
      </x:c>
      <x:c r="G103" s="89" t="str">
        <x:v>Warp Lightning</x:v>
      </x:c>
      <x:c r="H103" s="89" t="str">
        <x:v>Leadbelcher вернуть узкой центральной линией</x:v>
      </x:c>
      <x:c r="I103" s="89" t="str">
        <x:v>Moot Green вдоль световой линии</x:v>
      </x:c>
      <x:c r="J103" s="89" t="str">
        <x:v>AK Yellow + Moot Green 1:1</x:v>
      </x:c>
      <x:c r="K103" s="89" t="str">
        <x:v>White точечно</x:v>
      </x:c>
      <x:c r="L103" s="89" t="str">
        <x:v>Green Fluorescent по бело-жёлтой линии</x:v>
      </x:c>
      <x:c r="M103" s="89" t="str">
        <x:v>Satin Varnish</x:v>
      </x:c>
      <x:c r="N103" s="90" t="str">
        <x:v>Средняя</x:v>
      </x:c>
      <x:c r="O103" s="89" t="str">
        <x:v>Развитие официальной идеи Warp Lightning по металлу в полноценный power-weapon эффект: металлическое отражение сохраняется под прозрачным зелёным.</x:v>
      </x:c>
      <x:c r="P103" s="89" t="str">
        <x:v>Внешний референс — адаптировано</x:v>
      </x:c>
      <x:c r="Q103" s="89" t="str">
        <x:v>Официальная идея Warp Lightning по металлу развита в энергетическое оружие с флуоресцентным центром.</x:v>
      </x:c>
    </x:row>
    <x:row r="104">
      <x:c r="A104" s="90" t="n">
        <x:v>100</x:v>
      </x:c>
      <x:c r="B104" s="277" t="str">
        <x:v>Эффекты</x:v>
      </x:c>
      <x:c r="C104" s="277" t="str">
        <x:v>Фиолетовый энергетический металл</x:v>
      </x:c>
      <x:c r="D104" s="89" t="str">
        <x:v>Shade/Contrast по металлу</x:v>
      </x:c>
      <x:c r="E104" s="89" t="str">
        <x:v>Black Primer</x:v>
      </x:c>
      <x:c r="F104" s="89" t="str">
        <x:v>Runefang Steel</x:v>
      </x:c>
      <x:c r="G104" s="89" t="str">
        <x:v>Druchii Violet</x:v>
      </x:c>
      <x:c r="H104" s="89" t="str">
        <x:v>Luxion Purple + Contrast Medium 1:2 на внешние зоны</x:v>
      </x:c>
      <x:c r="I104" s="89" t="str">
        <x:v>Runefang Steel вернуть по центральной линии</x:v>
      </x:c>
      <x:c r="J104" s="89" t="str">
        <x:v>Fulgrim Pink узкой линией</x:v>
      </x:c>
      <x:c r="K104" s="89" t="str">
        <x:v>White точечно</x:v>
      </x:c>
      <x:c r="L104" s="89" t="str">
        <x:v>Magenta Fluorescent на светлый участок</x:v>
      </x:c>
      <x:c r="M104" s="89" t="str">
        <x:v>Satin Varnish</x:v>
      </x:c>
      <x:c r="N104" s="90" t="str">
        <x:v>Высокая</x:v>
      </x:c>
      <x:c r="O104" s="89" t="str">
        <x:v>Сочетает официальную фиолетовую тонировку металла через Druchii Violet с прозрачным Luxion Purple и имеющимся флуоресцентным магента.</x:v>
      </x:c>
      <x:c r="P104" s="89" t="str">
        <x:v>Авторская комбинация — тест</x:v>
      </x:c>
      <x:c r="Q104" s="89" t="str">
        <x:v>Прозрачные Druchii/Luxion и Fluorescent Magenta совместимы по логике слоёв, но точная насыщенность требует тестовой детали.</x:v>
      </x:c>
    </x:row>
    <x:row r="105">
      <x:c r="A105" s="90" t="n">
        <x:v>101</x:v>
      </x:c>
      <x:c r="B105" s="293" t="str">
        <x:v>Лицо и глаза</x:v>
      </x:c>
      <x:c r="C105" s="293" t="str">
        <x:v>Лицо без прорисовки глаз — игровой стандарт</x:v>
      </x:c>
      <x:c r="D105" s="89" t="str">
        <x:v>Battle Ready</x:v>
      </x:c>
      <x:c r="E105" s="89" t="str">
        <x:v>Настоящий грунт → выбранная телесная база</x:v>
      </x:c>
      <x:c r="F105" s="89" t="str">
        <x:v>Cadian Fleshtone</x:v>
      </x:c>
      <x:c r="G105" s="89" t="str">
        <x:v>Guilliman Flesh + Contrast Medium 1:1; Reikland Fleshshade дополнительно вокруг глаз</x:v>
      </x:c>
      <x:c r="H105" s="89" t="str">
        <x:v>Cadian Fleshtone вернуть на выступах</x:v>
      </x:c>
      <x:c r="I105" s="89" t="str">
        <x:v>Flayed One Flesh</x:v>
      </x:c>
      <x:c r="J105" s="89" t="str">
        <x:v>Pallid Wych Flesh точечно</x:v>
      </x:c>
      <x:c r="K105" s="89" t="str">
        <x:v>—</x:v>
      </x:c>
      <x:c r="L105" s="89" t="str">
        <x:v>Guilliman Flesh 1:8 с Contrast Medium при необходимости</x:v>
      </x:c>
      <x:c r="M105" s="89" t="str">
        <x:v>Matt Varnish</x:v>
      </x:c>
      <x:c r="N105" s="90" t="str">
        <x:v>Низкая</x:v>
      </x:c>
      <x:c r="O105" s="89" t="str">
        <x:v>Официальный совет для массовой армии: естественная тень вокруг глаз часто читается лучше, чем неровно нарисованные белки и зрачки.</x:v>
      </x:c>
      <x:c r="P105" s="89" t="str">
        <x:v>Внешний референс — адаптировано</x:v>
      </x:c>
      <x:c r="Q105" s="89" t="str">
        <x:v>Официальный beginner-метод Warhammer Colour: для массовой армии тень вокруг глаз может заменить прорисовку белков и зрачков.</x:v>
      </x:c>
    </x:row>
    <x:row r="106">
      <x:c r="A106" s="90" t="n">
        <x:v>102</x:v>
      </x:c>
      <x:c r="B106" s="293" t="str">
        <x:v>Лицо и глаза</x:v>
      </x:c>
      <x:c r="C106" s="293" t="str">
        <x:v>Обычные человеческие глаза</x:v>
      </x:c>
      <x:c r="D106" s="89" t="str">
        <x:v>Intermediate eyes</x:v>
      </x:c>
      <x:c r="E106" s="89" t="str">
        <x:v>Полностью окрашенное лицо</x:v>
      </x:c>
      <x:c r="F106" s="89" t="str">
        <x:v>Grey Seer или White Grey на глазное яблоко</x:v>
      </x:c>
      <x:c r="G106" s="89" t="str">
        <x:v>—</x:v>
      </x:c>
      <x:c r="H106" s="89" t="str">
        <x:v>Corvus Black вертикальной линией от верхнего до нижнего века</x:v>
      </x:c>
      <x:c r="I106" s="89" t="str">
        <x:v>Телесной базой исправить форму белка</x:v>
      </x:c>
      <x:c r="J106" s="89" t="str">
        <x:v>Flayed One Flesh вернуть нижнее веко</x:v>
      </x:c>
      <x:c r="K106" s="89" t="str">
        <x:v>White очень маленькой точкой при необходимости</x:v>
      </x:c>
      <x:c r="L106" s="89" t="str">
        <x:v>Reikland Fleshshade очень локально вокруг века</x:v>
      </x:c>
      <x:c r="M106" s="89" t="str">
        <x:v>Matt Varnish; Gloss Varnish точечно по желанию</x:v>
      </x:c>
      <x:c r="N106" s="90" t="str">
        <x:v>Средняя</x:v>
      </x:c>
      <x:c r="O106" s="89" t="str">
        <x:v>Не пытаться сразу рисовать круглый зрачок: вертикальная чёрная линия проще и должна касаться обоих век, чтобы избежать испуганного выражения.</x:v>
      </x:c>
      <x:c r="P106" s="89" t="str">
        <x:v>Внешний референс — адаптировано</x:v>
      </x:c>
      <x:c r="Q106" s="89" t="str">
        <x:v>Официальный intermediate-метод: off-white глаз и вертикальная линия Corvus Black, касающаяся обоих век.</x:v>
      </x:c>
    </x:row>
    <x:row r="107">
      <x:c r="A107" s="90" t="n">
        <x:v>103</x:v>
      </x:c>
      <x:c r="B107" s="293" t="str">
        <x:v>Лицо и глаза</x:v>
      </x:c>
      <x:c r="C107" s="293" t="str">
        <x:v>Глаза с тёмной обводкой и бликом</x:v>
      </x:c>
      <x:c r="D107" s="89" t="str">
        <x:v>Advanced eyes</x:v>
      </x:c>
      <x:c r="E107" s="89" t="str">
        <x:v>Полностью окрашенное лицо</x:v>
      </x:c>
      <x:c r="F107" s="89" t="str">
        <x:v>Corvus Black на всё глазное яблоко</x:v>
      </x:c>
      <x:c r="G107" s="89" t="str">
        <x:v>—</x:v>
      </x:c>
      <x:c r="H107" s="89" t="str">
        <x:v>White Grey двумя маленькими пятнами по сторонам от центра</x:v>
      </x:c>
      <x:c r="I107" s="89" t="str">
        <x:v>Corvus Black уточнить центральный зрачок и тёмную обводку</x:v>
      </x:c>
      <x:c r="J107" s="89" t="str">
        <x:v>White уменьшить белки и исправить форму</x:v>
      </x:c>
      <x:c r="K107" s="89" t="str">
        <x:v>White микроточкой в верхней части зрачка</x:v>
      </x:c>
      <x:c r="L107" s="89" t="str">
        <x:v>—</x:v>
      </x:c>
      <x:c r="M107" s="89" t="str">
        <x:v>Gloss Varnish микроточкой</x:v>
      </x:c>
      <x:c r="N107" s="90" t="str">
        <x:v>Высокая</x:v>
      </x:c>
      <x:c r="O107" s="89" t="str">
        <x:v>Официальный продвинутый метод: начинать с чёрного глаза, затем формировать белки по обе стороны; так проще сохранить аккуратную тёмную окантовку.</x:v>
      </x:c>
      <x:c r="P107" s="89" t="str">
        <x:v>Внешний референс — адаптировано</x:v>
      </x:c>
      <x:c r="Q107" s="89" t="str">
        <x:v>Официальный advanced-метод: чёрная основа глаза и два светлых пятна по сторонам от зрачка.</x:v>
      </x:c>
    </x:row>
    <x:row r="108">
      <x:c r="A108" s="90" t="n">
        <x:v>104</x:v>
      </x:c>
      <x:c r="B108" s="293" t="str">
        <x:v>Лицо и глаза</x:v>
      </x:c>
      <x:c r="C108" s="293" t="str">
        <x:v>Красные светящиеся глаза</x:v>
      </x:c>
      <x:c r="D108" s="89" t="str">
        <x:v>Градиент к светлому центру</x:v>
      </x:c>
      <x:c r="E108" s="89" t="str">
        <x:v>Настоящий грунт → Grey Seer; White внутри глаза</x:v>
      </x:c>
      <x:c r="F108" s="89" t="str">
        <x:v>Gal Vorbak Red вокруг глазницы</x:v>
      </x:c>
      <x:c r="G108" s="89" t="str">
        <x:v>Gal Vorbak Red 1:4 с Lahmian Medium на ближайшую кожу</x:v>
      </x:c>
      <x:c r="H108" s="89" t="str">
        <x:v>Mephiston Red Air 1:4 с Lahmian Medium меньшей зоной</x:v>
      </x:c>
      <x:c r="I108" s="89" t="str">
        <x:v>Evil Sunz Scarlet 1:4 с Lahmian Medium</x:v>
      </x:c>
      <x:c r="J108" s="89" t="str">
        <x:v>Fire Dragon Bright 1:4 с Lahmian Medium</x:v>
      </x:c>
      <x:c r="K108" s="89" t="str">
        <x:v>Fire Dragon Bright или White точкой в центре</x:v>
      </x:c>
      <x:c r="L108" s="89" t="str">
        <x:v>Flesh Tearers Red 1:6 с Contrast Medium только в глубокую глазницу</x:v>
      </x:c>
      <x:c r="M108" s="89" t="str">
        <x:v>Satin Varnish</x:v>
      </x:c>
      <x:c r="N108" s="90" t="str">
        <x:v>Высокая</x:v>
      </x:c>
      <x:c r="O108" s="89" t="str">
        <x:v>Адаптация официального красного inner-light: каждый следующий цвет наносится меньшим кругом, а ярчайшая точка остаётся в центре глаза.</x:v>
      </x:c>
      <x:c r="P108" s="89" t="str">
        <x:v>Внешний референс — адаптировано</x:v>
      </x:c>
      <x:c r="Q108" s="89" t="str">
        <x:v>Официальный inner-light использует последовательные 1:4 лессировки к яркому центру; отсутствующий Khorne Red заменён Gal Vorbak Red.</x:v>
      </x:c>
    </x:row>
    <x:row r="109">
      <x:c r="A109" s="90" t="n">
        <x:v>105</x:v>
      </x:c>
      <x:c r="B109" s="293" t="str">
        <x:v>Лицо и глаза</x:v>
      </x:c>
      <x:c r="C109" s="293" t="str">
        <x:v>Зелёные светящиеся глаза</x:v>
      </x:c>
      <x:c r="D109" s="89" t="str">
        <x:v>Contrast + Fluorescent</x:v>
      </x:c>
      <x:c r="E109" s="89" t="str">
        <x:v>Настоящий грунт → White внутри глаза</x:v>
      </x:c>
      <x:c r="F109" s="89" t="str">
        <x:v>Warp Lightning + Contrast Medium 1:1</x:v>
      </x:c>
      <x:c r="G109" s="89" t="str">
        <x:v>Warp Lightning без Medium в глубокой части глазницы</x:v>
      </x:c>
      <x:c r="H109" s="89" t="str">
        <x:v>Moot Green</x:v>
      </x:c>
      <x:c r="I109" s="89" t="str">
        <x:v>Moot Green + White 1:1</x:v>
      </x:c>
      <x:c r="J109" s="89" t="str">
        <x:v>Green Fluorescent</x:v>
      </x:c>
      <x:c r="K109" s="89" t="str">
        <x:v>White точкой в центре</x:v>
      </x:c>
      <x:c r="L109" s="89" t="str">
        <x:v>Warp Lightning 1:8 с Contrast Medium на бровь и скулу</x:v>
      </x:c>
      <x:c r="M109" s="89" t="str">
        <x:v>Satin Varnish</x:v>
      </x:c>
      <x:c r="N109" s="90" t="str">
        <x:v>Средняя</x:v>
      </x:c>
      <x:c r="O109" s="89" t="str">
        <x:v>Белый центр сохраняется ярче окружающего OSL. Флуоресцент наносится только на светлую зелёно-белую область.</x:v>
      </x:c>
      <x:c r="P109" s="89" t="str">
        <x:v>Внешний референс — адаптировано</x:v>
      </x:c>
      <x:c r="Q109" s="89" t="str">
        <x:v>Официальная логика glowing eyes: White/Grey Seer, яркий Contrast с Medium, белый центр и тонкий ореол.</x:v>
      </x:c>
    </x:row>
    <x:row r="110">
      <x:c r="A110" s="90" t="n">
        <x:v>106</x:v>
      </x:c>
      <x:c r="B110" s="293" t="str">
        <x:v>Лицо и глаза</x:v>
      </x:c>
      <x:c r="C110" s="293" t="str">
        <x:v>Голубые светящиеся глаза</x:v>
      </x:c>
      <x:c r="D110" s="89" t="str">
        <x:v>Contrast + слои</x:v>
      </x:c>
      <x:c r="E110" s="89" t="str">
        <x:v>Настоящий грунт → White внутри глаза</x:v>
      </x:c>
      <x:c r="F110" s="89" t="str">
        <x:v>Frostheart + Contrast Medium 1:1</x:v>
      </x:c>
      <x:c r="G110" s="89" t="str">
        <x:v>Talassar Blue 1:3 с Contrast Medium в глубине</x:v>
      </x:c>
      <x:c r="H110" s="89" t="str">
        <x:v>Lothern Blue</x:v>
      </x:c>
      <x:c r="I110" s="89" t="str">
        <x:v>Baharroth Blue</x:v>
      </x:c>
      <x:c r="J110" s="89" t="str">
        <x:v>White</x:v>
      </x:c>
      <x:c r="K110" s="89" t="str">
        <x:v>White точкой в центре</x:v>
      </x:c>
      <x:c r="L110" s="89" t="str">
        <x:v>Frostheart 1:8 с Contrast Medium на ближайшую кожу</x:v>
      </x:c>
      <x:c r="M110" s="89" t="str">
        <x:v>Satin Varnish</x:v>
      </x:c>
      <x:c r="N110" s="90" t="str">
        <x:v>Средняя</x:v>
      </x:c>
      <x:c r="O110" s="89" t="str">
        <x:v>Прозрачный голубой создаёт ореол, но белый центр должен остаться самым светлым участком всей схемы.</x:v>
      </x:c>
      <x:c r="P110" s="89" t="str">
        <x:v>Внешний референс — адаптировано</x:v>
      </x:c>
      <x:c r="Q110" s="89" t="str">
        <x:v>Официальная логика glowing eyes адаптирована под Frostheart, Talassar Blue и имеющиеся голубые высветления.</x:v>
      </x:c>
    </x:row>
    <x:row r="111">
      <x:c r="A111" s="90" t="n">
        <x:v>107</x:v>
      </x:c>
      <x:c r="B111" s="293" t="str">
        <x:v>Лицо и глаза</x:v>
      </x:c>
      <x:c r="C111" s="293" t="str">
        <x:v>Маджентовые светящиеся глаза</x:v>
      </x:c>
      <x:c r="D111" s="89" t="str">
        <x:v>Contrast + Fluorescent</x:v>
      </x:c>
      <x:c r="E111" s="89" t="str">
        <x:v>Настоящий грунт → White внутри глаза</x:v>
      </x:c>
      <x:c r="F111" s="89" t="str">
        <x:v>Doomfire Magenta + Contrast Medium 1:1</x:v>
      </x:c>
      <x:c r="G111" s="89" t="str">
        <x:v>Leviathan Purple 1:3 с Contrast Medium в глубине</x:v>
      </x:c>
      <x:c r="H111" s="89" t="str">
        <x:v>Emperor's Children</x:v>
      </x:c>
      <x:c r="I111" s="89" t="str">
        <x:v>Fulgrim Pink</x:v>
      </x:c>
      <x:c r="J111" s="89" t="str">
        <x:v>Magenta Fluorescent</x:v>
      </x:c>
      <x:c r="K111" s="89" t="str">
        <x:v>White точкой в центре</x:v>
      </x:c>
      <x:c r="L111" s="89" t="str">
        <x:v>Doomfire Magenta 1:8 с Contrast Medium вокруг глазницы</x:v>
      </x:c>
      <x:c r="M111" s="89" t="str">
        <x:v>Satin Varnish</x:v>
      </x:c>
      <x:c r="N111" s="90" t="str">
        <x:v>Средняя</x:v>
      </x:c>
      <x:c r="O111" s="89" t="str">
        <x:v>Фиолетовая тень остаётся глубже магенты, а флуоресцент работает только поверх Fulgrim Pink или White.</x:v>
      </x:c>
      <x:c r="P111" s="89" t="str">
        <x:v>Внешний референс — адаптировано</x:v>
      </x:c>
      <x:c r="Q111" s="89" t="str">
        <x:v>Официальная логика glowing eyes адаптирована под Doomfire Magenta и Vallejo Magenta Fluorescent.</x:v>
      </x:c>
    </x:row>
    <x:row r="112">
      <x:c r="A112" s="90" t="n">
        <x:v>108</x:v>
      </x:c>
      <x:c r="B112" s="294" t="str">
        <x:v>Линзы и визоры</x:v>
      </x:c>
      <x:c r="C112" s="294" t="str">
        <x:v>Красная линза шлема</x:v>
      </x:c>
      <x:c r="D112" s="89" t="str">
        <x:v>Классический отражённый блик</x:v>
      </x:c>
      <x:c r="E112" s="89" t="str">
        <x:v>Black Primer или готовый шлем</x:v>
      </x:c>
      <x:c r="F112" s="89" t="str">
        <x:v>Gal Vorbak Red</x:v>
      </x:c>
      <x:c r="G112" s="89" t="str">
        <x:v>AK Dirty Red на нижнюю и внешнюю половину</x:v>
      </x:c>
      <x:c r="H112" s="89" t="str">
        <x:v>Wazdakka Red</x:v>
      </x:c>
      <x:c r="I112" s="89" t="str">
        <x:v>Evil Sunz Scarlet</x:v>
      </x:c>
      <x:c r="J112" s="89" t="str">
        <x:v>Fire Dragon Bright узкой дугой</x:v>
      </x:c>
      <x:c r="K112" s="89" t="str">
        <x:v>White точкой на противоположной верхней стороне</x:v>
      </x:c>
      <x:c r="L112" s="89" t="str">
        <x:v>Bloodletter очень тонко для объединения</x:v>
      </x:c>
      <x:c r="M112" s="89" t="str">
        <x:v>Gloss Varnish</x:v>
      </x:c>
      <x:c r="N112" s="90" t="str">
        <x:v>Средняя</x:v>
      </x:c>
      <x:c r="O112" s="89" t="str">
        <x:v>Тёмная зона и белая точка располагаются на противоположных сторонах; светлая дуга занимает только часть линзы.</x:v>
      </x:c>
      <x:c r="P112" s="89" t="str">
        <x:v>Проверено — рабочая схема</x:v>
      </x:c>
      <x:c r="Q112" s="89" t="str">
        <x:v>Классическая геометрия линзы: тёмная зона, уменьшающийся светлый градиент и белая точка на противоположной стороне.</x:v>
      </x:c>
    </x:row>
    <x:row r="113">
      <x:c r="A113" s="90" t="n">
        <x:v>109</x:v>
      </x:c>
      <x:c r="B113" s="294" t="str">
        <x:v>Линзы и визоры</x:v>
      </x:c>
      <x:c r="C113" s="294" t="str">
        <x:v>Зелёная линза шлема</x:v>
      </x:c>
      <x:c r="D113" s="89" t="str">
        <x:v>Классический отражённый блик</x:v>
      </x:c>
      <x:c r="E113" s="89" t="str">
        <x:v>Black Primer или готовый шлем</x:v>
      </x:c>
      <x:c r="F113" s="89" t="str">
        <x:v>Incubi Darkness</x:v>
      </x:c>
      <x:c r="G113" s="89" t="str">
        <x:v>Kabalite Green на нижней половине</x:v>
      </x:c>
      <x:c r="H113" s="89" t="str">
        <x:v>Sybarite Green</x:v>
      </x:c>
      <x:c r="I113" s="89" t="str">
        <x:v>Moot Green</x:v>
      </x:c>
      <x:c r="J113" s="89" t="str">
        <x:v>Moot Green + White 1:1 узкой дугой</x:v>
      </x:c>
      <x:c r="K113" s="89" t="str">
        <x:v>White точкой</x:v>
      </x:c>
      <x:c r="L113" s="89" t="str">
        <x:v>Green Ink 1:10 с Lahmian Medium при необходимости</x:v>
      </x:c>
      <x:c r="M113" s="89" t="str">
        <x:v>Gloss Varnish</x:v>
      </x:c>
      <x:c r="N113" s="90" t="str">
        <x:v>Средняя</x:v>
      </x:c>
      <x:c r="O113" s="89" t="str">
        <x:v>Глубокая Incubi Darkness сохраняет форму линзы, а Moot Green и White занимают только малую часть площади.</x:v>
      </x:c>
      <x:c r="P113" s="89" t="str">
        <x:v>Проверено — рабочая схема</x:v>
      </x:c>
      <x:c r="Q113" s="89" t="str">
        <x:v>Классическая геометрия линзы адаптирована под Incubi Darkness → Kabalite → Sybarite → Moot Green.</x:v>
      </x:c>
    </x:row>
    <x:row r="114">
      <x:c r="A114" s="90" t="n">
        <x:v>110</x:v>
      </x:c>
      <x:c r="B114" s="294" t="str">
        <x:v>Линзы и визоры</x:v>
      </x:c>
      <x:c r="C114" s="294" t="str">
        <x:v>Большой синий визор</x:v>
      </x:c>
      <x:c r="D114" s="89" t="str">
        <x:v>Плавный горизонтальный градиент</x:v>
      </x:c>
      <x:c r="E114" s="89" t="str">
        <x:v>Black Primer или готовый шлем</x:v>
      </x:c>
      <x:c r="F114" s="89" t="str">
        <x:v>AK Dark Prussian Blue</x:v>
      </x:c>
      <x:c r="G114" s="89" t="str">
        <x:v>Leviadon Blue 1:2 с Contrast Medium по верхней/тёмной стороне</x:v>
      </x:c>
      <x:c r="H114" s="89" t="str">
        <x:v>Caledor Sky</x:v>
      </x:c>
      <x:c r="I114" s="89" t="str">
        <x:v>Teclis Blue</x:v>
      </x:c>
      <x:c r="J114" s="89" t="str">
        <x:v>Lothern Blue → Baharroth Blue</x:v>
      </x:c>
      <x:c r="K114" s="89" t="str">
        <x:v>White тонкой линией и точкой</x:v>
      </x:c>
      <x:c r="L114" s="89" t="str">
        <x:v>Blue Ink 1:12 с Lahmian Medium для объединения</x:v>
      </x:c>
      <x:c r="M114" s="89" t="str">
        <x:v>Gloss Varnish</x:v>
      </x:c>
      <x:c r="N114" s="90" t="str">
        <x:v>Высокая</x:v>
      </x:c>
      <x:c r="O114" s="89" t="str">
        <x:v>На широком визоре переход лучше строить несколькими горизонтальными полосами, сохраняя одну тёмную и одну почти белую границу.</x:v>
      </x:c>
      <x:c r="P114" s="89" t="str">
        <x:v>Проверено — рабочая схема</x:v>
      </x:c>
      <x:c r="Q114" s="89" t="str">
        <x:v>Большой визор использует ту же логику отражения, но требует более длинного градиента и тонкого Ink-фильтра.</x:v>
      </x:c>
    </x:row>
    <x:row r="115">
      <x:c r="A115" s="90" t="n">
        <x:v>111</x:v>
      </x:c>
      <x:c r="B115" s="294" t="str">
        <x:v>Линзы и визоры</x:v>
      </x:c>
      <x:c r="C115" s="294" t="str">
        <x:v>Непрозрачный изумрудный камень</x:v>
      </x:c>
      <x:c r="D115" s="89" t="str">
        <x:v>Четырёхступенчатый градиент</x:v>
      </x:c>
      <x:c r="E115" s="89" t="str">
        <x:v>Black Primer</x:v>
      </x:c>
      <x:c r="F115" s="89" t="str">
        <x:v>Incubi Darkness</x:v>
      </x:c>
      <x:c r="G115" s="89" t="str">
        <x:v>Incubi Darkness + Kabalite Green 1:1</x:v>
      </x:c>
      <x:c r="H115" s="89" t="str">
        <x:v>Kabalite Green</x:v>
      </x:c>
      <x:c r="I115" s="89" t="str">
        <x:v>Sybarite Green</x:v>
      </x:c>
      <x:c r="J115" s="89" t="str">
        <x:v>Moot Green + White 1:1</x:v>
      </x:c>
      <x:c r="K115" s="89" t="str">
        <x:v>White точкой</x:v>
      </x:c>
      <x:c r="L115" s="89" t="str">
        <x:v>Green Ink 1:12 с Lahmian Medium</x:v>
      </x:c>
      <x:c r="M115" s="89" t="str">
        <x:v>Gloss Varnish</x:v>
      </x:c>
      <x:c r="N115" s="90" t="str">
        <x:v>Высокая</x:v>
      </x:c>
      <x:c r="O115" s="89" t="str">
        <x:v>Адаптация логики AK Emeralds and Green Gems: тёмно-зелёный → изумрудный → пастельный зелёный → белый. Это альтернатива прозрачному Waystone Green.</x:v>
      </x:c>
      <x:c r="P115" s="89" t="str">
        <x:v>Внешний референс — адаптировано</x:v>
      </x:c>
      <x:c r="Q115" s="89" t="str">
        <x:v>Логика AK Emeralds and Green Gems: dark green → emerald → pastel green → white, заменённая имеющимися оттенками.</x:v>
      </x:c>
    </x:row>
    <x:row r="116">
      <x:c r="A116" s="90" t="n">
        <x:v>112</x:v>
      </x:c>
      <x:c r="B116" s="295" t="str">
        <x:v>Огонь и лава</x:v>
      </x:c>
      <x:c r="C116" s="295" t="str">
        <x:v>Реалистичное пламя</x:v>
      </x:c>
      <x:c r="D116" s="89" t="str">
        <x:v>Обратный градиент</x:v>
      </x:c>
      <x:c r="E116" s="89" t="str">
        <x:v>Настоящий грунт → White на всей области пламени</x:v>
      </x:c>
      <x:c r="F116" s="89" t="str">
        <x:v>AK Dirty Red на внешних концах языков</x:v>
      </x:c>
      <x:c r="G116" s="89" t="str">
        <x:v>—</x:v>
      </x:c>
      <x:c r="H116" s="89" t="str">
        <x:v>Vallejo Orange Fire</x:v>
      </x:c>
      <x:c r="I116" s="89" t="str">
        <x:v>AK Yellow</x:v>
      </x:c>
      <x:c r="J116" s="89" t="str">
        <x:v>AK Pale Sand</x:v>
      </x:c>
      <x:c r="K116" s="89" t="str">
        <x:v>White в самом горячем основании</x:v>
      </x:c>
      <x:c r="L116" s="89" t="str">
        <x:v>Orange Fluorescent и Yellow Fluorescent тонкими слоями</x:v>
      </x:c>
      <x:c r="M116" s="89" t="str">
        <x:v>Satin Varnish</x:v>
      </x:c>
      <x:c r="N116" s="90" t="str">
        <x:v>Средняя</x:v>
      </x:c>
      <x:c r="O116" s="89" t="str">
        <x:v>Адаптация AK Fire Effects: красный снаружи, затем оранжевый, жёлтый и почти белый в наиболее горячей внутренней зоне.</x:v>
      </x:c>
      <x:c r="P116" s="89" t="str">
        <x:v>Внешний референс — адаптировано</x:v>
      </x:c>
      <x:c r="Q116" s="89" t="str">
        <x:v>AK Fire Effects подтверждает четырёхтонную последовательность red → orange → yellow → light yellow; направление света инвертировано к горячему центру.</x:v>
      </x:c>
    </x:row>
    <x:row r="117">
      <x:c r="A117" s="90" t="n">
        <x:v>113</x:v>
      </x:c>
      <x:c r="B117" s="295" t="str">
        <x:v>Огонь и лава</x:v>
      </x:c>
      <x:c r="C117" s="295" t="str">
        <x:v>Светящиеся лавовые трещины</x:v>
      </x:c>
      <x:c r="D117" s="89" t="str">
        <x:v>Тёмная корка + светящиеся щели</x:v>
      </x:c>
      <x:c r="E117" s="89" t="str">
        <x:v>Black Primer</x:v>
      </x:c>
      <x:c r="F117" s="89" t="str">
        <x:v>AK Black + AK German Grey Uniform 2:1 на корку</x:v>
      </x:c>
      <x:c r="G117" s="89" t="str">
        <x:v>AK Dirty Red в широкие трещины</x:v>
      </x:c>
      <x:c r="H117" s="89" t="str">
        <x:v>Orange Fluorescent меньшей линией</x:v>
      </x:c>
      <x:c r="I117" s="89" t="str">
        <x:v>AK Dirty Yellow</x:v>
      </x:c>
      <x:c r="J117" s="89" t="str">
        <x:v>Yellow Fluorescent</x:v>
      </x:c>
      <x:c r="K117" s="89" t="str">
        <x:v>White в отдельных горячих точках</x:v>
      </x:c>
      <x:c r="L117" s="89" t="str">
        <x:v>Сажа газовая по корке после защитного лака при необходимости</x:v>
      </x:c>
      <x:c r="M117" s="89" t="str">
        <x:v>Matt Varnish на корке; Satin/Gloss в трещинах</x:v>
      </x:c>
      <x:c r="N117" s="90" t="str">
        <x:v>Высокая</x:v>
      </x:c>
      <x:c r="O117" s="89" t="str">
        <x:v>Адаптация AK Lava Effects: тёмно-серая корка, красная глубина, флуоресцентный оранжевый и грязно-жёлтый жар.</x:v>
      </x:c>
      <x:c r="P117" s="89" t="str">
        <x:v>Внешний референс — адаптировано</x:v>
      </x:c>
      <x:c r="Q117" s="89" t="str">
        <x:v>AK Lava Effects подтверждает dark grey → dirty red → fluorescent orange → dirty yellow.</x:v>
      </x:c>
    </x:row>
    <x:row r="118">
      <x:c r="A118" s="90" t="n">
        <x:v>114</x:v>
      </x:c>
      <x:c r="B118" s="296" t="str">
        <x:v>Телесный</x:v>
      </x:c>
      <x:c r="C118" s="296" t="str">
        <x:v>Обмороженная кожа</x:v>
      </x:c>
      <x:c r="D118" s="89" t="str">
        <x:v>Холодные переходы и лессировки</x:v>
      </x:c>
      <x:c r="E118" s="89" t="str">
        <x:v>Настоящий грунт → Grey Seer</x:v>
      </x:c>
      <x:c r="F118" s="89" t="str">
        <x:v>Deepkin Flesh</x:v>
      </x:c>
      <x:c r="G118" s="89" t="str">
        <x:v>AK Purple 1:8 с Lahmian Medium на пальцы, нос, уши и повреждения</x:v>
      </x:c>
      <x:c r="H118" s="89" t="str">
        <x:v>The Fang + Deepkin Flesh 1:2</x:v>
      </x:c>
      <x:c r="I118" s="89" t="str">
        <x:v>Fenrisian Grey</x:v>
      </x:c>
      <x:c r="J118" s="89" t="str">
        <x:v>Ulthuan Grey</x:v>
      </x:c>
      <x:c r="K118" s="89" t="str">
        <x:v>White Grey точечно</x:v>
      </x:c>
      <x:c r="L118" s="89" t="str">
        <x:v>Dreadful Visage 1:4 с Contrast Medium для объединения</x:v>
      </x:c>
      <x:c r="M118" s="89" t="str">
        <x:v>Matt Varnish</x:v>
      </x:c>
      <x:c r="N118" s="90" t="str">
        <x:v>Высокая</x:v>
      </x:c>
      <x:c r="O118" s="89" t="str">
        <x:v>Адаптация AK Frozen Flesh: сине-серые света сочетаются с тонкими фиолетовыми зонами обморожения.</x:v>
      </x:c>
      <x:c r="P118" s="89" t="str">
        <x:v>Внешний референс — адаптировано</x:v>
      </x:c>
      <x:c r="Q118" s="89" t="str">
        <x:v>AK Frozen Flesh подтверждает сочетание blue/grey-blue/snow-blue и Purple для обмороженных оттенков.</x:v>
      </x:c>
    </x:row>
    <x:row r="119">
      <x:c r="A119" s="90" t="n">
        <x:v>115</x:v>
      </x:c>
      <x:c r="B119" s="296" t="str">
        <x:v>Телесный</x:v>
      </x:c>
      <x:c r="C119" s="296" t="str">
        <x:v>Разложившаяся кожа зомби</x:v>
      </x:c>
      <x:c r="D119" s="89" t="str">
        <x:v>Приглушённые переходы + локальные эффекты</x:v>
      </x:c>
      <x:c r="E119" s="89" t="str">
        <x:v>Настоящий грунт → Grey Seer</x:v>
      </x:c>
      <x:c r="F119" s="89" t="str">
        <x:v>Heavy Warmgrey + AK Sickly Pink 1:1</x:v>
      </x:c>
      <x:c r="G119" s="89" t="str">
        <x:v>AK Purple 1:8 с Lahmian Medium в глазницы и повреждения</x:v>
      </x:c>
      <x:c r="H119" s="89" t="str">
        <x:v>Deepkin Flesh</x:v>
      </x:c>
      <x:c r="I119" s="89" t="str">
        <x:v>Vallejo Pale Flesh</x:v>
      </x:c>
      <x:c r="J119" s="89" t="str">
        <x:v>Pallid Wych Flesh</x:v>
      </x:c>
      <x:c r="K119" s="89" t="str">
        <x:v>White точечно</x:v>
      </x:c>
      <x:c r="L119" s="89" t="str">
        <x:v>AK Viscera Effect и Nurgle's Rot только локально после лака</x:v>
      </x:c>
      <x:c r="M119" s="89" t="str">
        <x:v>Matt Varnish; эффекты оставить глянцевыми</x:v>
      </x:c>
      <x:c r="N119" s="90" t="str">
        <x:v>Высокая</x:v>
      </x:c>
      <x:c r="O119" s="89" t="str">
        <x:v>Адаптация AK Zombie Skin: фиолетовые тени, серо-коричневая база и всё более светлая болезненная плоть.</x:v>
      </x:c>
      <x:c r="P119" s="89" t="str">
        <x:v>Внешний референс — адаптировано</x:v>
      </x:c>
      <x:c r="Q119" s="89" t="str">
        <x:v>AK Zombie Skin подтверждает Purple, grey-brown and increasingly pale decomposed flesh transitions.</x:v>
      </x:c>
    </x:row>
    <x:row r="120">
      <x:c r="A120" s="90" t="n">
        <x:v>116</x:v>
      </x:c>
      <x:c r="B120" s="296" t="str">
        <x:v>Телесный</x:v>
      </x:c>
      <x:c r="C120" s="296" t="str">
        <x:v>Реалистичная тёплая кожа через переходы</x:v>
      </x:c>
      <x:c r="D120" s="89" t="str">
        <x:v>AK-style transitions and glazing</x:v>
      </x:c>
      <x:c r="E120" s="89" t="str">
        <x:v>Настоящий грунт → Grey Seer</x:v>
      </x:c>
      <x:c r="F120" s="89" t="str">
        <x:v>Vallejo Heavy Skintone</x:v>
      </x:c>
      <x:c r="G120" s="89" t="str">
        <x:v>AK Deep Brown + AK Brown Rose 1:1 в глубокие тени</x:v>
      </x:c>
      <x:c r="H120" s="89" t="str">
        <x:v>Cadian Fleshtone</x:v>
      </x:c>
      <x:c r="I120" s="89" t="str">
        <x:v>Flayed One Flesh</x:v>
      </x:c>
      <x:c r="J120" s="89" t="str">
        <x:v>Vallejo Pale Flesh</x:v>
      </x:c>
      <x:c r="K120" s="89" t="str">
        <x:v>Pallid Wych Flesh точечно</x:v>
      </x:c>
      <x:c r="L120" s="89" t="str">
        <x:v>AK Brown Rose 1:10 с Lahmian Medium на средние тона</x:v>
      </x:c>
      <x:c r="M120" s="89" t="str">
        <x:v>Matt Varnish</x:v>
      </x:c>
      <x:c r="N120" s="90" t="str">
        <x:v>Высокая</x:v>
      </x:c>
      <x:c r="O120" s="89" t="str">
        <x:v>Адаптация принципа AK Basic Skin Colors: тёмная коричнево-красная тень, основной телесный тон, последовательные света и финальная объединяющая лессировка.</x:v>
      </x:c>
      <x:c r="P120" s="89" t="str">
        <x:v>Внешний референс — адаптировано</x:v>
      </x:c>
      <x:c r="Q120" s="89" t="str">
        <x:v>AK Basic Skin Colors подтверждает переходы, высветления и лессировки от тёмной коричнево-красной тени к светлой коже.</x:v>
      </x:c>
    </x:row>
    <x:row r="121">
      <x:c r="A121" s="90" t="n">
        <x:v>117</x:v>
      </x:c>
      <x:c r="B121" s="296" t="str">
        <x:v>Телесный</x:v>
      </x:c>
      <x:c r="C121" s="296" t="str">
        <x:v>Румянец, губы и тёплые зоны лица</x:v>
      </x:c>
      <x:c r="D121" s="89" t="str">
        <x:v>Цветная лессировка</x:v>
      </x:c>
      <x:c r="E121" s="89" t="str">
        <x:v>Полностью окрашенная обычная кожа</x:v>
      </x:c>
      <x:c r="F121" s="89" t="str">
        <x:v>Cadian Fleshtone или Flayed One Flesh</x:v>
      </x:c>
      <x:c r="G121" s="89" t="str">
        <x:v>Carroburg Crimson 1:10 с Lahmian Medium</x:v>
      </x:c>
      <x:c r="H121" s="89" t="str">
        <x:v>Вернуть основной телесный тон</x:v>
      </x:c>
      <x:c r="I121" s="89" t="str">
        <x:v>Flayed One Flesh</x:v>
      </x:c>
      <x:c r="J121" s="89" t="str">
        <x:v>Pallid Wych Flesh</x:v>
      </x:c>
      <x:c r="K121" s="89" t="str">
        <x:v>White точечно</x:v>
      </x:c>
      <x:c r="L121" s="89" t="str">
        <x:v>Carroburg Crimson нанести на щёки, кончик носа, нижнюю губу и уши</x:v>
      </x:c>
      <x:c r="M121" s="89" t="str">
        <x:v>Matt Varnish</x:v>
      </x:c>
      <x:c r="N121" s="90" t="str">
        <x:v>Средняя</x:v>
      </x:c>
      <x:c r="O121" s="89" t="str">
        <x:v>Лессировка должна быть почти незаметной после одного слоя. Лучше 2–3 прозрачных прохода, чем один красный мазок.</x:v>
      </x:c>
      <x:c r="P121" s="89" t="str">
        <x:v>Авторская комбинация — тест</x:v>
      </x:c>
      <x:c r="Q121" s="89" t="str">
        <x:v>Цветная лессировка румянца построена на стандартном принципе прозрачного глазирования; интенсивность проверять на тестовой голове.</x:v>
      </x:c>
    </x:row>
    <x:row r="122">
      <x:c r="A122" s="90" t="n">
        <x:v>118</x:v>
      </x:c>
      <x:c r="B122" s="296" t="str">
        <x:v>Телесный</x:v>
      </x:c>
      <x:c r="C122" s="296" t="str">
        <x:v>Щетина и небритая нижняя часть лица</x:v>
      </x:c>
      <x:c r="D122" s="89" t="str">
        <x:v>Холодная точечная лессировка</x:v>
      </x:c>
      <x:c r="E122" s="89" t="str">
        <x:v>Полностью окрашенная обычная кожа</x:v>
      </x:c>
      <x:c r="F122" s="89" t="str">
        <x:v>Cadian Fleshtone</x:v>
      </x:c>
      <x:c r="G122" s="89" t="str">
        <x:v>The Fang + Cadian Fleshtone 1:4 очень тонко</x:v>
      </x:c>
      <x:c r="H122" s="89" t="str">
        <x:v>Смесь наносить точечно и лессировкой на подбородок, верхнюю губу и щёки</x:v>
      </x:c>
      <x:c r="I122" s="89" t="str">
        <x:v>Flayed One Flesh вернуть на скулы и губной желобок</x:v>
      </x:c>
      <x:c r="J122" s="89" t="str">
        <x:v>Pallid Wych Flesh точечно</x:v>
      </x:c>
      <x:c r="K122" s="89" t="str">
        <x:v>—</x:v>
      </x:c>
      <x:c r="L122" s="89" t="str">
        <x:v>Guilliman Flesh 1:12 с Contrast Medium при необходимости</x:v>
      </x:c>
      <x:c r="M122" s="89" t="str">
        <x:v>Matt Varnish</x:v>
      </x:c>
      <x:c r="N122" s="90" t="str">
        <x:v>Средняя</x:v>
      </x:c>
      <x:c r="O122" s="89" t="str">
        <x:v>Холодный серо-синий оттенок должен оставаться внутри телесного цвета; чистый The Fang сделает лицо синей маской.</x:v>
      </x:c>
      <x:c r="P122" s="89" t="str">
        <x:v>Авторская комбинация — тест</x:v>
      </x:c>
      <x:c r="Q122" s="89" t="str">
        <x:v>Щетина создаётся холодной телесно-серой смесью, а не чистым серым; точная пропорция зависит от масштаба и тона кожи.</x:v>
      </x:c>
    </x:row>
    <x:row r="123">
      <x:c r="A123" s="90" t="n">
        <x:v>119</x:v>
      </x:c>
      <x:c r="B123" s="296" t="str">
        <x:v>Телесный</x:v>
      </x:c>
      <x:c r="C123" s="296" t="str">
        <x:v>Синяк и повреждённая кожа</x:v>
      </x:c>
      <x:c r="D123" s="89" t="str">
        <x:v>Последовательные прозрачные пятна</x:v>
      </x:c>
      <x:c r="E123" s="89" t="str">
        <x:v>Полностью окрашенная бледная или обычная кожа</x:v>
      </x:c>
      <x:c r="F123" s="89" t="str">
        <x:v>AK Brown Rose или Cadian Fleshtone</x:v>
      </x:c>
      <x:c r="G123" s="89" t="str">
        <x:v>Dreadful Visage 1:6 с Contrast Medium</x:v>
      </x:c>
      <x:c r="H123" s="89" t="str">
        <x:v>Druchii Violet 1:10 с Lahmian Medium в центре синяка</x:v>
      </x:c>
      <x:c r="I123" s="89" t="str">
        <x:v>Carroburg Crimson 1:10 по краю свежего повреждения</x:v>
      </x:c>
      <x:c r="J123" s="89" t="str">
        <x:v>Plaguebearer Flesh 1:8 с Contrast Medium на стареющий жёлто-зелёный край</x:v>
      </x:c>
      <x:c r="K123" s="89" t="str">
        <x:v>Pale Flesh вернуть на неповреждённую кожу</x:v>
      </x:c>
      <x:c r="L123" s="89" t="str">
        <x:v>Каждый цвет наносить неровным полупрозрачным пятном</x:v>
      </x:c>
      <x:c r="M123" s="89" t="str">
        <x:v>Matt Varnish</x:v>
      </x:c>
      <x:c r="N123" s="90" t="str">
        <x:v>Высокая</x:v>
      </x:c>
      <x:c r="O123" s="89" t="str">
        <x:v>Авторская схема по цветовой логике синяка: фиолетовый центр, красноватый свежий край и жёлто-зелёная зона старого повреждения.</x:v>
      </x:c>
      <x:c r="P123" s="89" t="str">
        <x:v>Авторская комбинация — тест</x:v>
      </x:c>
      <x:c r="Q123" s="89" t="str">
        <x:v>Последовательность цветов синяка основана на цветовой логике; наносить только очень прозрачными неровными пятнами.</x:v>
      </x:c>
    </x:row>
    <x:row r="124">
      <x:c r="A124" s="90" t="n">
        <x:v>120</x:v>
      </x:c>
      <x:c r="B124" s="297" t="str">
        <x:v>Эффекты</x:v>
      </x:c>
      <x:c r="C124" s="297" t="str">
        <x:v>Тёплый свет факела на лице</x:v>
      </x:c>
      <x:c r="D124" s="89" t="str">
        <x:v>Контролируемый OSL</x:v>
      </x:c>
      <x:c r="E124" s="89" t="str">
        <x:v>Лицо и факел планируются одновременно; теневую сторону не высветлять до максимума</x:v>
      </x:c>
      <x:c r="F124" s="89" t="str">
        <x:v>Полностью окрашенная кожа</x:v>
      </x:c>
      <x:c r="G124" s="89" t="str">
        <x:v>AK Dirty Red или Orange Brown на дальней границе света</x:v>
      </x:c>
      <x:c r="H124" s="89" t="str">
        <x:v>Vallejo Orange Fire тонкой лессировкой на обращённую к огню сторону</x:v>
      </x:c>
      <x:c r="I124" s="89" t="str">
        <x:v>AK Yellow меньшей площадью</x:v>
      </x:c>
      <x:c r="J124" s="89" t="str">
        <x:v>AK Pale Sand на самых близких выступах</x:v>
      </x:c>
      <x:c r="K124" s="89" t="str">
        <x:v>White на самом источнике света</x:v>
      </x:c>
      <x:c r="L124" s="89" t="str">
        <x:v>Fire Dragon Bright 1:10 с Lahmian Medium как общий тёплый фильтр</x:v>
      </x:c>
      <x:c r="M124" s="89" t="str">
        <x:v>Matt Varnish на лице; Satin на источнике</x:v>
      </x:c>
      <x:c r="N124" s="90" t="str">
        <x:v>Высокая</x:v>
      </x:c>
      <x:c r="O124" s="89" t="str">
        <x:v>OSL должен быть слабее самого источника и затрагивать только поверхности, которые действительно обращены к нему. Начинать тонко и усиливать постепенно.</x:v>
      </x:c>
      <x:c r="P124" s="89" t="str">
        <x:v>Внешний референс — адаптировано</x:v>
      </x:c>
      <x:c r="Q124" s="89" t="str">
        <x:v>Warhammer Colour Masterclass рекомендует планировать OSL заранее, начинать тонко и постепенно усиливать, сохраняя источник самым ярким.</x:v>
      </x:c>
    </x:row>
    <x:row r="125">
      <x:c r="A125" s="90" t="n">
        <x:v>121</x:v>
      </x:c>
      <x:c r="B125" s="317" t="str">
        <x:v>Красный</x:v>
      </x:c>
      <x:c r="C125" s="317" t="str">
        <x:v>Красная броня — объём аэрографом</x:v>
      </x:c>
      <x:c r="D125" s="89" t="str">
        <x:v>Аэрографная модуляция</x:v>
      </x:c>
      <x:c r="E125" s="89" t="str">
        <x:v>Black Primer</x:v>
      </x:c>
      <x:c r="F125" s="89" t="str">
        <x:v>AK Dirty Red по всей броне</x:v>
      </x:c>
      <x:c r="G125" s="89" t="str">
        <x:v>Gal Vorbak Red снизу и в стыки</x:v>
      </x:c>
      <x:c r="H125" s="89" t="str">
        <x:v>AK Blood Red под углом 45°</x:v>
      </x:c>
      <x:c r="I125" s="89" t="str">
        <x:v>AK Cadmium Red сверху</x:v>
      </x:c>
      <x:c r="J125" s="89" t="str">
        <x:v>Evil Sunz Scarlet на верхние панели</x:v>
      </x:c>
      <x:c r="K125" s="89" t="str">
        <x:v>Fire Dragon Bright кистью по кромкам</x:v>
      </x:c>
      <x:c r="L125" s="89" t="str">
        <x:v>Bloodletter или Red Ink очень тонким фильтром</x:v>
      </x:c>
      <x:c r="M125" s="89" t="str">
        <x:v>Matt Varnish</x:v>
      </x:c>
      <x:c r="N125" s="90" t="str">
        <x:v>Средняя</x:v>
      </x:c>
      <x:c r="O125" s="89" t="str">
        <x:v>0,3 мм; 15–18 PSI. Обычные акрилы начать примерно с 1:1 paint:thinner. Краску наращивать прозрачными проходами, не добиваясь укрывистости за один слой.</x:v>
      </x:c>
      <x:c r="P125" s="89" t="str">
        <x:v>Аэрографная адаптация — тест</x:v>
      </x:c>
      <x:c r="Q125" s="89" t="str">
        <x:v>Рецепт использует только краски коллекции. Стартовые давление и разведение являются ориентиром и требуют теста под сопло, thinner и условия помещения.</x:v>
      </x:c>
    </x:row>
    <x:row r="126">
      <x:c r="A126" s="90" t="n">
        <x:v>122</x:v>
      </x:c>
      <x:c r="B126" s="318" t="str">
        <x:v>Синий</x:v>
      </x:c>
      <x:c r="C126" s="318" t="str">
        <x:v>Синяя броня — объём аэрографом</x:v>
      </x:c>
      <x:c r="D126" s="89" t="str">
        <x:v>Аэрографная модуляция</x:v>
      </x:c>
      <x:c r="E126" s="89" t="str">
        <x:v>Black Primer</x:v>
      </x:c>
      <x:c r="F126" s="89" t="str">
        <x:v>AK Dark Prussian Blue</x:v>
      </x:c>
      <x:c r="G126" s="89" t="str">
        <x:v>Leviadon Blue + Contrast Medium 1:1 снизу</x:v>
      </x:c>
      <x:c r="H126" s="89" t="str">
        <x:v>Caledor Sky под углом 45°</x:v>
      </x:c>
      <x:c r="I126" s="89" t="str">
        <x:v>Teclis Blue сверху</x:v>
      </x:c>
      <x:c r="J126" s="89" t="str">
        <x:v>Lothern Blue на верхние панели</x:v>
      </x:c>
      <x:c r="K126" s="89" t="str">
        <x:v>Baharroth Blue кистью по кромкам</x:v>
      </x:c>
      <x:c r="L126" s="89" t="str">
        <x:v>Blue Ink 1:3 с Lahmian Medium как тонкий фильтр</x:v>
      </x:c>
      <x:c r="M126" s="89" t="str">
        <x:v>Matt Varnish</x:v>
      </x:c>
      <x:c r="N126" s="90" t="str">
        <x:v>Средняя</x:v>
      </x:c>
      <x:c r="O126" s="89" t="str">
        <x:v>0,3 мм; 15–18 PSI. Для тонкого Blue Ink-фильтра снизить подачу краски и держать поверхность лишь слегка влажной.</x:v>
      </x:c>
      <x:c r="P126" s="89" t="str">
        <x:v>Аэрографная адаптация — тест</x:v>
      </x:c>
      <x:c r="Q126" s="89" t="str">
        <x:v>Рецепт использует только краски коллекции. Стартовые давление и разведение являются ориентиром и требуют теста под сопло, thinner и условия помещения.</x:v>
      </x:c>
    </x:row>
    <x:row r="127">
      <x:c r="A127" s="90" t="n">
        <x:v>123</x:v>
      </x:c>
      <x:c r="B127" s="318" t="str">
        <x:v>Синий</x:v>
      </x:c>
      <x:c r="C127" s="318" t="str">
        <x:v>Бирюзовая броня — плавный градиент</x:v>
      </x:c>
      <x:c r="D127" s="89" t="str">
        <x:v>Аэрографная модуляция</x:v>
      </x:c>
      <x:c r="E127" s="89" t="str">
        <x:v>Black Primer</x:v>
      </x:c>
      <x:c r="F127" s="89" t="str">
        <x:v>Stegadon Scale Green</x:v>
      </x:c>
      <x:c r="G127" s="89" t="str">
        <x:v>Incubi Darkness снизу</x:v>
      </x:c>
      <x:c r="H127" s="89" t="str">
        <x:v>Sotek Green под углом</x:v>
      </x:c>
      <x:c r="I127" s="89" t="str">
        <x:v>Temple Guard Blue сверху</x:v>
      </x:c>
      <x:c r="J127" s="89" t="str">
        <x:v>Baharroth Blue локально</x:v>
      </x:c>
      <x:c r="K127" s="89" t="str">
        <x:v>White точечно кистью</x:v>
      </x:c>
      <x:c r="L127" s="89" t="str">
        <x:v>Akhelian Green + Contrast Medium 1:2 как объединяющий фильтр</x:v>
      </x:c>
      <x:c r="M127" s="89" t="str">
        <x:v>Matt Varnish</x:v>
      </x:c>
      <x:c r="N127" s="90" t="str">
        <x:v>Средняя</x:v>
      </x:c>
      <x:c r="O127" s="89" t="str">
        <x:v>0,3 мм; 14–18 PSI. Akhelian Green распылять почти сухим полупрозрачным слоем, иначе градиент быстро потемнеет.</x:v>
      </x:c>
      <x:c r="P127" s="89" t="str">
        <x:v>Аэрографная адаптация — тест</x:v>
      </x:c>
      <x:c r="Q127" s="89" t="str">
        <x:v>Рецепт использует только краски коллекции. Стартовые давление и разведение являются ориентиром и требуют теста под сопло, thinner и условия помещения.</x:v>
      </x:c>
    </x:row>
    <x:row r="128">
      <x:c r="A128" s="90" t="n">
        <x:v>124</x:v>
      </x:c>
      <x:c r="B128" s="319" t="str">
        <x:v>Зелёный</x:v>
      </x:c>
      <x:c r="C128" s="319" t="str">
        <x:v>Оливковая броня — верхний свет</x:v>
      </x:c>
      <x:c r="D128" s="89" t="str">
        <x:v>Аэрографная модуляция</x:v>
      </x:c>
      <x:c r="E128" s="89" t="str">
        <x:v>Black Primer</x:v>
      </x:c>
      <x:c r="F128" s="89" t="str">
        <x:v>Death Guard Green</x:v>
      </x:c>
      <x:c r="G128" s="89" t="str">
        <x:v>Militarum Green + Contrast Medium 1:1 снизу</x:v>
      </x:c>
      <x:c r="H128" s="89" t="str">
        <x:v>Death Guard Green вернуть под углом</x:v>
      </x:c>
      <x:c r="I128" s="89" t="str">
        <x:v>Death Guard Green + US Interior Yellow 1:1 сверху</x:v>
      </x:c>
      <x:c r="J128" s="89" t="str">
        <x:v>US Interior Yellow локально</x:v>
      </x:c>
      <x:c r="K128" s="89" t="str">
        <x:v>Pale Sand кистью точечно</x:v>
      </x:c>
      <x:c r="L128" s="89" t="str">
        <x:v>Умбра жжёная по лаку в стыки</x:v>
      </x:c>
      <x:c r="M128" s="89" t="str">
        <x:v>Matt Varnish</x:v>
      </x:c>
      <x:c r="N128" s="90" t="str">
        <x:v>Средняя</x:v>
      </x:c>
      <x:c r="O128" s="89" t="str">
        <x:v>0,3 мм; 15–18 PSI. Смесь с US Interior Yellow наносить меньшим конусом, сохраняя оливковую базу на большей части панели.</x:v>
      </x:c>
      <x:c r="P128" s="89" t="str">
        <x:v>Аэрографная адаптация — тест</x:v>
      </x:c>
      <x:c r="Q128" s="89" t="str">
        <x:v>Рецепт использует только краски коллекции. Стартовые давление и разведение являются ориентиром и требуют теста под сопло, thinner и условия помещения.</x:v>
      </x:c>
    </x:row>
    <x:row r="129">
      <x:c r="A129" s="90" t="n">
        <x:v>125</x:v>
      </x:c>
      <x:c r="B129" s="320" t="str">
        <x:v>Фиолетовый и розовый</x:v>
      </x:c>
      <x:c r="C129" s="320" t="str">
        <x:v>Фиолетовая броня — плавный объём</x:v>
      </x:c>
      <x:c r="D129" s="89" t="str">
        <x:v>Аэрографная модуляция</x:v>
      </x:c>
      <x:c r="E129" s="89" t="str">
        <x:v>Black Primer</x:v>
      </x:c>
      <x:c r="F129" s="89" t="str">
        <x:v>Naggaroth Night</x:v>
      </x:c>
      <x:c r="G129" s="89" t="str">
        <x:v>Leviathan Purple + Contrast Medium 1:1 снизу</x:v>
      </x:c>
      <x:c r="H129" s="89" t="str">
        <x:v>Xereus Purple под углом</x:v>
      </x:c>
      <x:c r="I129" s="89" t="str">
        <x:v>Genestealer Purple сверху</x:v>
      </x:c>
      <x:c r="J129" s="89" t="str">
        <x:v>Warpfiend Grey локально</x:v>
      </x:c>
      <x:c r="K129" s="89" t="str">
        <x:v>Slaanesh Grey кистью точечно</x:v>
      </x:c>
      <x:c r="L129" s="89" t="str">
        <x:v>Violet Ink 1:4 с Lahmian Medium как фильтр</x:v>
      </x:c>
      <x:c r="M129" s="89" t="str">
        <x:v>Matt Varnish</x:v>
      </x:c>
      <x:c r="N129" s="90" t="str">
        <x:v>Средняя</x:v>
      </x:c>
      <x:c r="O129" s="89" t="str">
        <x:v>0,3 мм; 14–18 PSI. Серо-фиолетовые света занимают малую площадь, иначе броня станет пыльно-серой.</x:v>
      </x:c>
      <x:c r="P129" s="89" t="str">
        <x:v>Аэрографная адаптация — тест</x:v>
      </x:c>
      <x:c r="Q129" s="89" t="str">
        <x:v>Рецепт использует только краски коллекции. Стартовые давление и разведение являются ориентиром и требуют теста под сопло, thinner и условия помещения.</x:v>
      </x:c>
    </x:row>
    <x:row r="130">
      <x:c r="A130" s="90" t="n">
        <x:v>126</x:v>
      </x:c>
      <x:c r="B130" s="321" t="str">
        <x:v>Жёлтый и оранжевый</x:v>
      </x:c>
      <x:c r="C130" s="321" t="str">
        <x:v>Жёлтая броня без полос</x:v>
      </x:c>
      <x:c r="D130" s="89" t="str">
        <x:v>Светлая аэрографная модуляция</x:v>
      </x:c>
      <x:c r="E130" s="89" t="str">
        <x:v>White Primer</x:v>
      </x:c>
      <x:c r="F130" s="89" t="str">
        <x:v>Averland Sunset Air</x:v>
      </x:c>
      <x:c r="G130" s="89" t="str">
        <x:v>AK Dirty Yellow снизу и в стыки</x:v>
      </x:c>
      <x:c r="H130" s="89" t="str">
        <x:v>AK Yellow под углом</x:v>
      </x:c>
      <x:c r="I130" s="89" t="str">
        <x:v>AK Yellow + Pale Sand 2:1 сверху</x:v>
      </x:c>
      <x:c r="J130" s="89" t="str">
        <x:v>Pale Sand локально</x:v>
      </x:c>
      <x:c r="K130" s="89" t="str">
        <x:v>White кистью точечно</x:v>
      </x:c>
      <x:c r="L130" s="89" t="str">
        <x:v>Casandora Yellow очень тонким фильтром</x:v>
      </x:c>
      <x:c r="M130" s="89" t="str">
        <x:v>Matt Varnish</x:v>
      </x:c>
      <x:c r="N130" s="90" t="str">
        <x:v>Средняя</x:v>
      </x:c>
      <x:c r="O130" s="89" t="str">
        <x:v>0,3 мм; 15–20 PSI. Жёлтый наносить несколькими тонкими слоями на белый грунт; не пытаться перекрыть тёмную основу.</x:v>
      </x:c>
      <x:c r="P130" s="89" t="str">
        <x:v>Аэрографная адаптация — тест</x:v>
      </x:c>
      <x:c r="Q130" s="89" t="str">
        <x:v>Рецепт использует только краски коллекции. Стартовые давление и разведение являются ориентиром и требуют теста под сопло, thinner и условия помещения.</x:v>
      </x:c>
    </x:row>
    <x:row r="131">
      <x:c r="A131" s="90" t="n">
        <x:v>127</x:v>
      </x:c>
      <x:c r="B131" s="322" t="str">
        <x:v>Кость и белый</x:v>
      </x:c>
      <x:c r="C131" s="322" t="str">
        <x:v>Холодная белая броня — аэрограф</x:v>
      </x:c>
      <x:c r="D131" s="89" t="str">
        <x:v>Зениталь и прозрачная тень</x:v>
      </x:c>
      <x:c r="E131" s="89" t="str">
        <x:v>Black Primer → Grey Seer под углом 45° → White сверху</x:v>
      </x:c>
      <x:c r="F131" s="89" t="str">
        <x:v>Grey Seer</x:v>
      </x:c>
      <x:c r="G131" s="89" t="str">
        <x:v>Dark Reaper очень тонко снизу</x:v>
      </x:c>
      <x:c r="H131" s="89" t="str">
        <x:v>Ulthuan Grey под углом</x:v>
      </x:c>
      <x:c r="I131" s="89" t="str">
        <x:v>White Grey сверху</x:v>
      </x:c>
      <x:c r="J131" s="89" t="str">
        <x:v>White на верхних панелях</x:v>
      </x:c>
      <x:c r="K131" s="89" t="str">
        <x:v>White кистью по кромкам</x:v>
      </x:c>
      <x:c r="L131" s="89" t="str">
        <x:v>Apothecary White + Contrast Medium 1:2 как общий фильтр</x:v>
      </x:c>
      <x:c r="M131" s="89" t="str">
        <x:v>Matt Varnish</x:v>
      </x:c>
      <x:c r="N131" s="90" t="str">
        <x:v>Высокая</x:v>
      </x:c>
      <x:c r="O131" s="89" t="str">
        <x:v>0,2–0,3 мм; 12–16 PSI. Белые слои должны оставаться полупрозрачными: объём создаёт подложка, а не толстый белый покров.</x:v>
      </x:c>
      <x:c r="P131" s="89" t="str">
        <x:v>Аэрографная адаптация — тест</x:v>
      </x:c>
      <x:c r="Q131" s="89" t="str">
        <x:v>Рецепт использует только краски коллекции. Стартовые давление и разведение являются ориентиром и требуют теста под сопло, thinner и условия помещения.</x:v>
      </x:c>
    </x:row>
    <x:row r="132">
      <x:c r="A132" s="90" t="n">
        <x:v>128</x:v>
      </x:c>
      <x:c r="B132" s="323" t="str">
        <x:v>Серый и чёрный</x:v>
      </x:c>
      <x:c r="C132" s="323" t="str">
        <x:v>Чёрная броня — аэрографный объём</x:v>
      </x:c>
      <x:c r="D132" s="89" t="str">
        <x:v>Чёрная модуляция</x:v>
      </x:c>
      <x:c r="E132" s="89" t="str">
        <x:v>Black Primer</x:v>
      </x:c>
      <x:c r="F132" s="89" t="str">
        <x:v>AK Black</x:v>
      </x:c>
      <x:c r="G132" s="89" t="str">
        <x:v>Black Legion + Contrast Medium 1:1 снизу</x:v>
      </x:c>
      <x:c r="H132" s="89" t="str">
        <x:v>Corvus Black под углом</x:v>
      </x:c>
      <x:c r="I132" s="89" t="str">
        <x:v>Eshin Grey сверху</x:v>
      </x:c>
      <x:c r="J132" s="89" t="str">
        <x:v>Dawnstone узко</x:v>
      </x:c>
      <x:c r="K132" s="89" t="str">
        <x:v>White Grey кистью точечно</x:v>
      </x:c>
      <x:c r="L132" s="89" t="str">
        <x:v>Black Legion 1:5 с Contrast Medium для приглушения переходов</x:v>
      </x:c>
      <x:c r="M132" s="89" t="str">
        <x:v>Matt Varnish</x:v>
      </x:c>
      <x:c r="N132" s="90" t="str">
        <x:v>Средняя</x:v>
      </x:c>
      <x:c r="O132" s="89" t="str">
        <x:v>0,2–0,3 мм; 12–16 PSI. На чёрной броне серый свет занимает значительно меньше половины поверхности.</x:v>
      </x:c>
      <x:c r="P132" s="89" t="str">
        <x:v>Аэрографная адаптация — тест</x:v>
      </x:c>
      <x:c r="Q132" s="89" t="str">
        <x:v>Рецепт использует только краски коллекции. Стартовые давление и разведение являются ориентиром и требуют теста под сопло, thinner и условия помещения.</x:v>
      </x:c>
    </x:row>
    <x:row r="133">
      <x:c r="A133" s="90" t="n">
        <x:v>129</x:v>
      </x:c>
      <x:c r="B133" s="324" t="str">
        <x:v>Телесный</x:v>
      </x:c>
      <x:c r="C133" s="324" t="str">
        <x:v>Тёплая кожа — аэрографный объём</x:v>
      </x:c>
      <x:c r="D133" s="89" t="str">
        <x:v>Аэрограф + кистевые детали</x:v>
      </x:c>
      <x:c r="E133" s="89" t="str">
        <x:v>Настоящий грунт → Grey Seer</x:v>
      </x:c>
      <x:c r="F133" s="89" t="str">
        <x:v>Vallejo Heavy Skintone</x:v>
      </x:c>
      <x:c r="G133" s="89" t="str">
        <x:v>AK Brown Rose + AK Deep Brown 2:1 снизу</x:v>
      </x:c>
      <x:c r="H133" s="89" t="str">
        <x:v>Cadian Fleshtone под углом</x:v>
      </x:c>
      <x:c r="I133" s="89" t="str">
        <x:v>Flayed One Flesh сверху</x:v>
      </x:c>
      <x:c r="J133" s="89" t="str">
        <x:v>Vallejo Pale Flesh локально</x:v>
      </x:c>
      <x:c r="K133" s="89" t="str">
        <x:v>Pallid Wych Flesh кистью точечно</x:v>
      </x:c>
      <x:c r="L133" s="89" t="str">
        <x:v>Guilliman Flesh + Contrast Medium 1:3 как тонкий фильтр</x:v>
      </x:c>
      <x:c r="M133" s="89" t="str">
        <x:v>Matt Varnish</x:v>
      </x:c>
      <x:c r="N133" s="90" t="str">
        <x:v>Высокая</x:v>
      </x:c>
      <x:c r="O133" s="89" t="str">
        <x:v>0,2–0,3 мм; 12–16 PSI. Распылять с дальней дистанции очень малой подачей, чтобы не залить глаза, рот и мелкую анатомию.</x:v>
      </x:c>
      <x:c r="P133" s="89" t="str">
        <x:v>Аэрографная адаптация — тест</x:v>
      </x:c>
      <x:c r="Q133" s="89" t="str">
        <x:v>Рецепт использует только краски коллекции. Стартовые давление и разведение являются ориентиром и требуют теста под сопло, thinner и условия помещения.</x:v>
      </x:c>
    </x:row>
    <x:row r="134">
      <x:c r="A134" s="90" t="n">
        <x:v>130</x:v>
      </x:c>
      <x:c r="B134" s="324" t="str">
        <x:v>Телесный</x:v>
      </x:c>
      <x:c r="C134" s="324" t="str">
        <x:v>Мертвенная кожа — аэрограф</x:v>
      </x:c>
      <x:c r="D134" s="89" t="str">
        <x:v>Зениталь + цветные фильтры</x:v>
      </x:c>
      <x:c r="E134" s="89" t="str">
        <x:v>Black Primer → Grey Seer → White сверху</x:v>
      </x:c>
      <x:c r="F134" s="89" t="str">
        <x:v>Heavy Warmgrey + AK Sickly Pink 1:1</x:v>
      </x:c>
      <x:c r="G134" s="89" t="str">
        <x:v>AK Purple 1:4 с Lahmian Medium снизу</x:v>
      </x:c>
      <x:c r="H134" s="89" t="str">
        <x:v>Deepkin Flesh под углом</x:v>
      </x:c>
      <x:c r="I134" s="89" t="str">
        <x:v>Vallejo Pale Flesh сверху</x:v>
      </x:c>
      <x:c r="J134" s="89" t="str">
        <x:v>Pallid Wych Flesh локально</x:v>
      </x:c>
      <x:c r="K134" s="89" t="str">
        <x:v>White кистью точечно</x:v>
      </x:c>
      <x:c r="L134" s="89" t="str">
        <x:v>Dreadful Visage + Contrast Medium 1:2 как холодный фильтр</x:v>
      </x:c>
      <x:c r="M134" s="89" t="str">
        <x:v>Matt Varnish</x:v>
      </x:c>
      <x:c r="N134" s="90" t="str">
        <x:v>Высокая</x:v>
      </x:c>
      <x:c r="O134" s="89" t="str">
        <x:v>0,2–0,3 мм; 12–15 PSI. Фиолетовый фильтр должен лишь изменить температуру тени, а не стать отдельным фиолетовым слоем.</x:v>
      </x:c>
      <x:c r="P134" s="89" t="str">
        <x:v>Аэрографная адаптация — тест</x:v>
      </x:c>
      <x:c r="Q134" s="89" t="str">
        <x:v>Рецепт использует только краски коллекции. Стартовые давление и разведение являются ориентиром и требуют теста под сопло, thinner и условия помещения.</x:v>
      </x:c>
    </x:row>
    <x:row r="135">
      <x:c r="A135" s="90" t="n">
        <x:v>131</x:v>
      </x:c>
      <x:c r="B135" s="320" t="str">
        <x:v>Фиолетовый и розовый</x:v>
      </x:c>
      <x:c r="C135" s="320" t="str">
        <x:v>Бордовый плащ — объём аэрографом</x:v>
      </x:c>
      <x:c r="D135" s="89" t="str">
        <x:v>Складочная модуляция</x:v>
      </x:c>
      <x:c r="E135" s="89" t="str">
        <x:v>Black Primer</x:v>
      </x:c>
      <x:c r="F135" s="89" t="str">
        <x:v>Gal Vorbak Red</x:v>
      </x:c>
      <x:c r="G135" s="89" t="str">
        <x:v>Sigvald Burgundy + Contrast Medium 1:1 в нижние складки</x:v>
      </x:c>
      <x:c r="H135" s="89" t="str">
        <x:v>Barak-Nar Burgundy под углом</x:v>
      </x:c>
      <x:c r="I135" s="89" t="str">
        <x:v>Pink Horror сверху</x:v>
      </x:c>
      <x:c r="J135" s="89" t="str">
        <x:v>Emperor's Children локально</x:v>
      </x:c>
      <x:c r="K135" s="89" t="str">
        <x:v>Fulgrim Pink кистью точечно</x:v>
      </x:c>
      <x:c r="L135" s="89" t="str">
        <x:v>Carroburg Crimson как очень тонкий фильтр</x:v>
      </x:c>
      <x:c r="M135" s="89" t="str">
        <x:v>Matt Varnish</x:v>
      </x:c>
      <x:c r="N135" s="90" t="str">
        <x:v>Средняя</x:v>
      </x:c>
      <x:c r="O135" s="89" t="str">
        <x:v>0,2–0,3 мм; 12–16 PSI. Направлять факел аэрографа вдоль складок, а не перпендикулярно всему плащу.</x:v>
      </x:c>
      <x:c r="P135" s="89" t="str">
        <x:v>Аэрографная адаптация — тест</x:v>
      </x:c>
      <x:c r="Q135" s="89" t="str">
        <x:v>Рецепт использует только краски коллекции. Стартовые давление и разведение являются ориентиром и требуют теста под сопло, thinner и условия помещения.</x:v>
      </x:c>
    </x:row>
    <x:row r="136">
      <x:c r="A136" s="90" t="n">
        <x:v>132</x:v>
      </x:c>
      <x:c r="B136" s="325" t="str">
        <x:v>Универсальные процессы</x:v>
      </x:c>
      <x:c r="C136" s="325" t="str">
        <x:v>Зенитальная основа под Contrast</x:v>
      </x:c>
      <x:c r="D136" s="89" t="str">
        <x:v>Аэрографная подложка</x:v>
      </x:c>
      <x:c r="E136" s="89" t="str">
        <x:v>Black Primer</x:v>
      </x:c>
      <x:c r="F136" s="89" t="str">
        <x:v>Black Primer оставить в глубоких тенях</x:v>
      </x:c>
      <x:c r="G136" s="89" t="str">
        <x:v>—</x:v>
      </x:c>
      <x:c r="H136" s="89" t="str">
        <x:v>Grey Seer под углом 45°</x:v>
      </x:c>
      <x:c r="I136" s="89" t="str">
        <x:v>White сверху</x:v>
      </x:c>
      <x:c r="J136" s="89" t="str">
        <x:v>White на лице и фокусных деталях</x:v>
      </x:c>
      <x:c r="K136" s="89" t="str">
        <x:v>—</x:v>
      </x:c>
      <x:c r="L136" s="89" t="str">
        <x:v>Выбранный Contrast/Xpress кистью или аэрографом</x:v>
      </x:c>
      <x:c r="M136" s="89" t="str">
        <x:v>Matt Varnish</x:v>
      </x:c>
      <x:c r="N136" s="90" t="str">
        <x:v>Низкая</x:v>
      </x:c>
      <x:c r="O136" s="89" t="str">
        <x:v>0,3 мм; 15–18 PSI. Grey Seer и White наносить тонко; рельеф чёрной подложки должен оставаться видимым снизу.</x:v>
      </x:c>
      <x:c r="P136" s="89" t="str">
        <x:v>Проверено по аэрографной практике</x:v>
      </x:c>
      <x:c r="Q136" s="89" t="str">
        <x:v>Процесс основан на зенитальной/гримайльной подложке, полупрозрачных фильтрах и контролируемом восстановлении деталей кистью.</x:v>
      </x:c>
    </x:row>
    <x:row r="137">
      <x:c r="A137" s="90" t="n">
        <x:v>133</x:v>
      </x:c>
      <x:c r="B137" s="325" t="str">
        <x:v>Универсальные процессы</x:v>
      </x:c>
      <x:c r="C137" s="325" t="str">
        <x:v>Гризайль под Game Ink</x:v>
      </x:c>
      <x:c r="D137" s="89" t="str">
        <x:v>Чёрно-белая аэрографная живопись</x:v>
      </x:c>
      <x:c r="E137" s="89" t="str">
        <x:v>Black Primer</x:v>
      </x:c>
      <x:c r="F137" s="89" t="str">
        <x:v>AK German Grey Uniform</x:v>
      </x:c>
      <x:c r="G137" s="89" t="str">
        <x:v>AK Black снизу</x:v>
      </x:c>
      <x:c r="H137" s="89" t="str">
        <x:v>AK Medium Grey под углом</x:v>
      </x:c>
      <x:c r="I137" s="89" t="str">
        <x:v>White Grey сверху</x:v>
      </x:c>
      <x:c r="J137" s="89" t="str">
        <x:v>White на бликах</x:v>
      </x:c>
      <x:c r="K137" s="89" t="str">
        <x:v>White кистью точечно</x:v>
      </x:c>
      <x:c r="L137" s="89" t="str">
        <x:v>Выбранный Red/Yellow/Green/Blue/Violet Ink тонкими фильтрами</x:v>
      </x:c>
      <x:c r="M137" s="89" t="str">
        <x:v>Satin или Matt Varnish</x:v>
      </x:c>
      <x:c r="N137" s="90" t="str">
        <x:v>Средняя</x:v>
      </x:c>
      <x:c r="O137" s="89" t="str">
        <x:v>0,2–0,3 мм; 12–16 PSI. Game Ink сохраняет светотень под собой, поэтому сначала завершить чёрно-белый объём.</x:v>
      </x:c>
      <x:c r="P137" s="89" t="str">
        <x:v>Проверено по аэрографной практике</x:v>
      </x:c>
      <x:c r="Q137" s="89" t="str">
        <x:v>Процесс основан на зенитальной/гримайльной подложке, полупрозрачных фильтрах и контролируемом восстановлении деталей кистью.</x:v>
      </x:c>
    </x:row>
    <x:row r="138">
      <x:c r="A138" s="90" t="n">
        <x:v>134</x:v>
      </x:c>
      <x:c r="B138" s="326" t="str">
        <x:v>Металлик</x:v>
      </x:c>
      <x:c r="C138" s="326" t="str">
        <x:v>Candy-red металл аэрографом</x:v>
      </x:c>
      <x:c r="D138" s="89" t="str">
        <x:v>Прозрачный цвет по металлу</x:v>
      </x:c>
      <x:c r="E138" s="89" t="str">
        <x:v>Black Primer</x:v>
      </x:c>
      <x:c r="F138" s="89" t="str">
        <x:v>Iron Warriors</x:v>
      </x:c>
      <x:c r="G138" s="89" t="str">
        <x:v>Nuln Oil только в углубления</x:v>
      </x:c>
      <x:c r="H138" s="89" t="str">
        <x:v>Runefang Steel под углом</x:v>
      </x:c>
      <x:c r="I138" s="89" t="str">
        <x:v>Vallejo Silver сверху</x:v>
      </x:c>
      <x:c r="J138" s="89" t="str">
        <x:v>Blood Angels Red + Contrast Medium 1:1 по всей поверхности</x:v>
      </x:c>
      <x:c r="K138" s="89" t="str">
        <x:v>Baal Red локально на свету</x:v>
      </x:c>
      <x:c r="L138" s="89" t="str">
        <x:v>Flesh Tearers Red + Contrast Medium 1:2 снизу</x:v>
      </x:c>
      <x:c r="M138" s="89" t="str">
        <x:v>Metal Varnish 77.657</x:v>
      </x:c>
      <x:c r="N138" s="90" t="str">
        <x:v>Высокая</x:v>
      </x:c>
      <x:c r="O138" s="89" t="str">
        <x:v>0,3 мм; 12–16 PSI. Прозрачные красные слои распылять тонко; металлическая подложка должна оставаться читаемой.</x:v>
      </x:c>
      <x:c r="P138" s="89" t="str">
        <x:v>Внешний референс — аэрографная адаптация</x:v>
      </x:c>
      <x:c r="Q138" s="89" t="str">
        <x:v>Цветовая логика ранее подтверждена официальными гайдами; добавлены аэрографные параметры и контроль прозрачности.</x:v>
      </x:c>
    </x:row>
    <x:row r="139">
      <x:c r="A139" s="90" t="n">
        <x:v>135</x:v>
      </x:c>
      <x:c r="B139" s="326" t="str">
        <x:v>Металлик</x:v>
      </x:c>
      <x:c r="C139" s="326" t="str">
        <x:v>Candy-blue металл аэрографом</x:v>
      </x:c>
      <x:c r="D139" s="89" t="str">
        <x:v>Прозрачный цвет по металлу</x:v>
      </x:c>
      <x:c r="E139" s="89" t="str">
        <x:v>Black Primer</x:v>
      </x:c>
      <x:c r="F139" s="89" t="str">
        <x:v>Iron Warriors</x:v>
      </x:c>
      <x:c r="G139" s="89" t="str">
        <x:v>Nuln Oil только в швы</x:v>
      </x:c>
      <x:c r="H139" s="89" t="str">
        <x:v>Runefang Steel под углом</x:v>
      </x:c>
      <x:c r="I139" s="89" t="str">
        <x:v>Vallejo Silver сверху</x:v>
      </x:c>
      <x:c r="J139" s="89" t="str">
        <x:v>Talassar Blue + Contrast Medium 1:1</x:v>
      </x:c>
      <x:c r="K139" s="89" t="str">
        <x:v>Frostheart локально на свету</x:v>
      </x:c>
      <x:c r="L139" s="89" t="str">
        <x:v>Leviadon Blue + Contrast Medium 1:2 снизу</x:v>
      </x:c>
      <x:c r="M139" s="89" t="str">
        <x:v>Metal Varnish 77.657</x:v>
      </x:c>
      <x:c r="N139" s="90" t="str">
        <x:v>Высокая</x:v>
      </x:c>
      <x:c r="O139" s="89" t="str">
        <x:v>0,3 мм; 12–16 PSI. Тёмный Leviadon Blue наносить последним и только снизу, иначе он перекроет металлический блеск.</x:v>
      </x:c>
      <x:c r="P139" s="89" t="str">
        <x:v>Внешний референс — аэрографная адаптация</x:v>
      </x:c>
      <x:c r="Q139" s="89" t="str">
        <x:v>Цветовая логика ранее подтверждена официальными гайдами; добавлены аэрографные параметры и контроль прозрачности.</x:v>
      </x:c>
    </x:row>
    <x:row r="140">
      <x:c r="A140" s="90" t="n">
        <x:v>136</x:v>
      </x:c>
      <x:c r="B140" s="326" t="str">
        <x:v>Металлик</x:v>
      </x:c>
      <x:c r="C140" s="326" t="str">
        <x:v>Candy-teal металл аэрографом</x:v>
      </x:c>
      <x:c r="D140" s="89" t="str">
        <x:v>Прозрачный цвет по металлу</x:v>
      </x:c>
      <x:c r="E140" s="89" t="str">
        <x:v>Black Primer</x:v>
      </x:c>
      <x:c r="F140" s="89" t="str">
        <x:v>Runelord Brass или Runefang Steel</x:v>
      </x:c>
      <x:c r="G140" s="89" t="str">
        <x:v>Nuln Oil только в швы</x:v>
      </x:c>
      <x:c r="H140" s="89" t="str">
        <x:v>Исходный металл вернуть под углом</x:v>
      </x:c>
      <x:c r="I140" s="89" t="str">
        <x:v>Vallejo Silver сверху</x:v>
      </x:c>
      <x:c r="J140" s="89" t="str">
        <x:v>Akhelian Green + Contrast Medium 1:1</x:v>
      </x:c>
      <x:c r="K140" s="89" t="str">
        <x:v>Frostheart очень тонко на свету</x:v>
      </x:c>
      <x:c r="L140" s="89" t="str">
        <x:v>Leviadon Blue + Akhelian Green + Contrast Medium 1:1:2 снизу</x:v>
      </x:c>
      <x:c r="M140" s="89" t="str">
        <x:v>Metal Varnish 77.657</x:v>
      </x:c>
      <x:c r="N140" s="90" t="str">
        <x:v>Высокая</x:v>
      </x:c>
      <x:c r="O140" s="89" t="str">
        <x:v>0,3 мм; 12–16 PSI. На латуни результат будет теплее и зеленее, на серебре — холоднее и ярче.</x:v>
      </x:c>
      <x:c r="P140" s="89" t="str">
        <x:v>Внешний референс — аэрографная адаптация</x:v>
      </x:c>
      <x:c r="Q140" s="89" t="str">
        <x:v>Цветовая логика ранее подтверждена официальными гайдами; добавлены аэрографные параметры и контроль прозрачности.</x:v>
      </x:c>
    </x:row>
    <x:row r="141">
      <x:c r="A141" s="90" t="n">
        <x:v>137</x:v>
      </x:c>
      <x:c r="B141" s="326" t="str">
        <x:v>Металлик</x:v>
      </x:c>
      <x:c r="C141" s="326" t="str">
        <x:v>Золото — аэрографная модуляция</x:v>
      </x:c>
      <x:c r="D141" s="89" t="str">
        <x:v>Металлическая модуляция</x:v>
      </x:c>
      <x:c r="E141" s="89" t="str">
        <x:v>Black Primer</x:v>
      </x:c>
      <x:c r="F141" s="89" t="str">
        <x:v>Warplock Bronze снизу</x:v>
      </x:c>
      <x:c r="G141" s="89" t="str">
        <x:v>Agrax Earthshade локально в стыки</x:v>
      </x:c>
      <x:c r="H141" s="89" t="str">
        <x:v>Retributor Armour</x:v>
      </x:c>
      <x:c r="I141" s="89" t="str">
        <x:v>Gehenna's Gold под углом</x:v>
      </x:c>
      <x:c r="J141" s="89" t="str">
        <x:v>Liberator Gold сверху</x:v>
      </x:c>
      <x:c r="K141" s="89" t="str">
        <x:v>Canoptek Alloy и Vallejo Silver кистью точечно</x:v>
      </x:c>
      <x:c r="L141" s="89" t="str">
        <x:v>Seraphim Sepia очень тонким фильтром</x:v>
      </x:c>
      <x:c r="M141" s="89" t="str">
        <x:v>Metal Varnish 77.657</x:v>
      </x:c>
      <x:c r="N141" s="90" t="str">
        <x:v>Средняя</x:v>
      </x:c>
      <x:c r="O141" s="89" t="str">
        <x:v>0,3–0,4 мм; 15–20 PSI. Citadel metallics тщательно перемешать, развести и при возможности профильтровать перед распылением.</x:v>
      </x:c>
      <x:c r="P141" s="89" t="str">
        <x:v>Аэрографная адаптация — тест</x:v>
      </x:c>
      <x:c r="Q141" s="89" t="str">
        <x:v>Рецепт использует только краски коллекции. Стартовые давление и разведение являются ориентиром и требуют теста под сопло, thinner и условия помещения.</x:v>
      </x:c>
    </x:row>
    <x:row r="142">
      <x:c r="A142" s="90" t="n">
        <x:v>138</x:v>
      </x:c>
      <x:c r="B142" s="326" t="str">
        <x:v>Металлик</x:v>
      </x:c>
      <x:c r="C142" s="326" t="str">
        <x:v>Сталь — аэрографная модуляция</x:v>
      </x:c>
      <x:c r="D142" s="89" t="str">
        <x:v>Металлическая модуляция</x:v>
      </x:c>
      <x:c r="E142" s="89" t="str">
        <x:v>Black Primer</x:v>
      </x:c>
      <x:c r="F142" s="89" t="str">
        <x:v>Iron Warriors</x:v>
      </x:c>
      <x:c r="G142" s="89" t="str">
        <x:v>Nuln Oil локально</x:v>
      </x:c>
      <x:c r="H142" s="89" t="str">
        <x:v>Leadbelcher под углом</x:v>
      </x:c>
      <x:c r="I142" s="89" t="str">
        <x:v>Ironbreaker сверху</x:v>
      </x:c>
      <x:c r="J142" s="89" t="str">
        <x:v>Runefang Steel локально</x:v>
      </x:c>
      <x:c r="K142" s="89" t="str">
        <x:v>Vallejo Silver кистью точечно</x:v>
      </x:c>
      <x:c r="L142" s="89" t="str">
        <x:v>Tyran Blue очень тонко в холодные тени</x:v>
      </x:c>
      <x:c r="M142" s="89" t="str">
        <x:v>Metal Varnish 77.657</x:v>
      </x:c>
      <x:c r="N142" s="90" t="str">
        <x:v>Средняя</x:v>
      </x:c>
      <x:c r="O142" s="89" t="str">
        <x:v>0,3–0,4 мм; 15–20 PSI. Не переразбавлять металлик: слишком жидкая смесь может дать пятнистую ориентацию металлических частиц.</x:v>
      </x:c>
      <x:c r="P142" s="89" t="str">
        <x:v>Аэрографная адаптация — тест</x:v>
      </x:c>
      <x:c r="Q142" s="89" t="str">
        <x:v>Рецепт использует только краски коллекции. Стартовые давление и разведение являются ориентиром и требуют теста под сопло, thinner и условия помещения.</x:v>
      </x:c>
    </x:row>
    <x:row r="143">
      <x:c r="A143" s="90" t="n">
        <x:v>139</x:v>
      </x:c>
      <x:c r="B143" s="327" t="str">
        <x:v>Эффекты</x:v>
      </x:c>
      <x:c r="C143" s="327" t="str">
        <x:v>Синяя плазма — аэрографный OSL</x:v>
      </x:c>
      <x:c r="D143" s="89" t="str">
        <x:v>Белый центр + цветной ореол</x:v>
      </x:c>
      <x:c r="E143" s="89" t="str">
        <x:v>Black Primer или готовая модель</x:v>
      </x:c>
      <x:c r="F143" s="89" t="str">
        <x:v>White на катушку</x:v>
      </x:c>
      <x:c r="G143" s="89" t="str">
        <x:v>Talassar Blue вокруг катушки</x:v>
      </x:c>
      <x:c r="H143" s="89" t="str">
        <x:v>Lothern Blue на ближайшие поверхности</x:v>
      </x:c>
      <x:c r="I143" s="89" t="str">
        <x:v>Baharroth Blue меньшей зоной</x:v>
      </x:c>
      <x:c r="J143" s="89" t="str">
        <x:v>White вернуть в центр</x:v>
      </x:c>
      <x:c r="K143" s="89" t="str">
        <x:v>White кистью по внутренним рёбрам</x:v>
      </x:c>
      <x:c r="L143" s="89" t="str">
        <x:v>Frostheart + Contrast Medium 1:2 как внешний ореол</x:v>
      </x:c>
      <x:c r="M143" s="89" t="str">
        <x:v>Satin Varnish</x:v>
      </x:c>
      <x:c r="N143" s="90" t="str">
        <x:v>Высокая</x:v>
      </x:c>
      <x:c r="O143" s="89" t="str">
        <x:v>0,2–0,3 мм; 10–15 PSI. Начинать с широкого слабого ореола и уменьшать конус к белому центру. Источник всегда ярче отражённого света.</x:v>
      </x:c>
      <x:c r="P143" s="89" t="str">
        <x:v>Внешний референс — аэрографная адаптация</x:v>
      </x:c>
      <x:c r="Q143" s="89" t="str">
        <x:v>Цветовая логика ранее подтверждена официальными гайдами; добавлены аэрографные параметры и контроль прозрачности.</x:v>
      </x:c>
    </x:row>
    <x:row r="144">
      <x:c r="A144" s="90" t="n">
        <x:v>140</x:v>
      </x:c>
      <x:c r="B144" s="327" t="str">
        <x:v>Эффекты</x:v>
      </x:c>
      <x:c r="C144" s="327" t="str">
        <x:v>Зелёная плазма — аэрографный OSL</x:v>
      </x:c>
      <x:c r="D144" s="89" t="str">
        <x:v>Белый центр + Fluorescent</x:v>
      </x:c>
      <x:c r="E144" s="89" t="str">
        <x:v>Black Primer или готовая модель</x:v>
      </x:c>
      <x:c r="F144" s="89" t="str">
        <x:v>White на источник</x:v>
      </x:c>
      <x:c r="G144" s="89" t="str">
        <x:v>Warp Lightning + Contrast Medium 1:2 вокруг</x:v>
      </x:c>
      <x:c r="H144" s="89" t="str">
        <x:v>Moot Green на ближайшие поверхности</x:v>
      </x:c>
      <x:c r="I144" s="89" t="str">
        <x:v>Moot Green + White 1:1 меньшей зоной</x:v>
      </x:c>
      <x:c r="J144" s="89" t="str">
        <x:v>Green Fluorescent на светлой части</x:v>
      </x:c>
      <x:c r="K144" s="89" t="str">
        <x:v>White вернуть в центр</x:v>
      </x:c>
      <x:c r="L144" s="89" t="str">
        <x:v>Green Fluorescent очень тонко как внешний фильтр</x:v>
      </x:c>
      <x:c r="M144" s="89" t="str">
        <x:v>Satin Varnish</x:v>
      </x:c>
      <x:c r="N144" s="90" t="str">
        <x:v>Высокая</x:v>
      </x:c>
      <x:c r="O144" s="89" t="str">
        <x:v>0,2–0,3 мм; 10–15 PSI. Green Fluorescent распылять только поверх белого или очень светлого зелёного.</x:v>
      </x:c>
      <x:c r="P144" s="89" t="str">
        <x:v>Внешний референс — аэрографная адаптация</x:v>
      </x:c>
      <x:c r="Q144" s="89" t="str">
        <x:v>Цветовая логика ранее подтверждена официальными гайдами; добавлены аэрографные параметры и контроль прозрачности.</x:v>
      </x:c>
    </x:row>
    <x:row r="145">
      <x:c r="A145" s="90" t="n">
        <x:v>141</x:v>
      </x:c>
      <x:c r="B145" s="327" t="str">
        <x:v>Эффекты</x:v>
      </x:c>
      <x:c r="C145" s="327" t="str">
        <x:v>Маджентовое свечение — аэрограф</x:v>
      </x:c>
      <x:c r="D145" s="89" t="str">
        <x:v>Белый центр + Fluorescent</x:v>
      </x:c>
      <x:c r="E145" s="89" t="str">
        <x:v>Black Primer или готовая модель</x:v>
      </x:c>
      <x:c r="F145" s="89" t="str">
        <x:v>White на источник</x:v>
      </x:c>
      <x:c r="G145" s="89" t="str">
        <x:v>Doomfire Magenta + Contrast Medium 1:2 вокруг</x:v>
      </x:c>
      <x:c r="H145" s="89" t="str">
        <x:v>Emperor's Children на ближайшие поверхности</x:v>
      </x:c>
      <x:c r="I145" s="89" t="str">
        <x:v>Fulgrim Pink меньшей зоной</x:v>
      </x:c>
      <x:c r="J145" s="89" t="str">
        <x:v>Magenta Fluorescent</x:v>
      </x:c>
      <x:c r="K145" s="89" t="str">
        <x:v>White вернуть в центр</x:v>
      </x:c>
      <x:c r="L145" s="89" t="str">
        <x:v>Leviathan Purple + Contrast Medium 1:4 только по внешнему краю</x:v>
      </x:c>
      <x:c r="M145" s="89" t="str">
        <x:v>Satin Varnish</x:v>
      </x:c>
      <x:c r="N145" s="90" t="str">
        <x:v>Высокая</x:v>
      </x:c>
      <x:c r="O145" s="89" t="str">
        <x:v>0,2–0,3 мм; 10–15 PSI. Фиолетовый край должен быть темнее магенты, но значительно слабее белого источника.</x:v>
      </x:c>
      <x:c r="P145" s="89" t="str">
        <x:v>Внешний референс — аэрографная адаптация</x:v>
      </x:c>
      <x:c r="Q145" s="89" t="str">
        <x:v>Цветовая логика ранее подтверждена официальными гайдами; добавлены аэрографные параметры и контроль прозрачности.</x:v>
      </x:c>
    </x:row>
    <x:row r="146">
      <x:c r="A146" s="90" t="n">
        <x:v>142</x:v>
      </x:c>
      <x:c r="B146" s="327" t="str">
        <x:v>Эффекты</x:v>
      </x:c>
      <x:c r="C146" s="327" t="str">
        <x:v>Тёплый OSL факела — аэрограф</x:v>
      </x:c>
      <x:c r="D146" s="89" t="str">
        <x:v>Многоступенчатый ореол</x:v>
      </x:c>
      <x:c r="E146" s="89" t="str">
        <x:v>Готовая модель; источник заранее оставлен светлым</x:v>
      </x:c>
      <x:c r="F146" s="89" t="str">
        <x:v>AK Dirty Red широким слабым ореолом</x:v>
      </x:c>
      <x:c r="G146" s="89" t="str">
        <x:v>—</x:v>
      </x:c>
      <x:c r="H146" s="89" t="str">
        <x:v>Vallejo Orange Fire меньшей зоной</x:v>
      </x:c>
      <x:c r="I146" s="89" t="str">
        <x:v>AK Yellow ещё меньшей зоной</x:v>
      </x:c>
      <x:c r="J146" s="89" t="str">
        <x:v>AK Pale Sand около источника</x:v>
      </x:c>
      <x:c r="K146" s="89" t="str">
        <x:v>White на самом источнике</x:v>
      </x:c>
      <x:c r="L146" s="89" t="str">
        <x:v>Fire Dragon Bright очень тонким общим фильтром</x:v>
      </x:c>
      <x:c r="M146" s="89" t="str">
        <x:v>Matt Varnish на модели; Satin на источнике</x:v>
      </x:c>
      <x:c r="N146" s="90" t="str">
        <x:v>Высокая</x:v>
      </x:c>
      <x:c r="O146" s="89" t="str">
        <x:v>0,2–0,3 мм; 10–14 PSI. Маскировать или отвернуть модель так, чтобы свет не попадал на поверхности, закрытые геометрией.</x:v>
      </x:c>
      <x:c r="P146" s="89" t="str">
        <x:v>Внешний референс — аэрографная адаптация</x:v>
      </x:c>
      <x:c r="Q146" s="89" t="str">
        <x:v>Цветовая логика ранее подтверждена официальными гайдами; добавлены аэрографные параметры и контроль прозрачности.</x:v>
      </x:c>
    </x:row>
    <x:row r="147">
      <x:c r="A147" s="90" t="n">
        <x:v>143</x:v>
      </x:c>
      <x:c r="B147" s="327" t="str">
        <x:v>Эффекты</x:v>
      </x:c>
      <x:c r="C147" s="327" t="str">
        <x:v>Холодный лунный OSL — аэрограф</x:v>
      </x:c>
      <x:c r="D147" s="89" t="str">
        <x:v>Серо-голубой отражённый свет</x:v>
      </x:c>
      <x:c r="E147" s="89" t="str">
        <x:v>Готовая модель</x:v>
      </x:c>
      <x:c r="F147" s="89" t="str">
        <x:v>The Fang широким слабым слоем</x:v>
      </x:c>
      <x:c r="G147" s="89" t="str">
        <x:v>AK Dark Prussian Blue в дальней границе</x:v>
      </x:c>
      <x:c r="H147" s="89" t="str">
        <x:v>Fenrisian Grey меньшей зоной</x:v>
      </x:c>
      <x:c r="I147" s="89" t="str">
        <x:v>Ulthuan Grey</x:v>
      </x:c>
      <x:c r="J147" s="89" t="str">
        <x:v>White Grey</x:v>
      </x:c>
      <x:c r="K147" s="89" t="str">
        <x:v>White точечно на острых кромках</x:v>
      </x:c>
      <x:c r="L147" s="89" t="str">
        <x:v>Space Wolves Grey + Contrast Medium 1:3 как объединяющий фильтр</x:v>
      </x:c>
      <x:c r="M147" s="89" t="str">
        <x:v>Matt Varnish</x:v>
      </x:c>
      <x:c r="N147" s="90" t="str">
        <x:v>Высокая</x:v>
      </x:c>
      <x:c r="O147" s="89" t="str">
        <x:v>0,2–0,3 мм; 10–14 PSI. Холодный свет не должен высветлять теневую сторону модели так же сильно, как направленный белый источник.</x:v>
      </x:c>
      <x:c r="P147" s="89" t="str">
        <x:v>Внешний референс — аэрографная адаптация</x:v>
      </x:c>
      <x:c r="Q147" s="89" t="str">
        <x:v>Цветовая логика ранее подтверждена официальными гайдами; добавлены аэрографные параметры и контроль прозрачности.</x:v>
      </x:c>
    </x:row>
    <x:row r="148">
      <x:c r="A148" s="90" t="n">
        <x:v>144</x:v>
      </x:c>
      <x:c r="B148" s="327" t="str">
        <x:v>Эффекты</x:v>
      </x:c>
      <x:c r="C148" s="327" t="str">
        <x:v>Копоть и гарь аэрографом</x:v>
      </x:c>
      <x:c r="D148" s="89" t="str">
        <x:v>Полупрозрачное загрязнение</x:v>
      </x:c>
      <x:c r="E148" s="89" t="str">
        <x:v>Полностью окрашенная и защищённая поверхность</x:v>
      </x:c>
      <x:c r="F148" s="89" t="str">
        <x:v>Black Templar + Contrast Medium 1:3</x:v>
      </x:c>
      <x:c r="G148" s="89" t="str">
        <x:v>Black Legion + Contrast Medium 1:4 ближе к источнику</x:v>
      </x:c>
      <x:c r="H148" s="89" t="str">
        <x:v>AK Dark Rust очень тонко по внешнему краю нагара</x:v>
      </x:c>
      <x:c r="I148" s="89" t="str">
        <x:v>—</x:v>
      </x:c>
      <x:c r="J148" s="89" t="str">
        <x:v>—</x:v>
      </x:c>
      <x:c r="K148" s="89" t="str">
        <x:v>—</x:v>
      </x:c>
      <x:c r="L148" s="89" t="str">
        <x:v>Сажа газовая кистью после лака при необходимости</x:v>
      </x:c>
      <x:c r="M148" s="89" t="str">
        <x:v>Matt Varnish</x:v>
      </x:c>
      <x:c r="N148" s="90" t="str">
        <x:v>Средняя</x:v>
      </x:c>
      <x:c r="O148" s="89" t="str">
        <x:v>0,2–0,3 мм; 10–14 PSI. Распылять от отверстия наружу короткими проходами; центр темнее, край шире и прозрачнее.</x:v>
      </x:c>
      <x:c r="P148" s="89" t="str">
        <x:v>Внешний референс — аэрографная адаптация</x:v>
      </x:c>
      <x:c r="Q148" s="89" t="str">
        <x:v>Цветовая логика ранее подтверждена официальными гайдами; добавлены аэрографные параметры и контроль прозрачности.</x:v>
      </x:c>
    </x:row>
    <x:row r="149">
      <x:c r="A149" s="90" t="n">
        <x:v>145</x:v>
      </x:c>
      <x:c r="B149" s="327" t="str">
        <x:v>Эффекты</x:v>
      </x:c>
      <x:c r="C149" s="327" t="str">
        <x:v>Пыльный фильтр аэрографом</x:v>
      </x:c>
      <x:c r="D149" s="89" t="str">
        <x:v>Сильно разбавленный акриловый фильтр</x:v>
      </x:c>
      <x:c r="E149" s="89" t="str">
        <x:v>Полностью окрашенная поверхность</x:v>
      </x:c>
      <x:c r="F149" s="89" t="str">
        <x:v>AK Pale Sand + совместимый thinner примерно 1:4–1:8</x:v>
      </x:c>
      <x:c r="G149" s="89" t="str">
        <x:v>AK Dark Sand локально снизу</x:v>
      </x:c>
      <x:c r="H149" s="89" t="str">
        <x:v>Karak Stone на переходах</x:v>
      </x:c>
      <x:c r="I149" s="89" t="str">
        <x:v>—</x:v>
      </x:c>
      <x:c r="J149" s="89" t="str">
        <x:v>—</x:v>
      </x:c>
      <x:c r="K149" s="89" t="str">
        <x:v>—</x:v>
      </x:c>
      <x:c r="L149" s="89" t="str">
        <x:v>Умбра жжёная кистью в стыки после защитного лака</x:v>
      </x:c>
      <x:c r="M149" s="89" t="str">
        <x:v>Matt Varnish</x:v>
      </x:c>
      <x:c r="N149" s="90" t="str">
        <x:v>Средняя</x:v>
      </x:c>
      <x:c r="O149" s="89" t="str">
        <x:v>0,3 мм; 12–16 PSI. Пыль наносить снизу вверх полупрозрачными слоями; горизонтальные поверхности и низ модели получают больше цвета.</x:v>
      </x:c>
      <x:c r="P149" s="89" t="str">
        <x:v>Внешний референс — аэрографная адаптация</x:v>
      </x:c>
      <x:c r="Q149" s="89" t="str">
        <x:v>Цветовая логика ранее подтверждена официальными гайдами; добавлены аэрографные параметры и контроль прозрачности.</x:v>
      </x:c>
    </x:row>
    <x:row r="150">
      <x:c r="A150" s="90" t="n">
        <x:v>146</x:v>
      </x:c>
      <x:c r="B150" s="327" t="str">
        <x:v>Эффекты</x:v>
      </x:c>
      <x:c r="C150" s="327" t="str">
        <x:v>Аэрографная ржавчина</x:v>
      </x:c>
      <x:c r="D150" s="89" t="str">
        <x:v>Пятнистая цветовая модуляция</x:v>
      </x:c>
      <x:c r="E150" s="89" t="str">
        <x:v>Black Primer → Iron Warriors</x:v>
      </x:c>
      <x:c r="F150" s="89" t="str">
        <x:v>AK Dark Rust пятнами</x:v>
      </x:c>
      <x:c r="G150" s="89" t="str">
        <x:v>Vallejo Rust Wash как общий прозрачный слой</x:v>
      </x:c>
      <x:c r="H150" s="89" t="str">
        <x:v>AK Burnt Umber в глубокие места</x:v>
      </x:c>
      <x:c r="I150" s="89" t="str">
        <x:v>AK Light Rust меньшими пятнами</x:v>
      </x:c>
      <x:c r="J150" s="89" t="str">
        <x:v>AK Orange Brown локально</x:v>
      </x:c>
      <x:c r="K150" s="89" t="str">
        <x:v>Ryza Rust кистью по фактуре</x:v>
      </x:c>
      <x:c r="L150" s="89" t="str">
        <x:v>Typhus Corrosion кистью до/после аэрографных пятен</x:v>
      </x:c>
      <x:c r="M150" s="89" t="str">
        <x:v>Matt Varnish</x:v>
      </x:c>
      <x:c r="N150" s="90" t="str">
        <x:v>Средняя</x:v>
      </x:c>
      <x:c r="O150" s="89" t="str">
        <x:v>0,2–0,3 мм; 12–16 PSI. Использовать нерегулярную подачу и маски из рваной губки/бумаги, избегая равномерного оранжевого покрытия.</x:v>
      </x:c>
      <x:c r="P150" s="89" t="str">
        <x:v>Внешний референс — аэрографная адаптация</x:v>
      </x:c>
      <x:c r="Q150" s="89" t="str">
        <x:v>Цветовая логика ранее подтверждена официальными гайдами; добавлены аэрографные параметры и контроль прозрачности.</x:v>
      </x:c>
    </x:row>
    <x:row r="151">
      <x:c r="A151" s="90" t="n">
        <x:v>147</x:v>
      </x:c>
      <x:c r="B151" s="327" t="str">
        <x:v>Эффекты</x:v>
      </x:c>
      <x:c r="C151" s="327" t="str">
        <x:v>Chipping Medium через аэрограф</x:v>
      </x:c>
      <x:c r="D151" s="89" t="str">
        <x:v>Аэрограф + водное скалывание</x:v>
      </x:c>
      <x:c r="E151" s="89" t="str">
        <x:v>Black Primer</x:v>
      </x:c>
      <x:c r="F151" s="89" t="str">
        <x:v>Iron Warriors или AK Deep Brown</x:v>
      </x:c>
      <x:c r="G151" s="89" t="str">
        <x:v>AK/Vallejo Chipping Medium равномерным аэрографным слоем</x:v>
      </x:c>
      <x:c r="H151" s="89" t="str">
        <x:v>Дать Medium высохнуть до сухого на ощупь</x:v>
      </x:c>
      <x:c r="I151" s="89" t="str">
        <x:v>Основной цвет брони аэрографом</x:v>
      </x:c>
      <x:c r="J151" s="89" t="str">
        <x:v>Высветление брони аэрографом</x:v>
      </x:c>
      <x:c r="K151" s="89" t="str">
        <x:v>Смочить водой и скалывать кистью/инструментом</x:v>
      </x:c>
      <x:c r="L151" s="89" t="str">
        <x:v>AK Dark Rust и Vallejo Silver доработать кистью</x:v>
      </x:c>
      <x:c r="M151" s="89" t="str">
        <x:v>Matt Varnish</x:v>
      </x:c>
      <x:c r="N151" s="90" t="str">
        <x:v>Высокая</x:v>
      </x:c>
      <x:c r="O151" s="89" t="str">
        <x:v>0,3–0,5 мм; 15–20 PSI. Medium наносить ровно, без луж. Верхние акриловые слои не делать чрезмерно толстыми, иначе скалывание станет грубым.</x:v>
      </x:c>
      <x:c r="P151" s="89" t="str">
        <x:v>Проверено по свойствам материала</x:v>
      </x:c>
      <x:c r="Q151" s="89" t="str">
        <x:v>Chipping Medium, грунты и лаки допускают аэрографное нанесение; слои должны быть тонкими и полностью высушенными.</x:v>
      </x:c>
    </x:row>
    <x:row r="152">
      <x:c r="A152" s="90" t="n">
        <x:v>148</x:v>
      </x:c>
      <x:c r="B152" s="328" t="str">
        <x:v>Финиш</x:v>
      </x:c>
      <x:c r="C152" s="328" t="str">
        <x:v>Глянцевый барьер под масла</x:v>
      </x:c>
      <x:c r="D152" s="89" t="str">
        <x:v>Аэрографный лак</x:v>
      </x:c>
      <x:c r="E152" s="89" t="str">
        <x:v>Полностью высохший акрил</x:v>
      </x:c>
      <x:c r="F152" s="89" t="str">
        <x:v>Vallejo Gloss Varnish</x:v>
      </x:c>
      <x:c r="G152" s="89" t="str">
        <x:v>—</x:v>
      </x:c>
      <x:c r="H152" s="89" t="str">
        <x:v>Первый очень тонкий слой</x:v>
      </x:c>
      <x:c r="I152" s="89" t="str">
        <x:v>Второй ровный слой после высыхания первого</x:v>
      </x:c>
      <x:c r="J152" s="89" t="str">
        <x:v>—</x:v>
      </x:c>
      <x:c r="K152" s="89" t="str">
        <x:v>—</x:v>
      </x:c>
      <x:c r="L152" s="89" t="str">
        <x:v>Масляная проливка только после полного отверждения</x:v>
      </x:c>
      <x:c r="M152" s="89" t="str">
        <x:v>Финальный Matt/Satin после полного высыхания масла</x:v>
      </x:c>
      <x:c r="N152" s="90" t="str">
        <x:v>Средняя</x:v>
      </x:c>
      <x:c r="O152" s="89" t="str">
        <x:v>0,3–0,5 мм; 15–20 PSI. Лак распылять несколькими тонкими слоями, не доводя поверхность до мокрой лужи.</x:v>
      </x:c>
      <x:c r="P152" s="89" t="str">
        <x:v>Проверено по свойствам материала</x:v>
      </x:c>
      <x:c r="Q152" s="89" t="str">
        <x:v>Chipping Medium, грунты и лаки допускают аэрографное нанесение; слои должны быть тонкими и полностью высушенными.</x:v>
      </x:c>
    </x:row>
    <x:row r="153">
      <x:c r="A153" s="90" t="n">
        <x:v>149</x:v>
      </x:c>
      <x:c r="B153" s="328" t="str">
        <x:v>Финиш</x:v>
      </x:c>
      <x:c r="C153" s="328" t="str">
        <x:v>Финальный матовый лак аэрографом</x:v>
      </x:c>
      <x:c r="D153" s="89" t="str">
        <x:v>Аэрографный лак</x:v>
      </x:c>
      <x:c r="E153" s="89" t="str">
        <x:v>Полностью сухая окраска и эффекты</x:v>
      </x:c>
      <x:c r="F153" s="89" t="str">
        <x:v>AK Matt Varnish</x:v>
      </x:c>
      <x:c r="G153" s="89" t="str">
        <x:v>—</x:v>
      </x:c>
      <x:c r="H153" s="89" t="str">
        <x:v>Первый пылевой слой</x:v>
      </x:c>
      <x:c r="I153" s="89" t="str">
        <x:v>Второй тонкий равномерный слой</x:v>
      </x:c>
      <x:c r="J153" s="89" t="str">
        <x:v>—</x:v>
      </x:c>
      <x:c r="K153" s="89" t="str">
        <x:v>—</x:v>
      </x:c>
      <x:c r="L153" s="89" t="str">
        <x:v>Gloss Varnish локально вернуть на камни, глаза, кровь и слизь</x:v>
      </x:c>
      <x:c r="M153" s="89" t="str">
        <x:v>AK Matt Varnish</x:v>
      </x:c>
      <x:c r="N153" s="90" t="str">
        <x:v>Низкая</x:v>
      </x:c>
      <x:c r="O153" s="89" t="str">
        <x:v>0,3–0,5 мм; 15–20 PSI. Несколько тонких слоёв безопаснее одного мокрого; металлики и глянцевые эффекты при необходимости маскировать.</x:v>
      </x:c>
      <x:c r="P153" s="89" t="str">
        <x:v>Проверено по свойствам материала</x:v>
      </x:c>
      <x:c r="Q153" s="89" t="str">
        <x:v>Chipping Medium, грунты и лаки допускают аэрографное нанесение; слои должны быть тонкими и полностью высушенными.</x:v>
      </x:c>
    </x:row>
    <x:row r="154">
      <x:c r="A154" s="90" t="n">
        <x:v>150</x:v>
      </x:c>
      <x:c r="B154" s="325" t="str">
        <x:v>Универсальные процессы</x:v>
      </x:c>
      <x:c r="C154" s="325" t="str">
        <x:v>Скоростная армейская схема с аэрографом</x:v>
      </x:c>
      <x:c r="D154" s="89" t="str">
        <x:v>Зениталь + прозрачный цвет + кисть</x:v>
      </x:c>
      <x:c r="E154" s="89" t="str">
        <x:v>Black Primer</x:v>
      </x:c>
      <x:c r="F154" s="89" t="str">
        <x:v>Grey Seer под углом 45°</x:v>
      </x:c>
      <x:c r="G154" s="89" t="str">
        <x:v>Black Primer оставить в тенях</x:v>
      </x:c>
      <x:c r="H154" s="89" t="str">
        <x:v>White сверху и на фокусных зонах</x:v>
      </x:c>
      <x:c r="I154" s="89" t="str">
        <x:v>Выбранный Contrast/Xpress/Ink</x:v>
      </x:c>
      <x:c r="J154" s="89" t="str">
        <x:v>Непрозрачный средний тон на крупных выступах</x:v>
      </x:c>
      <x:c r="K154" s="89" t="str">
        <x:v>Один крайний блик кистью</x:v>
      </x:c>
      <x:c r="L154" s="89" t="str">
        <x:v>Локальный Shade и Technical</x:v>
      </x:c>
      <x:c r="M154" s="89" t="str">
        <x:v>Matt Varnish</x:v>
      </x:c>
      <x:c r="N154" s="90" t="str">
        <x:v>Низкая</x:v>
      </x:c>
      <x:c r="O154" s="89" t="str">
        <x:v>0,3 мм; 15–18 PSI для подложки, 10–16 PSI для прозрачных фильтров. Это базовый серийный процесс: аэрограф создаёт объём, кисть возвращает контроль деталей.</x:v>
      </x:c>
      <x:c r="P154" s="89" t="str">
        <x:v>Проверено по аэрографной практике</x:v>
      </x:c>
      <x:c r="Q154" s="89" t="str">
        <x:v>Процесс основан на зенитальной/гримайльной подложке, полупрозрачных фильтрах и контролируемом восстановлении деталей кистью.</x:v>
      </x:c>
    </x:row>
    <x:row r="155">
      <x:c r="A155" s="90" t="n">
        <x:v>151</x:v>
      </x:c>
      <x:c r="B155" s="348" t="str">
        <x:v>Красный</x:v>
      </x:c>
      <x:c r="C155" s="348" t="str">
        <x:v>Красная броня с холодной дополнительной тенью</x:v>
      </x:c>
      <x:c r="D155" s="89" t="str">
        <x:v>Комплементарный андерпейнт + аэрограф</x:v>
      </x:c>
      <x:c r="E155" s="89" t="str">
        <x:v>Black Primer</x:v>
      </x:c>
      <x:c r="F155" s="89" t="str">
        <x:v>Incubi Darkness тонко снизу и в глубокие стыки</x:v>
      </x:c>
      <x:c r="G155" s="89" t="str">
        <x:v>AK Dirty Red поверх перехода, сохраняя Incubi в тенях</x:v>
      </x:c>
      <x:c r="H155" s="89" t="str">
        <x:v>AK Blood Red</x:v>
      </x:c>
      <x:c r="I155" s="89" t="str">
        <x:v>AK Cadmium Red под углом 45°</x:v>
      </x:c>
      <x:c r="J155" s="89" t="str">
        <x:v>Evil Sunz Scarlet</x:v>
      </x:c>
      <x:c r="K155" s="89" t="str">
        <x:v>Fire Dragon Bright кистью по кромкам</x:v>
      </x:c>
      <x:c r="L155" s="89" t="str">
        <x:v>Red Ink 1:4 с Lahmian Medium как объединяющий фильтр</x:v>
      </x:c>
      <x:c r="M155" s="89" t="str">
        <x:v>Matt Varnish</x:v>
      </x:c>
      <x:c r="N155" s="90" t="str">
        <x:v>Высокая</x:v>
      </x:c>
      <x:c r="O155" s="89" t="str">
        <x:v>Холодный сине-зелёный андерпейнт усиливает красный по контрасту, но должен оставаться только в глубоких тенях; сначала проверить на тестовой панели.</x:v>
      </x:c>
      <x:c r="P155" s="89" t="str">
        <x:v>Цветовая теория — тест</x:v>
      </x:c>
      <x:c r="Q155" s="89" t="str">
        <x:v>Комплементарная тень усиливает цвет, но может дать грязный переход. Обязателен тест на отдельной панели.</x:v>
      </x:c>
    </x:row>
    <x:row r="156">
      <x:c r="A156" s="90" t="n">
        <x:v>152</x:v>
      </x:c>
      <x:c r="B156" s="349" t="str">
        <x:v>Жёлтый и оранжевый</x:v>
      </x:c>
      <x:c r="C156" s="349" t="str">
        <x:v>Жёлтая броня с фиолетовыми тенями</x:v>
      </x:c>
      <x:c r="D156" s="89" t="str">
        <x:v>Комплементарный предшейдинг</x:v>
      </x:c>
      <x:c r="E156" s="89" t="str">
        <x:v>White Primer</x:v>
      </x:c>
      <x:c r="F156" s="89" t="str">
        <x:v>Naggaroth Night очень тонко только в стыки и снизу</x:v>
      </x:c>
      <x:c r="G156" s="89" t="str">
        <x:v>Averland Sunset Air несколькими прозрачными слоями</x:v>
      </x:c>
      <x:c r="H156" s="89" t="str">
        <x:v>AK Yellow</x:v>
      </x:c>
      <x:c r="I156" s="89" t="str">
        <x:v>AK Yellow + Pale Sand 2:1</x:v>
      </x:c>
      <x:c r="J156" s="89" t="str">
        <x:v>Pale Sand</x:v>
      </x:c>
      <x:c r="K156" s="89" t="str">
        <x:v>White точечно</x:v>
      </x:c>
      <x:c r="L156" s="89" t="str">
        <x:v>Casandora Yellow очень тонко для объединения</x:v>
      </x:c>
      <x:c r="M156" s="89" t="str">
        <x:v>Matt Varnish</x:v>
      </x:c>
      <x:c r="N156" s="90" t="str">
        <x:v>Высокая</x:v>
      </x:c>
      <x:c r="O156" s="89" t="str">
        <x:v>Фиолетовый и жёлтый легко дают грязно-коричневый переход. Фиолетовый не должен занимать широкие плоскости и полностью перекрываться в зоне света.</x:v>
      </x:c>
      <x:c r="P156" s="89" t="str">
        <x:v>Цветовая теория — тест</x:v>
      </x:c>
      <x:c r="Q156" s="89" t="str">
        <x:v>Комплементарная тень усиливает цвет, но может дать грязный переход. Обязателен тест на отдельной панели.</x:v>
      </x:c>
    </x:row>
    <x:row r="157">
      <x:c r="A157" s="90" t="n">
        <x:v>153</x:v>
      </x:c>
      <x:c r="B157" s="349" t="str">
        <x:v>Жёлтый и оранжевый</x:v>
      </x:c>
      <x:c r="C157" s="349" t="str">
        <x:v>Оранжевая броня с холодными тенями</x:v>
      </x:c>
      <x:c r="D157" s="89" t="str">
        <x:v>Комплементарная модуляция</x:v>
      </x:c>
      <x:c r="E157" s="89" t="str">
        <x:v>Grey Seer поверх настоящего грунта</x:v>
      </x:c>
      <x:c r="F157" s="89" t="str">
        <x:v>AK Dark Prussian Blue очень тонко снизу</x:v>
      </x:c>
      <x:c r="G157" s="89" t="str">
        <x:v>AK Orange Brown на большей части поверхности</x:v>
      </x:c>
      <x:c r="H157" s="89" t="str">
        <x:v>Vallejo Orange Fire</x:v>
      </x:c>
      <x:c r="I157" s="89" t="str">
        <x:v>Fire Dragon Bright</x:v>
      </x:c>
      <x:c r="J157" s="89" t="str">
        <x:v>AK Yellow + Fire Dragon Bright 1:1</x:v>
      </x:c>
      <x:c r="K157" s="89" t="str">
        <x:v>Pale Sand точечно</x:v>
      </x:c>
      <x:c r="L157" s="89" t="str">
        <x:v>Orange Fluorescent на самых ярких местах</x:v>
      </x:c>
      <x:c r="M157" s="89" t="str">
        <x:v>Matt Varnish</x:v>
      </x:c>
      <x:c r="N157" s="90" t="str">
        <x:v>Высокая</x:v>
      </x:c>
      <x:c r="O157" s="89" t="str">
        <x:v>Синий остаётся только как холодная тень. Между ним и оранжевым полезен промежуточный Orange Brown, иначе переход может стать серо-коричневым.</x:v>
      </x:c>
      <x:c r="P157" s="89" t="str">
        <x:v>Цветовая теория — тест</x:v>
      </x:c>
      <x:c r="Q157" s="89" t="str">
        <x:v>Комплементарная тень усиливает цвет, но может дать грязный переход. Обязателен тест на отдельной панели.</x:v>
      </x:c>
    </x:row>
    <x:row r="158">
      <x:c r="A158" s="90" t="n">
        <x:v>154</x:v>
      </x:c>
      <x:c r="B158" s="350" t="str">
        <x:v>Зелёный</x:v>
      </x:c>
      <x:c r="C158" s="350" t="str">
        <x:v>Контршейдинг рептильной кожи</x:v>
      </x:c>
      <x:c r="D158" s="89" t="str">
        <x:v>Аэрограф + лессировки</x:v>
      </x:c>
      <x:c r="E158" s="89" t="str">
        <x:v>Black Primer</x:v>
      </x:c>
      <x:c r="F158" s="89" t="str">
        <x:v>Stegadon Scale Green на спину и верх конечностей</x:v>
      </x:c>
      <x:c r="G158" s="89" t="str">
        <x:v>Incubi Darkness между чешуями</x:v>
      </x:c>
      <x:c r="H158" s="89" t="str">
        <x:v>Kabalite Green на боках</x:v>
      </x:c>
      <x:c r="I158" s="89" t="str">
        <x:v>Sybarite Green на верхних выступах</x:v>
      </x:c>
      <x:c r="J158" s="89" t="str">
        <x:v>Deepkin Flesh на животе и внутренней стороне конечностей</x:v>
      </x:c>
      <x:c r="K158" s="89" t="str">
        <x:v>Pallid Wych Flesh точечно снизу</x:v>
      </x:c>
      <x:c r="L158" s="89" t="str">
        <x:v>Coelia Greenshade на переходе; Green Ink 1:10 при необходимости</x:v>
      </x:c>
      <x:c r="M158" s="89" t="str">
        <x:v>Matt Varnish</x:v>
      </x:c>
      <x:c r="N158" s="90" t="str">
        <x:v>Высокая</x:v>
      </x:c>
      <x:c r="O158" s="89" t="str">
        <x:v>Контршейдинг делает верх тела темнее, а низ светлее. Переход вести по бокам, а не строго по геометрической середине модели.</x:v>
      </x:c>
      <x:c r="P158" s="89" t="str">
        <x:v>Внешний референс — адаптировано</x:v>
      </x:c>
      <x:c r="Q158" s="89" t="str">
        <x:v>Техника подтверждена официальными материалами Warhammer по countershading, stippling, glazing или wet blending; цвета адаптированы под коллекцию.</x:v>
      </x:c>
    </x:row>
    <x:row r="159">
      <x:c r="A159" s="90" t="n">
        <x:v>155</x:v>
      </x:c>
      <x:c r="B159" s="350" t="str">
        <x:v>Зелёный</x:v>
      </x:c>
      <x:c r="C159" s="350" t="str">
        <x:v>Чешуя с точечной фактурой</x:v>
      </x:c>
      <x:c r="D159" s="89" t="str">
        <x:v>Stippling + glaze</x:v>
      </x:c>
      <x:c r="E159" s="89" t="str">
        <x:v>Black Primer</x:v>
      </x:c>
      <x:c r="F159" s="89" t="str">
        <x:v>Stegadon Scale Green</x:v>
      </x:c>
      <x:c r="G159" s="89" t="str">
        <x:v>Coelia Greenshade</x:v>
      </x:c>
      <x:c r="H159" s="89" t="str">
        <x:v>Sotek Green крупными точками</x:v>
      </x:c>
      <x:c r="I159" s="89" t="str">
        <x:v>Kabalite Green более мелкими точками</x:v>
      </x:c>
      <x:c r="J159" s="89" t="str">
        <x:v>Sybarite Green на верхних половинах чешуек</x:v>
      </x:c>
      <x:c r="K159" s="89" t="str">
        <x:v>Moot Green редкими точками</x:v>
      </x:c>
      <x:c r="L159" s="89" t="str">
        <x:v>Akhelian Green 1:5 с Contrast Medium как объединяющая глазурь</x:v>
      </x:c>
      <x:c r="M159" s="89" t="str">
        <x:v>Matt Varnish</x:v>
      </x:c>
      <x:c r="N159" s="90" t="str">
        <x:v>Средняя</x:v>
      </x:c>
      <x:c r="O159" s="89" t="str">
        <x:v>Точки не должны быть равномерной сеткой. Чем светлее цвет, тем меньше точек и тем ближе они к источнику света.</x:v>
      </x:c>
      <x:c r="P159" s="89" t="str">
        <x:v>Внешний референс — адаптировано</x:v>
      </x:c>
      <x:c r="Q159" s="89" t="str">
        <x:v>Техника подтверждена официальными материалами Warhammer по countershading, stippling, glazing или wet blending; цвета адаптированы под коллекцию.</x:v>
      </x:c>
    </x:row>
    <x:row r="160">
      <x:c r="A160" s="90" t="n">
        <x:v>156</x:v>
      </x:c>
      <x:c r="B160" s="351" t="str">
        <x:v>Фиолетовый и розовый</x:v>
      </x:c>
      <x:c r="C160" s="351" t="str">
        <x:v>Грубая демоническая кожа</x:v>
      </x:c>
      <x:c r="D160" s="89" t="str">
        <x:v>Многослойный stippling</x:v>
      </x:c>
      <x:c r="E160" s="89" t="str">
        <x:v>Black Primer</x:v>
      </x:c>
      <x:c r="F160" s="89" t="str">
        <x:v>Naggaroth Night</x:v>
      </x:c>
      <x:c r="G160" s="89" t="str">
        <x:v>Druchii Violet</x:v>
      </x:c>
      <x:c r="H160" s="89" t="str">
        <x:v>Daemonette Hide крупными неровными точками</x:v>
      </x:c>
      <x:c r="I160" s="89" t="str">
        <x:v>Warpfiend Grey меньшими точками</x:v>
      </x:c>
      <x:c r="J160" s="89" t="str">
        <x:v>Slaanesh Grey на верхних мышцах</x:v>
      </x:c>
      <x:c r="K160" s="89" t="str">
        <x:v>Pallid Wych Flesh редкими точками</x:v>
      </x:c>
      <x:c r="L160" s="89" t="str">
        <x:v>Leviathan Purple 1:8 с Contrast Medium в тенях</x:v>
      </x:c>
      <x:c r="M160" s="89" t="str">
        <x:v>Matt Varnish</x:v>
      </x:c>
      <x:c r="N160" s="90" t="str">
        <x:v>Высокая</x:v>
      </x:c>
      <x:c r="O160" s="89" t="str">
        <x:v>Точечная техника создаёт визуальную фактуру без реального рельефа и особенно хорошо подходит для жёсткой кожи крупных существ.</x:v>
      </x:c>
      <x:c r="P160" s="89" t="str">
        <x:v>Внешний референс — адаптировано</x:v>
      </x:c>
      <x:c r="Q160" s="89" t="str">
        <x:v>Техника подтверждена официальными материалами Warhammer по countershading, stippling, glazing или wet blending; цвета адаптированы под коллекцию.</x:v>
      </x:c>
    </x:row>
    <x:row r="161">
      <x:c r="A161" s="90" t="n">
        <x:v>157</x:v>
      </x:c>
      <x:c r="B161" s="352" t="str">
        <x:v>Телесный</x:v>
      </x:c>
      <x:c r="C161" s="352" t="str">
        <x:v>Пятнистая болезненная кожа</x:v>
      </x:c>
      <x:c r="D161" s="89" t="str">
        <x:v>Аэрографный stipple + лессировка</x:v>
      </x:c>
      <x:c r="E161" s="89" t="str">
        <x:v>Настоящий грунт → Grey Seer</x:v>
      </x:c>
      <x:c r="F161" s="89" t="str">
        <x:v>Heavy Warmgrey + AK Sickly Pink 1:1</x:v>
      </x:c>
      <x:c r="G161" s="89" t="str">
        <x:v>Dreadful Visage тонким общим фильтром</x:v>
      </x:c>
      <x:c r="H161" s="89" t="str">
        <x:v>Plaguebearer Flesh случайными прозрачными пятнами</x:v>
      </x:c>
      <x:c r="I161" s="89" t="str">
        <x:v>AK Brown Rose мелким stipple</x:v>
      </x:c>
      <x:c r="J161" s="89" t="str">
        <x:v>Vallejo Pale Flesh сверху</x:v>
      </x:c>
      <x:c r="K161" s="89" t="str">
        <x:v>Pallid Wych Flesh точечно</x:v>
      </x:c>
      <x:c r="L161" s="89" t="str">
        <x:v>AK Purple 1:10 с Lahmian Medium в глазницы и складки</x:v>
      </x:c>
      <x:c r="M161" s="89" t="str">
        <x:v>Matt Varnish</x:v>
      </x:c>
      <x:c r="N161" s="90" t="str">
        <x:v>Высокая</x:v>
      </x:c>
      <x:c r="O161" s="89" t="str">
        <x:v>Stipple аэрографом выполнять сниженным давлением либо короткими импульсами. Пятна должны различаться размером и интенсивностью.</x:v>
      </x:c>
      <x:c r="P161" s="89" t="str">
        <x:v>Авторская комбинация — тест</x:v>
      </x:c>
      <x:c r="Q161" s="89" t="str">
        <x:v>Техника совместима с имеющимися материалами, но плотность точек, прожилок или пятен следует подобрать на тестовой детали.</x:v>
      </x:c>
    </x:row>
    <x:row r="162">
      <x:c r="A162" s="90" t="n">
        <x:v>158</x:v>
      </x:c>
      <x:c r="B162" s="348" t="str">
        <x:v>Красный</x:v>
      </x:c>
      <x:c r="C162" s="348" t="str">
        <x:v>Black basing под красную броню</x:v>
      </x:c>
      <x:c r="D162" s="89" t="str">
        <x:v>Мраморный подмалёвок + прозрачный цвет</x:v>
      </x:c>
      <x:c r="E162" s="89" t="str">
        <x:v>Black Primer</x:v>
      </x:c>
      <x:c r="F162" s="89" t="str">
        <x:v>AK Medium Grey нерегулярными облаками</x:v>
      </x:c>
      <x:c r="G162" s="89" t="str">
        <x:v>White Grey меньшими пятнами</x:v>
      </x:c>
      <x:c r="H162" s="89" t="str">
        <x:v>White редкими яркими пятнами</x:v>
      </x:c>
      <x:c r="I162" s="89" t="str">
        <x:v>Blood Angels Red тонкими слоями</x:v>
      </x:c>
      <x:c r="J162" s="89" t="str">
        <x:v>Baal Red на светлых участках</x:v>
      </x:c>
      <x:c r="K162" s="89" t="str">
        <x:v>Fire Dragon Bright кистью по кромкам</x:v>
      </x:c>
      <x:c r="L162" s="89" t="str">
        <x:v>Flesh Tearers Red 1:4 с Contrast Medium снизу</x:v>
      </x:c>
      <x:c r="M162" s="89" t="str">
        <x:v>Matt Varnish</x:v>
      </x:c>
      <x:c r="N162" s="90" t="str">
        <x:v>Высокая</x:v>
      </x:c>
      <x:c r="O162" s="89" t="str">
        <x:v>Под прозрачным красным должна оставаться видна нерегулярная чёрно-белая фактура. Не выравнивать цвет до полной однородности.</x:v>
      </x:c>
      <x:c r="P162" s="89" t="str">
        <x:v>Аэрографная техника — тест</x:v>
      </x:c>
      <x:c r="Q162" s="89" t="str">
        <x:v>Метод использует стандартную логику подмалёвка, пред-/постшейдинга и модуляции. Точная прозрачность зависит от разведения и сопла.</x:v>
      </x:c>
    </x:row>
    <x:row r="163">
      <x:c r="A163" s="90" t="n">
        <x:v>159</x:v>
      </x:c>
      <x:c r="B163" s="353" t="str">
        <x:v>Синий</x:v>
      </x:c>
      <x:c r="C163" s="353" t="str">
        <x:v>Black basing под синюю броню</x:v>
      </x:c>
      <x:c r="D163" s="89" t="str">
        <x:v>Мраморный подмалёвок + прозрачный цвет</x:v>
      </x:c>
      <x:c r="E163" s="89" t="str">
        <x:v>Black Primer</x:v>
      </x:c>
      <x:c r="F163" s="89" t="str">
        <x:v>AK German Grey Uniform нерегулярными облаками</x:v>
      </x:c>
      <x:c r="G163" s="89" t="str">
        <x:v>AK Medium Grey меньшими пятнами</x:v>
      </x:c>
      <x:c r="H163" s="89" t="str">
        <x:v>White Grey редкими яркими пятнами</x:v>
      </x:c>
      <x:c r="I163" s="89" t="str">
        <x:v>Talassar Blue тонкими слоями</x:v>
      </x:c>
      <x:c r="J163" s="89" t="str">
        <x:v>Frostheart на светлых участках</x:v>
      </x:c>
      <x:c r="K163" s="89" t="str">
        <x:v>Baharroth Blue кистью по кромкам</x:v>
      </x:c>
      <x:c r="L163" s="89" t="str">
        <x:v>Leviadon Blue 1:4 с Contrast Medium снизу</x:v>
      </x:c>
      <x:c r="M163" s="89" t="str">
        <x:v>Matt Varnish</x:v>
      </x:c>
      <x:c r="N163" s="90" t="str">
        <x:v>Высокая</x:v>
      </x:c>
      <x:c r="O163" s="89" t="str">
        <x:v>Моттлинг создаёт сложный объём без сплошного градиента. Talassar Blue наносить до нужной насыщенности, но не до потери подмалёвка.</x:v>
      </x:c>
      <x:c r="P163" s="89" t="str">
        <x:v>Аэрографная техника — тест</x:v>
      </x:c>
      <x:c r="Q163" s="89" t="str">
        <x:v>Метод использует стандартную логику подмалёвка, пред-/постшейдинга и модуляции. Точная прозрачность зависит от разведения и сопла.</x:v>
      </x:c>
    </x:row>
    <x:row r="164">
      <x:c r="A164" s="90" t="n">
        <x:v>160</x:v>
      </x:c>
      <x:c r="B164" s="354" t="str">
        <x:v>Камень и декоративные поверхности</x:v>
      </x:c>
      <x:c r="C164" s="354" t="str">
        <x:v>Белый мрамор</x:v>
      </x:c>
      <x:c r="D164" s="89" t="str">
        <x:v>Аэрограф + прожилки + масляная глубина</x:v>
      </x:c>
      <x:c r="E164" s="89" t="str">
        <x:v>Настоящий грунт → Grey Seer</x:v>
      </x:c>
      <x:c r="F164" s="89" t="str">
        <x:v>White Grey</x:v>
      </x:c>
      <x:c r="G164" s="89" t="str">
        <x:v>Dark Reaper очень тонкими разветвлёнными линиями</x:v>
      </x:c>
      <x:c r="H164" s="89" t="str">
        <x:v>Ulthuan Grey полупрозрачно поверх части прожилок</x:v>
      </x:c>
      <x:c r="I164" s="89" t="str">
        <x:v>White на чистых плоскостях</x:v>
      </x:c>
      <x:c r="J164" s="89" t="str">
        <x:v>White точечно по кромкам</x:v>
      </x:c>
      <x:c r="K164" s="89" t="str">
        <x:v>Серая Пейна по отверждённому Gloss Varnish в отдельных прожилках</x:v>
      </x:c>
      <x:c r="L164" s="89" t="str">
        <x:v>Gloss или Satin Varnish</x:v>
      </x:c>
      <x:c r="M164" s="89" t="str">
        <x:v>Высокая</x:v>
      </x:c>
      <x:c r="N164" s="90" t="str">
        <x:v>Прожилки ветвятся, меняют толщину и местами исчезают под полупрозрачным белым. Не рисовать равномерную сетку.</x:v>
      </x:c>
      <x:c r="O164" s="89"/>
      <x:c r="P164" s="89" t="str">
        <x:v>Проверено — рабочая техника</x:v>
      </x:c>
      <x:c r="Q164" s="89" t="str">
        <x:v>Последовательность построена из реальных красок коллекции и следует устойчивой логике фактуры, света и материала.</x:v>
      </x:c>
    </x:row>
    <x:row r="165">
      <x:c r="A165" s="90" t="n">
        <x:v>161</x:v>
      </x:c>
      <x:c r="B165" s="354" t="str">
        <x:v>Камень и декоративные поверхности</x:v>
      </x:c>
      <x:c r="C165" s="354" t="str">
        <x:v>Чёрный мрамор</x:v>
      </x:c>
      <x:c r="D165" s="89" t="str">
        <x:v>Тёмная база + светлые прожилки</x:v>
      </x:c>
      <x:c r="E165" s="89" t="str">
        <x:v>Black Primer</x:v>
      </x:c>
      <x:c r="F165" s="89" t="str">
        <x:v>AK Black</x:v>
      </x:c>
      <x:c r="G165" s="89" t="str">
        <x:v>Eshin Grey тонкими разветвлёнными линиями</x:v>
      </x:c>
      <x:c r="H165" s="89" t="str">
        <x:v>Dawnstone частью линий</x:v>
      </x:c>
      <x:c r="I165" s="89" t="str">
        <x:v>White Grey более редкими прожилками</x:v>
      </x:c>
      <x:c r="J165" s="89" t="str">
        <x:v>White единичными точками и пересечениями</x:v>
      </x:c>
      <x:c r="K165" s="89" t="str">
        <x:v>Vallejo Silver микроточками при декоративном эффекте</x:v>
      </x:c>
      <x:c r="L165" s="89" t="str">
        <x:v>Black Legion 1:6 с Contrast Medium как фильтр</x:v>
      </x:c>
      <x:c r="M165" s="89" t="str">
        <x:v>Gloss Varnish</x:v>
      </x:c>
      <x:c r="N165" s="90" t="str">
        <x:v>Высокая</x:v>
      </x:c>
      <x:c r="O165" s="89" t="str">
        <x:v>Большая часть поверхности остаётся чёрной. Светлые пересечения и разрывы прожилок создают ощущение глубины камня.</x:v>
      </x:c>
      <x:c r="P165" s="89" t="str">
        <x:v>Проверено — рабочая техника</x:v>
      </x:c>
      <x:c r="Q165" s="89" t="str">
        <x:v>Последовательность построена из реальных красок коллекции и следует устойчивой логике фактуры, света и материала.</x:v>
      </x:c>
    </x:row>
    <x:row r="166">
      <x:c r="A166" s="90" t="n">
        <x:v>162</x:v>
      </x:c>
      <x:c r="B166" s="354" t="str">
        <x:v>Камень и декоративные поверхности</x:v>
      </x:c>
      <x:c r="C166" s="354" t="str">
        <x:v>Нефрит или малахит</x:v>
      </x:c>
      <x:c r="D166" s="89" t="str">
        <x:v>Цветные слои + прозрачный Ink</x:v>
      </x:c>
      <x:c r="E166" s="89" t="str">
        <x:v>Black Primer</x:v>
      </x:c>
      <x:c r="F166" s="89" t="str">
        <x:v>Incubi Darkness</x:v>
      </x:c>
      <x:c r="G166" s="89" t="str">
        <x:v>Kabalite Green широкими изогнутыми полосами</x:v>
      </x:c>
      <x:c r="H166" s="89" t="str">
        <x:v>Sybarite Green более узкими полосами</x:v>
      </x:c>
      <x:c r="I166" s="89" t="str">
        <x:v>Moot Green прерывисто</x:v>
      </x:c>
      <x:c r="J166" s="89" t="str">
        <x:v>White Grey тонкими прожилками</x:v>
      </x:c>
      <x:c r="K166" s="89" t="str">
        <x:v>White точечно</x:v>
      </x:c>
      <x:c r="L166" s="89" t="str">
        <x:v>Green Ink 1:8 с Lahmian Medium по всей детали</x:v>
      </x:c>
      <x:c r="M166" s="89" t="str">
        <x:v>Gloss Varnish</x:v>
      </x:c>
      <x:c r="N166" s="90" t="str">
        <x:v>Высокая</x:v>
      </x:c>
      <x:c r="O166" s="89" t="str">
        <x:v>Полосы должны огибать форму детали. Green Ink объединяет оттенки и создаёт глубину под глянцевым лаком.</x:v>
      </x:c>
      <x:c r="P166" s="89" t="str">
        <x:v>Проверено — рабочая техника</x:v>
      </x:c>
      <x:c r="Q166" s="89" t="str">
        <x:v>Последовательность построена из реальных красок коллекции и следует устойчивой логике фактуры, света и материала.</x:v>
      </x:c>
    </x:row>
    <x:row r="167">
      <x:c r="A167" s="90" t="n">
        <x:v>163</x:v>
      </x:c>
      <x:c r="B167" s="355" t="str">
        <x:v>Кость и белый</x:v>
      </x:c>
      <x:c r="C167" s="355" t="str">
        <x:v>Рог от тёмного корня к светлому кончику</x:v>
      </x:c>
      <x:c r="D167" s="89" t="str">
        <x:v>Продольные слои</x:v>
      </x:c>
      <x:c r="E167" s="89" t="str">
        <x:v>Black Primer</x:v>
      </x:c>
      <x:c r="F167" s="89" t="str">
        <x:v>Dryad Bark у основания</x:v>
      </x:c>
      <x:c r="G167" s="89" t="str">
        <x:v>Gorthor Brown</x:v>
      </x:c>
      <x:c r="H167" s="89" t="str">
        <x:v>Rakarth Flesh</x:v>
      </x:c>
      <x:c r="I167" s="89" t="str">
        <x:v>Screaming Skull</x:v>
      </x:c>
      <x:c r="J167" s="89" t="str">
        <x:v>Pale Sand</x:v>
      </x:c>
      <x:c r="K167" s="89" t="str">
        <x:v>White на самом кончике</x:v>
      </x:c>
      <x:c r="L167" s="89" t="str">
        <x:v>Seraphim Sepia очень тонко у основания</x:v>
      </x:c>
      <x:c r="M167" s="89" t="str">
        <x:v>Matt Varnish</x:v>
      </x:c>
      <x:c r="N167" s="90" t="str">
        <x:v>Средняя</x:v>
      </x:c>
      <x:c r="O167" s="89" t="str">
        <x:v>Каждый следующий слой вести продольными полосами. На роге полезны небольшие поперечные сколы, но не равномерные кольца.</x:v>
      </x:c>
      <x:c r="P167" s="89" t="str">
        <x:v>Проверено — рабочая техника</x:v>
      </x:c>
      <x:c r="Q167" s="89" t="str">
        <x:v>Последовательность построена из реальных красок коллекции и следует устойчивой логике фактуры, света и материала.</x:v>
      </x:c>
    </x:row>
    <x:row r="168">
      <x:c r="A168" s="90" t="n">
        <x:v>164</x:v>
      </x:c>
      <x:c r="B168" s="356" t="str">
        <x:v>Волосы и мех</x:v>
      </x:c>
      <x:c r="C168" s="356" t="str">
        <x:v>Чёрные волосы</x:v>
      </x:c>
      <x:c r="D168" s="89" t="str">
        <x:v>Линейная фактура</x:v>
      </x:c>
      <x:c r="E168" s="89" t="str">
        <x:v>Black Primer</x:v>
      </x:c>
      <x:c r="F168" s="89" t="str">
        <x:v>AK Black</x:v>
      </x:c>
      <x:c r="G168" s="89" t="str">
        <x:v>Corvus Black прядями</x:v>
      </x:c>
      <x:c r="H168" s="89" t="str">
        <x:v>Eshin Grey более тонкими прядями</x:v>
      </x:c>
      <x:c r="I168" s="89" t="str">
        <x:v>Fenrisian Grey на верхней стороне</x:v>
      </x:c>
      <x:c r="J168" s="89" t="str">
        <x:v>White Grey редкими линиями</x:v>
      </x:c>
      <x:c r="K168" s="89" t="str">
        <x:v>White единично</x:v>
      </x:c>
      <x:c r="L168" s="89" t="str">
        <x:v>Black Templar 1:8 с Contrast Medium для объединения</x:v>
      </x:c>
      <x:c r="M168" s="89" t="str">
        <x:v>Matt Varnish</x:v>
      </x:c>
      <x:c r="N168" s="90" t="str">
        <x:v>Средняя</x:v>
      </x:c>
      <x:c r="O168" s="89" t="str">
        <x:v>Линии следуют направлению роста волос. Высветлять отдельные группы прядей, а не каждую борозду скульптуры одинаково.</x:v>
      </x:c>
      <x:c r="P168" s="89" t="str">
        <x:v>Проверено — рабочая техника</x:v>
      </x:c>
      <x:c r="Q168" s="89" t="str">
        <x:v>Последовательность построена из реальных красок коллекции и следует устойчивой логике фактуры, света и материала.</x:v>
      </x:c>
    </x:row>
    <x:row r="169">
      <x:c r="A169" s="90" t="n">
        <x:v>165</x:v>
      </x:c>
      <x:c r="B169" s="356" t="str">
        <x:v>Волосы и мех</x:v>
      </x:c>
      <x:c r="C169" s="356" t="str">
        <x:v>Светлые и русые волосы</x:v>
      </x:c>
      <x:c r="D169" s="89" t="str">
        <x:v>Shade + линейные высветления</x:v>
      </x:c>
      <x:c r="E169" s="89" t="str">
        <x:v>Настоящий грунт → Wraithbone</x:v>
      </x:c>
      <x:c r="F169" s="89" t="str">
        <x:v>Zamesi Desert</x:v>
      </x:c>
      <x:c r="G169" s="89" t="str">
        <x:v>Seraphim Sepia</x:v>
      </x:c>
      <x:c r="H169" s="89" t="str">
        <x:v>Screaming Skull прядями</x:v>
      </x:c>
      <x:c r="I169" s="89" t="str">
        <x:v>AK Pale Sand</x:v>
      </x:c>
      <x:c r="J169" s="89" t="str">
        <x:v>Flayed One Flesh</x:v>
      </x:c>
      <x:c r="K169" s="89" t="str">
        <x:v>White точечно</x:v>
      </x:c>
      <x:c r="L169" s="89" t="str">
        <x:v>Seraphim Sepia 1:4 с Lahmian Medium при необходимости</x:v>
      </x:c>
      <x:c r="M169" s="89" t="str">
        <x:v>Matt Varnish</x:v>
      </x:c>
      <x:c r="N169" s="90" t="str">
        <x:v>Средняя</x:v>
      </x:c>
      <x:c r="O169" s="89" t="str">
        <x:v>Тени остаются тёпло-охристыми, а самые светлые пряди занимают только верхние изгибы и края локонов.</x:v>
      </x:c>
      <x:c r="P169" s="89" t="str">
        <x:v>Проверено — рабочая техника</x:v>
      </x:c>
      <x:c r="Q169" s="89" t="str">
        <x:v>Последовательность построена из реальных красок коллекции и следует устойчивой логике фактуры, света и материала.</x:v>
      </x:c>
    </x:row>
    <x:row r="170">
      <x:c r="A170" s="90" t="n">
        <x:v>166</x:v>
      </x:c>
      <x:c r="B170" s="356" t="str">
        <x:v>Волосы и мех</x:v>
      </x:c>
      <x:c r="C170" s="356" t="str">
        <x:v>Рыжие волосы</x:v>
      </x:c>
      <x:c r="D170" s="89" t="str">
        <x:v>Тёплая линейная модуляция</x:v>
      </x:c>
      <x:c r="E170" s="89" t="str">
        <x:v>Black Primer</x:v>
      </x:c>
      <x:c r="F170" s="89" t="str">
        <x:v>AK Deep Brown</x:v>
      </x:c>
      <x:c r="G170" s="89" t="str">
        <x:v>AK Orange Brown</x:v>
      </x:c>
      <x:c r="H170" s="89" t="str">
        <x:v>AK Light Rust</x:v>
      </x:c>
      <x:c r="I170" s="89" t="str">
        <x:v>Fire Dragon Bright</x:v>
      </x:c>
      <x:c r="J170" s="89" t="str">
        <x:v>AK Yellow + Fire Dragon Bright 1:2</x:v>
      </x:c>
      <x:c r="K170" s="89" t="str">
        <x:v>Pale Sand точечно</x:v>
      </x:c>
      <x:c r="L170" s="89" t="str">
        <x:v>AK Intense Sienna Ink 1:10 с Lahmian Medium</x:v>
      </x:c>
      <x:c r="M170" s="89" t="str">
        <x:v>Matt Varnish</x:v>
      </x:c>
      <x:c r="N170" s="90" t="str">
        <x:v>Средняя</x:v>
      </x:c>
      <x:c r="O170" s="89" t="str">
        <x:v>Глубокий коричневый сохраняется между прядями. Жёлтые и бежевые блики использовать редко, чтобы волосы не стали оранжевой пластмассой.</x:v>
      </x:c>
      <x:c r="P170" s="89" t="str">
        <x:v>Проверено — рабочая техника</x:v>
      </x:c>
      <x:c r="Q170" s="89" t="str">
        <x:v>Последовательность построена из реальных красок коллекции и следует устойчивой логике фактуры, света и материала.</x:v>
      </x:c>
    </x:row>
    <x:row r="171">
      <x:c r="A171" s="90" t="n">
        <x:v>167</x:v>
      </x:c>
      <x:c r="B171" s="356" t="str">
        <x:v>Волосы и мех</x:v>
      </x:c>
      <x:c r="C171" s="356" t="str">
        <x:v>Белые волосы с холодной тенью</x:v>
      </x:c>
      <x:c r="D171" s="89" t="str">
        <x:v>Холодная линейная фактура</x:v>
      </x:c>
      <x:c r="E171" s="89" t="str">
        <x:v>Black Primer</x:v>
      </x:c>
      <x:c r="F171" s="89" t="str">
        <x:v>The Fang</x:v>
      </x:c>
      <x:c r="G171" s="89" t="str">
        <x:v>Space Wolves Grey</x:v>
      </x:c>
      <x:c r="H171" s="89" t="str">
        <x:v>Fenrisian Grey прядями</x:v>
      </x:c>
      <x:c r="I171" s="89" t="str">
        <x:v>Ulthuan Grey</x:v>
      </x:c>
      <x:c r="J171" s="89" t="str">
        <x:v>White Grey</x:v>
      </x:c>
      <x:c r="K171" s="89" t="str">
        <x:v>White точечно</x:v>
      </x:c>
      <x:c r="L171" s="89" t="str">
        <x:v>Apothecary White 1:3 с Contrast Medium</x:v>
      </x:c>
      <x:c r="M171" s="89" t="str">
        <x:v>Matt Varnish</x:v>
      </x:c>
      <x:c r="N171" s="90" t="str">
        <x:v>Средняя</x:v>
      </x:c>
      <x:c r="O171" s="89" t="str">
        <x:v>Чистый белый занимает только самые верхние пряди. Сине-серые корни придают белым волосам объём.</x:v>
      </x:c>
      <x:c r="P171" s="89" t="str">
        <x:v>Проверено — рабочая техника</x:v>
      </x:c>
      <x:c r="Q171" s="89" t="str">
        <x:v>Последовательность построена из реальных красок коллекции и следует устойчивой логике фактуры, света и материала.</x:v>
      </x:c>
    </x:row>
    <x:row r="172">
      <x:c r="A172" s="90" t="n">
        <x:v>168</x:v>
      </x:c>
      <x:c r="B172" s="356" t="str">
        <x:v>Волосы и мех</x:v>
      </x:c>
      <x:c r="C172" s="356" t="str">
        <x:v>Коричневый мех</x:v>
      </x:c>
      <x:c r="D172" s="89" t="str">
        <x:v>Contrast + drybrush + отдельные волоски</x:v>
      </x:c>
      <x:c r="E172" s="89" t="str">
        <x:v>Настоящий грунт → Wraithbone</x:v>
      </x:c>
      <x:c r="F172" s="89" t="str">
        <x:v>Cygor Brown + Contrast Medium 1:1</x:v>
      </x:c>
      <x:c r="G172" s="89" t="str">
        <x:v>Cygor Brown без Medium в глубине</x:v>
      </x:c>
      <x:c r="H172" s="89" t="str">
        <x:v>Gorthor Brown сухой кистью</x:v>
      </x:c>
      <x:c r="I172" s="89" t="str">
        <x:v>Baneblade Brown</x:v>
      </x:c>
      <x:c r="J172" s="89" t="str">
        <x:v>Karak Stone</x:v>
      </x:c>
      <x:c r="K172" s="89" t="str">
        <x:v>Pale Sand отдельными волосками</x:v>
      </x:c>
      <x:c r="L172" s="89" t="str">
        <x:v>Agrax Earthshade локально</x:v>
      </x:c>
      <x:c r="M172" s="89" t="str">
        <x:v>Matt Varnish</x:v>
      </x:c>
      <x:c r="N172" s="90" t="str">
        <x:v>Низкая</x:v>
      </x:c>
      <x:c r="O172" s="89" t="str">
        <x:v>Сначала используется фактура скульптуры, затем на фокусных местах добавляются отдельные волоски кистью.</x:v>
      </x:c>
      <x:c r="P172" s="89" t="str">
        <x:v>Проверено — рабочая техника</x:v>
      </x:c>
      <x:c r="Q172" s="89" t="str">
        <x:v>Последовательность построена из реальных красок коллекции и следует устойчивой логике фактуры, света и материала.</x:v>
      </x:c>
    </x:row>
    <x:row r="173">
      <x:c r="A173" s="90" t="n">
        <x:v>169</x:v>
      </x:c>
      <x:c r="B173" s="357" t="str">
        <x:v>Ткань</x:v>
      </x:c>
      <x:c r="C173" s="357" t="str">
        <x:v>Сине-серая шерстяная ткань</x:v>
      </x:c>
      <x:c r="D173" s="89" t="str">
        <x:v>Stippling по складкам</x:v>
      </x:c>
      <x:c r="E173" s="89" t="str">
        <x:v>Black Primer</x:v>
      </x:c>
      <x:c r="F173" s="89" t="str">
        <x:v>The Fang</x:v>
      </x:c>
      <x:c r="G173" s="89" t="str">
        <x:v>Drakenhof Nightshade</x:v>
      </x:c>
      <x:c r="H173" s="89" t="str">
        <x:v>Fenrisian Grey мелким stipple</x:v>
      </x:c>
      <x:c r="I173" s="89" t="str">
        <x:v>Ulthuan Grey более редким stipple</x:v>
      </x:c>
      <x:c r="J173" s="89" t="str">
        <x:v>White Grey на верхних гребнях</x:v>
      </x:c>
      <x:c r="K173" s="89" t="str">
        <x:v>White единично</x:v>
      </x:c>
      <x:c r="L173" s="89" t="str">
        <x:v>Space Wolves Grey 1:5 с Contrast Medium для объединения</x:v>
      </x:c>
      <x:c r="M173" s="89" t="str">
        <x:v>Matt Varnish</x:v>
      </x:c>
      <x:c r="N173" s="90" t="str">
        <x:v>Средняя</x:v>
      </x:c>
      <x:c r="O173" s="89" t="str">
        <x:v>Точки должны следовать освещению складок и создавать матовую шероховатость. Не покрывать равномерной крапинкой глубокие тени.</x:v>
      </x:c>
      <x:c r="P173" s="89" t="str">
        <x:v>Внешний референс — адаптировано</x:v>
      </x:c>
      <x:c r="Q173" s="89" t="str">
        <x:v>Техника подтверждена официальными материалами Warhammer по countershading, stippling, glazing или wet blending; цвета адаптированы под коллекцию.</x:v>
      </x:c>
    </x:row>
    <x:row r="174">
      <x:c r="A174" s="90" t="n">
        <x:v>170</x:v>
      </x:c>
      <x:c r="B174" s="356" t="str">
        <x:v>Коричневый и кожа</x:v>
      </x:c>
      <x:c r="C174" s="356" t="str">
        <x:v>Грубая потёртая кожа</x:v>
      </x:c>
      <x:c r="D174" s="89" t="str">
        <x:v>Stippling + царапины</x:v>
      </x:c>
      <x:c r="E174" s="89" t="str">
        <x:v>Black Primer</x:v>
      </x:c>
      <x:c r="F174" s="89" t="str">
        <x:v>Rhinox Hide</x:v>
      </x:c>
      <x:c r="G174" s="89" t="str">
        <x:v>Agrax Earthshade</x:v>
      </x:c>
      <x:c r="H174" s="89" t="str">
        <x:v>Gorthor Brown stippling</x:v>
      </x:c>
      <x:c r="I174" s="89" t="str">
        <x:v>Baneblade Brown прерывистыми линиями</x:v>
      </x:c>
      <x:c r="J174" s="89" t="str">
        <x:v>Karak Stone на изношенных кромках</x:v>
      </x:c>
      <x:c r="K174" s="89" t="str">
        <x:v>Pale Sand редкими царапинами</x:v>
      </x:c>
      <x:c r="L174" s="89" t="str">
        <x:v>Snakebite Leather 1:5 с Contrast Medium как фильтр</x:v>
      </x:c>
      <x:c r="M174" s="89" t="str">
        <x:v>Satin Varnish</x:v>
      </x:c>
      <x:c r="N174" s="90" t="str">
        <x:v>Средняя</x:v>
      </x:c>
      <x:c r="O174" s="89" t="str">
        <x:v>Центры панелей оставлять темнее, а потертости концентрировать на сгибах, внешних углах и местах постоянного контакта.</x:v>
      </x:c>
      <x:c r="P174" s="89" t="str">
        <x:v>Проверено — рабочая техника</x:v>
      </x:c>
      <x:c r="Q174" s="89" t="str">
        <x:v>Последовательность построена из реальных красок коллекции и следует устойчивой логике фактуры, света и материала.</x:v>
      </x:c>
    </x:row>
    <x:row r="175">
      <x:c r="A175" s="90" t="n">
        <x:v>171</x:v>
      </x:c>
      <x:c r="B175" s="358" t="str">
        <x:v>Эффекты</x:v>
      </x:c>
      <x:c r="C175" s="358" t="str">
        <x:v>Двухцветные сколы губкой</x:v>
      </x:c>
      <x:c r="D175" s="89" t="str">
        <x:v>Светлый ободок + тёмный центр</x:v>
      </x:c>
      <x:c r="E175" s="89" t="str">
        <x:v>Полностью окрашенная броня</x:v>
      </x:c>
      <x:c r="F175" s="89" t="str">
        <x:v>Pale Sand или White Grey очень мелкими пятнами губкой</x:v>
      </x:c>
      <x:c r="G175" s="89" t="str">
        <x:v>AK Deep Brown внутри части светлых пятен</x:v>
      </x:c>
      <x:c r="H175" s="89" t="str">
        <x:v>Iron Warriors внутри самых глубоких повреждений</x:v>
      </x:c>
      <x:c r="I175" s="89" t="str">
        <x:v>Vallejo Silver на свежих нижних кромках</x:v>
      </x:c>
      <x:c r="J175" s="89" t="str">
        <x:v>AK Dark Rust в старых сколах</x:v>
      </x:c>
      <x:c r="K175" s="89" t="str">
        <x:v>—</x:v>
      </x:c>
      <x:c r="L175" s="89" t="str">
        <x:v>Умбра жжёная после Gloss Varnish вокруг части сколов</x:v>
      </x:c>
      <x:c r="M175" s="89" t="str">
        <x:v>Matt Varnish</x:v>
      </x:c>
      <x:c r="N175" s="90" t="str">
        <x:v>Средняя</x:v>
      </x:c>
      <x:c r="O175" s="89" t="str">
        <x:v>Светлая точка изображает поднятый край краски, а тёмный центр — углубление. Не каждый светлый скол должен получать металл.</x:v>
      </x:c>
      <x:c r="P175" s="89" t="str">
        <x:v>Проверено — рабочая техника</x:v>
      </x:c>
      <x:c r="Q175" s="89" t="str">
        <x:v>Последовательность построена из реальных красок коллекции и следует устойчивой логике фактуры, света и материала.</x:v>
      </x:c>
    </x:row>
    <x:row r="176">
      <x:c r="A176" s="90" t="n">
        <x:v>172</x:v>
      </x:c>
      <x:c r="B176" s="359" t="str">
        <x:v>Камуфляж</x:v>
      </x:c>
      <x:c r="C176" s="359" t="str">
        <x:v>Трёхцветный камуфляж с жёсткими краями</x:v>
      </x:c>
      <x:c r="D176" s="89" t="str">
        <x:v>Аэрограф + маскирование</x:v>
      </x:c>
      <x:c r="E176" s="89" t="str">
        <x:v>Black Primer</x:v>
      </x:c>
      <x:c r="F176" s="89" t="str">
        <x:v>Death Guard Green</x:v>
      </x:c>
      <x:c r="G176" s="89" t="str">
        <x:v>AK Dark Sand через маску</x:v>
      </x:c>
      <x:c r="H176" s="89" t="str">
        <x:v>AK Medium Grey через новую маску</x:v>
      </x:c>
      <x:c r="I176" s="89" t="str">
        <x:v>Death Guard Green вернуть на части зелёных пятен</x:v>
      </x:c>
      <x:c r="J176" s="89" t="str">
        <x:v>Pale Sand очень локально сверху</x:v>
      </x:c>
      <x:c r="K176" s="89" t="str">
        <x:v>White Grey точечно по кромкам</x:v>
      </x:c>
      <x:c r="L176" s="89" t="str">
        <x:v>Militarum Green 1:5 с Contrast Medium для общего объединения</x:v>
      </x:c>
      <x:c r="M176" s="89" t="str">
        <x:v>Matt Varnish</x:v>
      </x:c>
      <x:c r="N176" s="90" t="str">
        <x:v>Высокая</x:v>
      </x:c>
      <x:c r="O176" s="89" t="str">
        <x:v>Использовать слабоклейкую ленту, маскировочную массу или жидкую маску. Каждый слой должен полностью высохнуть до следующего маскирования.</x:v>
      </x:c>
      <x:c r="P176" s="89" t="str">
        <x:v>Внешний референс — инструментальная адаптация</x:v>
      </x:c>
      <x:c r="Q176" s="89" t="str">
        <x:v>Маскирование, stipple и spatter подтверждены Vallejo/Iwata; цветовая последовательность построена из имеющихся материалов.</x:v>
      </x:c>
    </x:row>
    <x:row r="177">
      <x:c r="A177" s="90" t="n">
        <x:v>173</x:v>
      </x:c>
      <x:c r="B177" s="359" t="str">
        <x:v>Камуфляж</x:v>
      </x:c>
      <x:c r="C177" s="359" t="str">
        <x:v>Трёхцветный камуфляж с мягкими краями</x:v>
      </x:c>
      <x:c r="D177" s="89" t="str">
        <x:v>Свободная аэрография</x:v>
      </x:c>
      <x:c r="E177" s="89" t="str">
        <x:v>Black Primer</x:v>
      </x:c>
      <x:c r="F177" s="89" t="str">
        <x:v>AK German Grey Uniform</x:v>
      </x:c>
      <x:c r="G177" s="89" t="str">
        <x:v>Death Guard Green свободными пятнами</x:v>
      </x:c>
      <x:c r="H177" s="89" t="str">
        <x:v>AK Dark Sand меньшими пятнами</x:v>
      </x:c>
      <x:c r="I177" s="89" t="str">
        <x:v>AK Medium Grey вернуть на свет</x:v>
      </x:c>
      <x:c r="J177" s="89" t="str">
        <x:v>Pale Sand точечно</x:v>
      </x:c>
      <x:c r="K177" s="89" t="str">
        <x:v>White Grey кистью по отдельным кромкам</x:v>
      </x:c>
      <x:c r="L177" s="89" t="str">
        <x:v>Militarum Green очень тонким фильтром</x:v>
      </x:c>
      <x:c r="M177" s="89" t="str">
        <x:v>Matt Varnish</x:v>
      </x:c>
      <x:c r="N177" s="90" t="str">
        <x:v>Высокая</x:v>
      </x:c>
      <x:c r="O177" s="89" t="str">
        <x:v>Работать ближе к поверхности при пониженном давлении. Мягкая кайма должна быть узкой, иначе пятна сольются в общий градиент.</x:v>
      </x:c>
      <x:c r="P177" s="89" t="str">
        <x:v>Авторская комбинация — тест</x:v>
      </x:c>
      <x:c r="Q177" s="89" t="str">
        <x:v>Техника совместима с имеющимися материалами, но плотность точек, прожилок или пятен следует подобрать на тестовой детали.</x:v>
      </x:c>
    </x:row>
    <x:row r="178">
      <x:c r="A178" s="90" t="n">
        <x:v>174</x:v>
      </x:c>
      <x:c r="B178" s="360" t="str">
        <x:v>Техника и панели</x:v>
      </x:c>
      <x:c r="C178" s="360" t="str">
        <x:v>Предшейдинг синих панелей</x:v>
      </x:c>
      <x:c r="D178" s="89" t="str">
        <x:v>Panel-line preshade + прозрачный цвет</x:v>
      </x:c>
      <x:c r="E178" s="89" t="str">
        <x:v>White Primer</x:v>
      </x:c>
      <x:c r="F178" s="89" t="str">
        <x:v>AK Dark Prussian Blue тонкими линиями по стыкам и снизу</x:v>
      </x:c>
      <x:c r="G178" s="89" t="str">
        <x:v>Grey Seer вернуть в центры панелей</x:v>
      </x:c>
      <x:c r="H178" s="89" t="str">
        <x:v>White Grey в верхние центры</x:v>
      </x:c>
      <x:c r="I178" s="89" t="str">
        <x:v>Talassar Blue тонкими прозрачными слоями</x:v>
      </x:c>
      <x:c r="J178" s="89" t="str">
        <x:v>Frostheart на верхних плоскостях</x:v>
      </x:c>
      <x:c r="K178" s="89" t="str">
        <x:v>Baharroth Blue кистью по кромкам</x:v>
      </x:c>
      <x:c r="L178" s="89" t="str">
        <x:v>Leviadon Blue 1:5 с Contrast Medium в нижние зоны</x:v>
      </x:c>
      <x:c r="M178" s="89" t="str">
        <x:v>Matt Varnish</x:v>
      </x:c>
      <x:c r="N178" s="90" t="str">
        <x:v>Высокая</x:v>
      </x:c>
      <x:c r="O178" s="89" t="str">
        <x:v>Прозрачный Talassar Blue должен сохранить предшейдинг. Если линии полностью исчезли, следующий слой наносить тоньше.</x:v>
      </x:c>
      <x:c r="P178" s="89" t="str">
        <x:v>Аэрографная техника — тест</x:v>
      </x:c>
      <x:c r="Q178" s="89" t="str">
        <x:v>Метод использует стандартную логику подмалёвка, пред-/постшейдинга и модуляции. Точная прозрачность зависит от разведения и сопла.</x:v>
      </x:c>
    </x:row>
    <x:row r="179">
      <x:c r="A179" s="90" t="n">
        <x:v>175</x:v>
      </x:c>
      <x:c r="B179" s="360" t="str">
        <x:v>Техника и панели</x:v>
      </x:c>
      <x:c r="C179" s="360" t="str">
        <x:v>Постшейдинг синей брони</x:v>
      </x:c>
      <x:c r="D179" s="89" t="str">
        <x:v>Готовая база + локальные тени и света</x:v>
      </x:c>
      <x:c r="E179" s="89" t="str">
        <x:v>Black Primer</x:v>
      </x:c>
      <x:c r="F179" s="89" t="str">
        <x:v>Caledor Sky</x:v>
      </x:c>
      <x:c r="G179" s="89" t="str">
        <x:v>AK Dark Prussian Blue сильно разбавленным слоем снизу и вдоль швов</x:v>
      </x:c>
      <x:c r="H179" s="89" t="str">
        <x:v>Caledor Sky вернуть в центры</x:v>
      </x:c>
      <x:c r="I179" s="89" t="str">
        <x:v>Teclis Blue под углом 45°</x:v>
      </x:c>
      <x:c r="J179" s="89" t="str">
        <x:v>Lothern Blue сверху</x:v>
      </x:c>
      <x:c r="K179" s="89" t="str">
        <x:v>Baharroth Blue кистью по кромкам</x:v>
      </x:c>
      <x:c r="L179" s="89" t="str">
        <x:v>Blue Ink 1:6 с Lahmian Medium как общий фильтр</x:v>
      </x:c>
      <x:c r="M179" s="89" t="str">
        <x:v>Matt Varnish</x:v>
      </x:c>
      <x:c r="N179" s="90" t="str">
        <x:v>Средняя</x:v>
      </x:c>
      <x:c r="O179" s="89" t="str">
        <x:v>Постшейдинг проще исправлять, чем предшейдинг: тень и свет наносятся поверх готовой базы и могут быть перекрыты исходным цветом.</x:v>
      </x:c>
      <x:c r="P179" s="89" t="str">
        <x:v>Аэрографная техника — тест</x:v>
      </x:c>
      <x:c r="Q179" s="89" t="str">
        <x:v>Метод использует стандартную логику подмалёвка, пред-/постшейдинга и модуляции. Точная прозрачность зависит от разведения и сопла.</x:v>
      </x:c>
    </x:row>
    <x:row r="180">
      <x:c r="A180" s="90" t="n">
        <x:v>176</x:v>
      </x:c>
      <x:c r="B180" s="360" t="str">
        <x:v>Техника и панели</x:v>
      </x:c>
      <x:c r="C180" s="360" t="str">
        <x:v>Серая цветовая модуляция техники</x:v>
      </x:c>
      <x:c r="D180" s="89" t="str">
        <x:v>Панельная аэрографная модуляция</x:v>
      </x:c>
      <x:c r="E180" s="89" t="str">
        <x:v>Black Primer</x:v>
      </x:c>
      <x:c r="F180" s="89" t="str">
        <x:v>AK German Grey Uniform</x:v>
      </x:c>
      <x:c r="G180" s="89" t="str">
        <x:v>AK Black снизу и под нависающими деталями</x:v>
      </x:c>
      <x:c r="H180" s="89" t="str">
        <x:v>AK Medium Grey в центры панелей</x:v>
      </x:c>
      <x:c r="I180" s="89" t="str">
        <x:v>White Grey на верхние панели</x:v>
      </x:c>
      <x:c r="J180" s="89" t="str">
        <x:v>Longbeard Grey очень лёгким drybrush по фактуре</x:v>
      </x:c>
      <x:c r="K180" s="89" t="str">
        <x:v>White точечно</x:v>
      </x:c>
      <x:c r="L180" s="89" t="str">
        <x:v>Black Templar 1:6 с Contrast Medium для объединения</x:v>
      </x:c>
      <x:c r="M180" s="89" t="str">
        <x:v>Matt Varnish</x:v>
      </x:c>
      <x:c r="N180" s="90" t="str">
        <x:v>Средняя</x:v>
      </x:c>
      <x:c r="O180" s="89" t="str">
        <x:v>Центры соседних панелей высветляются раздельно. Это создаёт читаемость техники даже до сколов и загрязнений.</x:v>
      </x:c>
      <x:c r="P180" s="89" t="str">
        <x:v>Аэрографная техника — тест</x:v>
      </x:c>
      <x:c r="Q180" s="89" t="str">
        <x:v>Метод использует стандартную логику подмалёвка, пред-/постшейдинга и модуляции. Точная прозрачность зависит от разведения и сопла.</x:v>
      </x:c>
    </x:row>
    <x:row r="181">
      <x:c r="A181" s="90" t="n">
        <x:v>177</x:v>
      </x:c>
      <x:c r="B181" s="358" t="str">
        <x:v>Эффекты</x:v>
      </x:c>
      <x:c r="C181" s="358" t="str">
        <x:v>Нерегулярная ржавчина аэрографным stipple</x:v>
      </x:c>
      <x:c r="D181" s="89" t="str">
        <x:v>Низкое давление + короткие импульсы</x:v>
      </x:c>
      <x:c r="E181" s="89" t="str">
        <x:v>Black Primer → Iron Warriors</x:v>
      </x:c>
      <x:c r="F181" s="89" t="str">
        <x:v>AK Burnt Umber крупными пятнами</x:v>
      </x:c>
      <x:c r="G181" s="89" t="str">
        <x:v>AK Dark Rust пятнами меньшего размера</x:v>
      </x:c>
      <x:c r="H181" s="89" t="str">
        <x:v>AK Light Rust мелким stipple</x:v>
      </x:c>
      <x:c r="I181" s="89" t="str">
        <x:v>AK Orange Brown редкими точками</x:v>
      </x:c>
      <x:c r="J181" s="89" t="str">
        <x:v>Ryza Rust кистью по рельефу</x:v>
      </x:c>
      <x:c r="K181" s="89" t="str">
        <x:v>Vallejo Silver по свежим кромкам</x:v>
      </x:c>
      <x:c r="L181" s="89" t="str">
        <x:v>Vallejo Rust Wash как прозрачный фильтр</x:v>
      </x:c>
      <x:c r="M181" s="89" t="str">
        <x:v>Matt Varnish</x:v>
      </x:c>
      <x:c r="N181" s="90" t="str">
        <x:v>Средняя</x:v>
      </x:c>
      <x:c r="O181" s="89" t="str">
        <x:v>При ограниченном воздухе аэрограф способен давать stipple и spatter. Сначала тренироваться на бумаге, чтобы крупные капли не залили модель.</x:v>
      </x:c>
      <x:c r="P181" s="89" t="str">
        <x:v>Внешний референс — инструментальная адаптация</x:v>
      </x:c>
      <x:c r="Q181" s="89" t="str">
        <x:v>Маскирование, stipple и spatter подтверждены Vallejo/Iwata; цветовая последовательность построена из имеющихся материалов.</x:v>
      </x:c>
    </x:row>
    <x:row r="182">
      <x:c r="A182" s="90" t="n">
        <x:v>178</x:v>
      </x:c>
      <x:c r="B182" s="358" t="str">
        <x:v>Эффекты</x:v>
      </x:c>
      <x:c r="C182" s="358" t="str">
        <x:v>Пылевые брызги и точечная грязь</x:v>
      </x:c>
      <x:c r="D182" s="89" t="str">
        <x:v>Аэрографный spatter + кисть</x:v>
      </x:c>
      <x:c r="E182" s="89" t="str">
        <x:v>Полностью окрашенная поверхность</x:v>
      </x:c>
      <x:c r="F182" s="89" t="str">
        <x:v>AK Dark Sand сильно разбавленным широким слоем снизу</x:v>
      </x:c>
      <x:c r="G182" s="89" t="str">
        <x:v>AK Pale Sand мелкими брызгами</x:v>
      </x:c>
      <x:c r="H182" s="89" t="str">
        <x:v>AK Light Earth точечно кистью на самых грязных местах</x:v>
      </x:c>
      <x:c r="I182" s="89" t="str">
        <x:v>Karak Stone сухой кистью по сухой грязи</x:v>
      </x:c>
      <x:c r="J182" s="89" t="str">
        <x:v>—</x:v>
      </x:c>
      <x:c r="K182" s="89" t="str">
        <x:v>—</x:v>
      </x:c>
      <x:c r="L182" s="89" t="str">
        <x:v>Умбра жжёная в мокрые и глубокие зоны после лака</x:v>
      </x:c>
      <x:c r="M182" s="89" t="str">
        <x:v>Matt Varnish</x:v>
      </x:c>
      <x:c r="N182" s="90" t="str">
        <x:v>Средняя</x:v>
      </x:c>
      <x:c r="O182" s="89" t="str">
        <x:v>Брызги направлять снизу и сзади по логике движения. Защитить верх модели и лицо от случайного spatter.</x:v>
      </x:c>
      <x:c r="P182" s="89" t="str">
        <x:v>Внешний референс — инструментальная адаптация</x:v>
      </x:c>
      <x:c r="Q182" s="89" t="str">
        <x:v>Маскирование, stipple и spatter подтверждены Vallejo/Iwata; цветовая последовательность построена из имеющихся материалов.</x:v>
      </x:c>
    </x:row>
    <x:row r="183">
      <x:c r="A183" s="90" t="n">
        <x:v>179</x:v>
      </x:c>
      <x:c r="B183" s="361" t="str">
        <x:v>Масла</x:v>
      </x:c>
      <x:c r="C183" s="361" t="str">
        <x:v>Карта тёплой, холодной и сажевой грязи</x:v>
      </x:c>
      <x:c r="D183" s="89" t="str">
        <x:v>Трёхцветное масляное картирование</x:v>
      </x:c>
      <x:c r="E183" s="89" t="str">
        <x:v>Полностью окрашенная модель → отверждённый Gloss/Satin Varnish</x:v>
      </x:c>
      <x:c r="F183" s="89" t="str">
        <x:v>Умбра жжёная в тёплые нижние загрязнения</x:v>
      </x:c>
      <x:c r="G183" s="89" t="str">
        <x:v>Серая Пейна в холодные стыки и тени</x:v>
      </x:c>
      <x:c r="H183" s="89" t="str">
        <x:v>Сажа газовая около выхлопов и самых глубоких щелей</x:v>
      </x:c>
      <x:c r="I183" s="89" t="str">
        <x:v>Снять масло с выступов слегка смоченной кистью</x:v>
      </x:c>
      <x:c r="J183" s="89" t="str">
        <x:v>Вернуть акриловые блики после полного высыхания</x:v>
      </x:c>
      <x:c r="K183" s="89" t="str">
        <x:v>—</x:v>
      </x:c>
      <x:c r="L183" s="89" t="str">
        <x:v>Локальные акриловые эффекты после масел</x:v>
      </x:c>
      <x:c r="M183" s="89" t="str">
        <x:v>Matt Varnish после полного высыхания</x:v>
      </x:c>
      <x:c r="N183" s="90" t="str">
        <x:v>Высокая</x:v>
      </x:c>
      <x:c r="O183" s="89" t="str">
        <x:v>Три имеющихся масла используются не как набор ярких dot-фильтров, а как карта разных типов тёмного загрязнения. Не смешивать всё в единый серо-коричневый слой.</x:v>
      </x:c>
      <x:c r="P183" s="89" t="str">
        <x:v>Проверено — рабочая техника</x:v>
      </x:c>
      <x:c r="Q183" s="89" t="str">
        <x:v>Последовательность построена из реальных красок коллекции и следует устойчивой логике фактуры, света и материала.</x:v>
      </x:c>
    </x:row>
    <x:row r="184">
      <x:c r="A184" s="90" t="n">
        <x:v>180</x:v>
      </x:c>
      <x:c r="B184" s="358" t="str">
        <x:v>Эффекты</x:v>
      </x:c>
      <x:c r="C184" s="358" t="str">
        <x:v>Бирюзовое энергетическое лезвие мокрым смешиванием</x:v>
      </x:c>
      <x:c r="D184" s="89" t="str">
        <x:v>Wet blending + glaze</x:v>
      </x:c>
      <x:c r="E184" s="89" t="str">
        <x:v>Black Primer</x:v>
      </x:c>
      <x:c r="F184" s="89" t="str">
        <x:v>Incubi Darkness на обоих концах секции</x:v>
      </x:c>
      <x:c r="G184" s="89" t="str">
        <x:v>Kabalite Green рядом с тёмными зонами</x:v>
      </x:c>
      <x:c r="H184" s="89" t="str">
        <x:v>Sybarite Green в средних переходах</x:v>
      </x:c>
      <x:c r="I184" s="89" t="str">
        <x:v>Moot Green около световой линии</x:v>
      </x:c>
      <x:c r="J184" s="89" t="str">
        <x:v>White по центральной линии</x:v>
      </x:c>
      <x:c r="K184" s="89" t="str">
        <x:v>White точечно на пересечениях</x:v>
      </x:c>
      <x:c r="L184" s="89" t="str">
        <x:v>Akhelian Green 1:8 с Contrast Medium как объединяющая глазурь</x:v>
      </x:c>
      <x:c r="M184" s="89" t="str">
        <x:v>Satin Varnish</x:v>
      </x:c>
      <x:c r="N184" s="90" t="str">
        <x:v>Высокая</x:v>
      </x:c>
      <x:c r="O184" s="89" t="str">
        <x:v>Работать по одной секции лезвия: соседние цвета соединяются, пока остаются влажными. Официальный пример wet blending использует Incubi Darkness и Sybarite Green; отсутствующий промежуточный цвет заменён Kabalite Green.</x:v>
      </x:c>
      <x:c r="P184" s="89" t="str">
        <x:v>Внешний референс — адаптировано</x:v>
      </x:c>
      <x:c r="Q184" s="89" t="str">
        <x:v>Техника подтверждена официальными материалами Warhammer по countershading, stippling, glazing или wet blending; цвета адаптированы под коллекцию.</x:v>
      </x:c>
    </x:row>
    <x:row r="185">
      <x:c r="A185" s="90" t="n">
        <x:v>181</x:v>
      </x:c>
      <x:c r="B185" s="380" t="str">
        <x:v>Мокрая органика</x:v>
      </x:c>
      <x:c r="C185" s="380" t="str">
        <x:v>Свежая воспалённая рана</x:v>
      </x:c>
      <x:c r="D185" s="89" t="str">
        <x:v>Яркая подложка + красные глазури + мокрые блики</x:v>
      </x:c>
      <x:c r="E185" s="89" t="str">
        <x:v>Окрашенная кожа</x:v>
      </x:c>
      <x:c r="F185" s="89" t="str">
        <x:v>Pale Flesh или Pallid Wych Flesh</x:v>
      </x:c>
      <x:c r="G185" s="89" t="str">
        <x:v>Carroburg Crimson 1:4 с Lahmian Medium вокруг раны</x:v>
      </x:c>
      <x:c r="H185" s="89" t="str">
        <x:v>Wazdakka Red внутри</x:v>
      </x:c>
      <x:c r="I185" s="89" t="str">
        <x:v>AK Blood Red меньшей зоной</x:v>
      </x:c>
      <x:c r="J185" s="89" t="str">
        <x:v>Pale Flesh вернуть по краю</x:v>
      </x:c>
      <x:c r="K185" s="89" t="str">
        <x:v>White микроточками</x:v>
      </x:c>
      <x:c r="L185" s="89" t="str">
        <x:v>Blood Effect очень тонко в центре; Gloss Varnish локально</x:v>
      </x:c>
      <x:c r="M185" s="89" t="str">
        <x:v>Matt Varnish на коже; Gloss только на ране</x:v>
      </x:c>
      <x:c r="N185" s="90" t="str">
        <x:v>Высокая</x:v>
      </x:c>
      <x:c r="O185" s="89" t="str">
        <x:v>Для мокрого эффекта первоначальные света делают ярче обычного, затем частично перекрывают красной глазурью и возвращают отдельные белые блики.</x:v>
      </x:c>
      <x:c r="P185" s="89" t="str">
        <x:v>Внешний референс — адаптировано</x:v>
      </x:c>
      <x:c r="Q185" s="89" t="str">
        <x:v>Официальная практика мокрой органики использует усиленные светлые подслои, красные глазури и чистые белые блики для ощущения влаги.</x:v>
      </x:c>
    </x:row>
    <x:row r="186">
      <x:c r="A186" s="90" t="n">
        <x:v>182</x:v>
      </x:c>
      <x:c r="B186" s="380" t="str">
        <x:v>Мокрая органика</x:v>
      </x:c>
      <x:c r="C186" s="380" t="str">
        <x:v>Старая подсохшая кровь</x:v>
      </x:c>
      <x:c r="D186" s="89" t="str">
        <x:v>Коричнево-красные пятна</x:v>
      </x:c>
      <x:c r="E186" s="89" t="str">
        <x:v>Полностью окрашенная поверхность</x:v>
      </x:c>
      <x:c r="F186" s="89" t="str">
        <x:v>AK Deep Brown</x:v>
      </x:c>
      <x:c r="G186" s="89" t="str">
        <x:v>AK Burnt Umber по краям старых пятен</x:v>
      </x:c>
      <x:c r="H186" s="89" t="str">
        <x:v>AK Dirty Red неровными зонами</x:v>
      </x:c>
      <x:c r="I186" s="89" t="str">
        <x:v>Blood for the Blood God очень тонко только на более свежих участках</x:v>
      </x:c>
      <x:c r="J186" s="89" t="str">
        <x:v>Gory Red редкими точками</x:v>
      </x:c>
      <x:c r="K186" s="89" t="str">
        <x:v>—</x:v>
      </x:c>
      <x:c r="L186" s="89" t="str">
        <x:v>Умбра жжёная после защитного лака в старые края</x:v>
      </x:c>
      <x:c r="M186" s="89" t="str">
        <x:v>Matt Varnish; свежие участки оставить полуглянцевыми</x:v>
      </x:c>
      <x:c r="N186" s="90" t="str">
        <x:v>Средняя</x:v>
      </x:c>
      <x:c r="O186" s="89" t="str">
        <x:v>Старая кровь должна быть темнее и коричневее свежей. Не покрывать всю область ярко-красным глянцевым Technical.</x:v>
      </x:c>
      <x:c r="P186" s="89" t="str">
        <x:v>Проверено — рабочая техника</x:v>
      </x:c>
      <x:c r="Q186" s="89" t="str">
        <x:v>Рецепт построен только на материалах коллекции и использует различие текстуры, прозрачности и финиша.</x:v>
      </x:c>
    </x:row>
    <x:row r="187">
      <x:c r="A187" s="90" t="n">
        <x:v>183</x:v>
      </x:c>
      <x:c r="B187" s="380" t="str">
        <x:v>Мокрая органика</x:v>
      </x:c>
      <x:c r="C187" s="380" t="str">
        <x:v>Свежие внутренности и влажная плоть</x:v>
      </x:c>
      <x:c r="D187" s="89" t="str">
        <x:v>Телесная база + малиновые тени + белые блики</x:v>
      </x:c>
      <x:c r="E187" s="89" t="str">
        <x:v>Настоящий грунт → Grey Seer</x:v>
      </x:c>
      <x:c r="F187" s="89" t="str">
        <x:v>AK Sickly Pink + Pale Flesh 1:1</x:v>
      </x:c>
      <x:c r="G187" s="89" t="str">
        <x:v>Carroburg Crimson</x:v>
      </x:c>
      <x:c r="H187" s="89" t="str">
        <x:v>Pink Horror</x:v>
      </x:c>
      <x:c r="I187" s="89" t="str">
        <x:v>Pale Flesh</x:v>
      </x:c>
      <x:c r="J187" s="89" t="str">
        <x:v>Pallid Wych Flesh</x:v>
      </x:c>
      <x:c r="K187" s="89" t="str">
        <x:v>White тонкими линиями и точками</x:v>
      </x:c>
      <x:c r="L187" s="89" t="str">
        <x:v>Viscera Effect локально; Blood Effect в глубоких местах</x:v>
      </x:c>
      <x:c r="M187" s="89" t="str">
        <x:v>Matt Varnish до эффектов; эффекты оставить глянцевыми</x:v>
      </x:c>
      <x:c r="N187" s="90" t="str">
        <x:v>Высокая</x:v>
      </x:c>
      <x:c r="O187" s="89" t="str">
        <x:v>Официальная логика мокрой органики: чистые белые блики изображают блеск влаги, а не просто более светлый телесный цвет.</x:v>
      </x:c>
      <x:c r="P187" s="89" t="str">
        <x:v>Внешний референс — адаптировано</x:v>
      </x:c>
      <x:c r="Q187" s="89" t="str">
        <x:v>Официальная практика мокрой органики использует усиленные светлые подслои, красные глазури и чистые белые блики для ощущения влаги.</x:v>
      </x:c>
    </x:row>
    <x:row r="188">
      <x:c r="A188" s="90" t="n">
        <x:v>184</x:v>
      </x:c>
      <x:c r="B188" s="380" t="str">
        <x:v>Мокрая органика</x:v>
      </x:c>
      <x:c r="C188" s="380" t="str">
        <x:v>Гнилая слизь и токсичная жидкость</x:v>
      </x:c>
      <x:c r="D188" s="89" t="str">
        <x:v>Светлая основа + прозрачные зелёные эффекты</x:v>
      </x:c>
      <x:c r="E188" s="89" t="str">
        <x:v>Настоящий грунт → White</x:v>
      </x:c>
      <x:c r="F188" s="89" t="str">
        <x:v>Plaguebearer Flesh</x:v>
      </x:c>
      <x:c r="G188" s="89" t="str">
        <x:v>Militarum Green в глубине</x:v>
      </x:c>
      <x:c r="H188" s="89" t="str">
        <x:v>Death Guard Green</x:v>
      </x:c>
      <x:c r="I188" s="89" t="str">
        <x:v>Moot Green</x:v>
      </x:c>
      <x:c r="J188" s="89" t="str">
        <x:v>Moot Green + White 1:1</x:v>
      </x:c>
      <x:c r="K188" s="89" t="str">
        <x:v>White точечно</x:v>
      </x:c>
      <x:c r="L188" s="89" t="str">
        <x:v>Nurgle's Rot последним; Green Fluorescent на светлой части</x:v>
      </x:c>
      <x:c r="M188" s="89" t="str">
        <x:v>Matt Varnish до слизи; слизь не перекрывать</x:v>
      </x:c>
      <x:c r="N188" s="90" t="str">
        <x:v>Средняя</x:v>
      </x:c>
      <x:c r="O188" s="89" t="str">
        <x:v>Nurgle's Rot создаёт толщину и блеск; флуоресцент нужен только на предварительно высветленных участках.</x:v>
      </x:c>
      <x:c r="P188" s="89" t="str">
        <x:v>Проверено — рабочая техника</x:v>
      </x:c>
      <x:c r="Q188" s="89" t="str">
        <x:v>Рецепт построен только на материалах коллекции и использует различие текстуры, прозрачности и финиша.</x:v>
      </x:c>
    </x:row>
    <x:row r="189">
      <x:c r="A189" s="90" t="n">
        <x:v>185</x:v>
      </x:c>
      <x:c r="B189" s="381" t="str">
        <x:v>Кожа</x:v>
      </x:c>
      <x:c r="C189" s="381" t="str">
        <x:v>Чёрная маслянистая кожа</x:v>
      </x:c>
      <x:c r="D189" s="89" t="str">
        <x:v>Узкие холодные отражения + глянцевая тень</x:v>
      </x:c>
      <x:c r="E189" s="89" t="str">
        <x:v>Black Primer</x:v>
      </x:c>
      <x:c r="F189" s="89" t="str">
        <x:v>AK Black</x:v>
      </x:c>
      <x:c r="G189" s="89" t="str">
        <x:v>Nuln Oil Gloss в складки</x:v>
      </x:c>
      <x:c r="H189" s="89" t="str">
        <x:v>Corvus Black</x:v>
      </x:c>
      <x:c r="I189" s="89" t="str">
        <x:v>Eshin Grey узкими линиями</x:v>
      </x:c>
      <x:c r="J189" s="89" t="str">
        <x:v>Fenrisian Grey на верхних сгибах</x:v>
      </x:c>
      <x:c r="K189" s="89" t="str">
        <x:v>White Grey микроточками</x:v>
      </x:c>
      <x:c r="L189" s="89" t="str">
        <x:v>Black Templar 1:8 с Contrast Medium как объединяющий фильтр</x:v>
      </x:c>
      <x:c r="M189" s="89" t="str">
        <x:v>Satin Varnish; Gloss Varnish локально на самых натёртых местах</x:v>
      </x:c>
      <x:c r="N189" s="90" t="str">
        <x:v>Средняя</x:v>
      </x:c>
      <x:c r="O189" s="89" t="str">
        <x:v>Маслянистая кожа остаётся почти чёрной, но имеет длинные узкие блики. Общий чистый Gloss делает её похожей на пластик.</x:v>
      </x:c>
      <x:c r="P189" s="89" t="str">
        <x:v>Проверено — рабочая техника</x:v>
      </x:c>
      <x:c r="Q189" s="89" t="str">
        <x:v>Рецепт построен только на материалах коллекции и использует различие текстуры, прозрачности и финиша.</x:v>
      </x:c>
    </x:row>
    <x:row r="190">
      <x:c r="A190" s="90" t="n">
        <x:v>186</x:v>
      </x:c>
      <x:c r="B190" s="381" t="str">
        <x:v>Кожа</x:v>
      </x:c>
      <x:c r="C190" s="381" t="str">
        <x:v>Матовая замша</x:v>
      </x:c>
      <x:c r="D190" s="89" t="str">
        <x:v>Stippling без резкого edge highlight</x:v>
      </x:c>
      <x:c r="E190" s="89" t="str">
        <x:v>Black Primer</x:v>
      </x:c>
      <x:c r="F190" s="89" t="str">
        <x:v>Rhinox Hide</x:v>
      </x:c>
      <x:c r="G190" s="89" t="str">
        <x:v>Agrax Earthshade</x:v>
      </x:c>
      <x:c r="H190" s="89" t="str">
        <x:v>Gorthor Brown мелким stippling</x:v>
      </x:c>
      <x:c r="I190" s="89" t="str">
        <x:v>Baneblade Brown более редкими точками</x:v>
      </x:c>
      <x:c r="J190" s="89" t="str">
        <x:v>Karak Stone только на изношенных участках</x:v>
      </x:c>
      <x:c r="K190" s="89" t="str">
        <x:v>Pale Sand редкими точками</x:v>
      </x:c>
      <x:c r="L190" s="89" t="str">
        <x:v>Cygor Brown 1:8 с Contrast Medium для объединения</x:v>
      </x:c>
      <x:c r="M190" s="89" t="str">
        <x:v>Matt Varnish</x:v>
      </x:c>
      <x:c r="N190" s="90" t="str">
        <x:v>Средняя</x:v>
      </x:c>
      <x:c r="O190" s="89" t="str">
        <x:v>Замша читается через матовый точечный рисунок. Не делать длинные чистые линии по всем кромкам, характерные для гладкой кожи.</x:v>
      </x:c>
      <x:c r="P190" s="89" t="str">
        <x:v>Проверено — рабочая техника</x:v>
      </x:c>
      <x:c r="Q190" s="89" t="str">
        <x:v>Рецепт построен только на материалах коллекции и использует различие текстуры, прозрачности и финиша.</x:v>
      </x:c>
    </x:row>
    <x:row r="191">
      <x:c r="A191" s="90" t="n">
        <x:v>187</x:v>
      </x:c>
      <x:c r="B191" s="382" t="str">
        <x:v>Лак и керамика</x:v>
      </x:c>
      <x:c r="C191" s="382" t="str">
        <x:v>Красный лак или эмаль</x:v>
      </x:c>
      <x:c r="D191" s="89" t="str">
        <x:v>Глубокий цвет + геометрические отражения</x:v>
      </x:c>
      <x:c r="E191" s="89" t="str">
        <x:v>Black Primer</x:v>
      </x:c>
      <x:c r="F191" s="89" t="str">
        <x:v>Gal Vorbak Red</x:v>
      </x:c>
      <x:c r="G191" s="89" t="str">
        <x:v>Flesh Tearers Red в тенях</x:v>
      </x:c>
      <x:c r="H191" s="89" t="str">
        <x:v>AK Blood Red</x:v>
      </x:c>
      <x:c r="I191" s="89" t="str">
        <x:v>Evil Sunz Scarlet</x:v>
      </x:c>
      <x:c r="J191" s="89" t="str">
        <x:v>Wild Rider Red узкой отражённой полосой</x:v>
      </x:c>
      <x:c r="K191" s="89" t="str">
        <x:v>White короткой линией и точкой</x:v>
      </x:c>
      <x:c r="L191" s="89" t="str">
        <x:v>Baal Red очень тонко для насыщения</x:v>
      </x:c>
      <x:c r="M191" s="89" t="str">
        <x:v>Gloss Varnish</x:v>
      </x:c>
      <x:c r="N191" s="90" t="str">
        <x:v>Высокая</x:v>
      </x:c>
      <x:c r="O191" s="89" t="str">
        <x:v>Лак отличается от обычной красной брони формой блика: чистые длинные отражения и резкие белые точки вместо равномерного edge highlight.</x:v>
      </x:c>
      <x:c r="P191" s="89" t="str">
        <x:v>Авторская техника — тест отражений</x:v>
      </x:c>
      <x:c r="Q191" s="89" t="str">
        <x:v>Геометрия отражений и глянцевый лак создают материал; точное расположение бликов необходимо проверить под выбранным светом.</x:v>
      </x:c>
    </x:row>
    <x:row r="192">
      <x:c r="A192" s="90" t="n">
        <x:v>188</x:v>
      </x:c>
      <x:c r="B192" s="382" t="str">
        <x:v>Лак и керамика</x:v>
      </x:c>
      <x:c r="C192" s="382" t="str">
        <x:v>Белый фарфор</x:v>
      </x:c>
      <x:c r="D192" s="89" t="str">
        <x:v>Холодная тень + чистый глянец</x:v>
      </x:c>
      <x:c r="E192" s="89" t="str">
        <x:v>Настоящий грунт → Grey Seer</x:v>
      </x:c>
      <x:c r="F192" s="89" t="str">
        <x:v>Ulthuan Grey</x:v>
      </x:c>
      <x:c r="G192" s="89" t="str">
        <x:v>Dreadful Visage 1:8 с Contrast Medium в углубления</x:v>
      </x:c>
      <x:c r="H192" s="89" t="str">
        <x:v>White Grey</x:v>
      </x:c>
      <x:c r="I192" s="89" t="str">
        <x:v>White</x:v>
      </x:c>
      <x:c r="J192" s="89" t="str">
        <x:v>White плотнее на обращённых к свету плоскостях</x:v>
      </x:c>
      <x:c r="K192" s="89" t="str">
        <x:v>White микроточкой</x:v>
      </x:c>
      <x:c r="L192" s="89" t="str">
        <x:v>Apothecary White 1:4 с Contrast Medium при необходимости</x:v>
      </x:c>
      <x:c r="M192" s="89" t="str">
        <x:v>Gloss Varnish</x:v>
      </x:c>
      <x:c r="N192" s="90" t="str">
        <x:v>Высокая</x:v>
      </x:c>
      <x:c r="O192" s="89" t="str">
        <x:v>Фарфор почти белый, но имеет холодные лилово-серые тени и резкие отражения. Не превращать его в серый камень.</x:v>
      </x:c>
      <x:c r="P192" s="89" t="str">
        <x:v>Авторская техника — тест отражений</x:v>
      </x:c>
      <x:c r="Q192" s="89" t="str">
        <x:v>Геометрия отражений и глянцевый лак создают материал; точное расположение бликов необходимо проверить под выбранным светом.</x:v>
      </x:c>
    </x:row>
    <x:row r="193">
      <x:c r="A193" s="90" t="n">
        <x:v>189</x:v>
      </x:c>
      <x:c r="B193" s="382" t="str">
        <x:v>Лак и керамика</x:v>
      </x:c>
      <x:c r="C193" s="382" t="str">
        <x:v>Чёрный обсидиан или стекло</x:v>
      </x:c>
      <x:c r="D193" s="89" t="str">
        <x:v>Чёрная масса + сине-серые отражения</x:v>
      </x:c>
      <x:c r="E193" s="89" t="str">
        <x:v>Black Primer</x:v>
      </x:c>
      <x:c r="F193" s="89" t="str">
        <x:v>AK Black</x:v>
      </x:c>
      <x:c r="G193" s="89" t="str">
        <x:v>Leviadon Blue + Contrast Medium 1:2 на нижнюю или дальнюю сторону</x:v>
      </x:c>
      <x:c r="H193" s="89" t="str">
        <x:v>Eshin Grey узкой отражённой полосой</x:v>
      </x:c>
      <x:c r="I193" s="89" t="str">
        <x:v>Fenrisian Grey</x:v>
      </x:c>
      <x:c r="J193" s="89" t="str">
        <x:v>White Grey меньшей линией</x:v>
      </x:c>
      <x:c r="K193" s="89" t="str">
        <x:v>White микроточками</x:v>
      </x:c>
      <x:c r="L193" s="89" t="str">
        <x:v>Blue Ink 1:10 с Lahmian Medium по части отражения</x:v>
      </x:c>
      <x:c r="M193" s="89" t="str">
        <x:v>Gloss Varnish</x:v>
      </x:c>
      <x:c r="N193" s="90" t="str">
        <x:v>Высокая</x:v>
      </x:c>
      <x:c r="O193" s="89" t="str">
        <x:v>Основная площадь остаётся чёрной. Один-два чистых отражённых контура создают впечатление стекла лучше, чем множество серых высветлений.</x:v>
      </x:c>
      <x:c r="P193" s="89" t="str">
        <x:v>Авторская техника — тест отражений</x:v>
      </x:c>
      <x:c r="Q193" s="89" t="str">
        <x:v>Геометрия отражений и глянцевый лак создают материал; точное расположение бликов необходимо проверить под выбранным светом.</x:v>
      </x:c>
    </x:row>
    <x:row r="194">
      <x:c r="A194" s="90" t="n">
        <x:v>190</x:v>
      </x:c>
      <x:c r="B194" s="383" t="str">
        <x:v>Лёд и кристаллы</x:v>
      </x:c>
      <x:c r="C194" s="383" t="str">
        <x:v>Матовый иней и замёрзший кристалл</x:v>
      </x:c>
      <x:c r="D194" s="89" t="str">
        <x:v>Белая подложка + холодные прозрачные слои</x:v>
      </x:c>
      <x:c r="E194" s="89" t="str">
        <x:v>White Primer</x:v>
      </x:c>
      <x:c r="F194" s="89" t="str">
        <x:v>Frostheart + Contrast Medium 1:1</x:v>
      </x:c>
      <x:c r="G194" s="89" t="str">
        <x:v>Space Wolves Grey в глубине</x:v>
      </x:c>
      <x:c r="H194" s="89" t="str">
        <x:v>Baharroth Blue</x:v>
      </x:c>
      <x:c r="I194" s="89" t="str">
        <x:v>White Grey</x:v>
      </x:c>
      <x:c r="J194" s="89" t="str">
        <x:v>White</x:v>
      </x:c>
      <x:c r="K194" s="89" t="str">
        <x:v>White сухой кистью на матовом инее</x:v>
      </x:c>
      <x:c r="L194" s="89" t="str">
        <x:v>Apothecary White 1:3 с Contrast Medium</x:v>
      </x:c>
      <x:c r="M194" s="89" t="str">
        <x:v>Satin Varnish; Gloss Varnish только в прозрачных трещинах</x:v>
      </x:c>
      <x:c r="N194" s="90" t="str">
        <x:v>Средняя</x:v>
      </x:c>
      <x:c r="O194" s="89" t="str">
        <x:v>Матовый иней и прозрачный лёд требуют разных финишей: иней рассеянный, трещины и глубина — более глянцевые.</x:v>
      </x:c>
      <x:c r="P194" s="89" t="str">
        <x:v>Проверено — рабочая техника</x:v>
      </x:c>
      <x:c r="Q194" s="89" t="str">
        <x:v>Рецепт построен только на материалах коллекции и использует различие текстуры, прозрачности и финиша.</x:v>
      </x:c>
    </x:row>
    <x:row r="195">
      <x:c r="A195" s="90" t="n">
        <x:v>191</x:v>
      </x:c>
      <x:c r="B195" s="384" t="str">
        <x:v>Дым и туман</x:v>
      </x:c>
      <x:c r="C195" s="384" t="str">
        <x:v>Нейтральный серый дым</x:v>
      </x:c>
      <x:c r="D195" s="89" t="str">
        <x:v>Тёмное основание → светлые внешние клубы</x:v>
      </x:c>
      <x:c r="E195" s="89" t="str">
        <x:v>Black Primer</x:v>
      </x:c>
      <x:c r="F195" s="89" t="str">
        <x:v>Corvus Black у источника</x:v>
      </x:c>
      <x:c r="G195" s="89" t="str">
        <x:v>Eshin Grey</x:v>
      </x:c>
      <x:c r="H195" s="89" t="str">
        <x:v>Mechanicus Standard Grey</x:v>
      </x:c>
      <x:c r="I195" s="89" t="str">
        <x:v>Dawnstone</x:v>
      </x:c>
      <x:c r="J195" s="89" t="str">
        <x:v>Longbeard Grey сухой кистью</x:v>
      </x:c>
      <x:c r="K195" s="89" t="str">
        <x:v>White Grey на самых внешних завитках</x:v>
      </x:c>
      <x:c r="L195" s="89" t="str">
        <x:v>Basilicanum Grey 1:5 с Contrast Medium для объединения</x:v>
      </x:c>
      <x:c r="M195" s="89" t="str">
        <x:v>Matt Varnish</x:v>
      </x:c>
      <x:c r="N195" s="90" t="str">
        <x:v>Средняя</x:v>
      </x:c>
      <x:c r="O195" s="89" t="str">
        <x:v>У большинства дымовых шлейфов самая плотная зона возле источника темнее, а рассеивающиеся края светлее и мягче.</x:v>
      </x:c>
      <x:c r="P195" s="89" t="str">
        <x:v>Внешний референс — адаптировано</x:v>
      </x:c>
      <x:c r="Q195" s="89" t="str">
        <x:v>Логика дыма/призрачного свечения подтверждена Warhammer guides; цветовая цепочка адаптирована под реальную коллекцию.</x:v>
      </x:c>
    </x:row>
    <x:row r="196">
      <x:c r="A196" s="90" t="n">
        <x:v>192</x:v>
      </x:c>
      <x:c r="B196" s="384" t="str">
        <x:v>Дым и туман</x:v>
      </x:c>
      <x:c r="C196" s="384" t="str">
        <x:v>Чёрный выхлопной дым</x:v>
      </x:c>
      <x:c r="D196" s="89" t="str">
        <x:v>Почти чёрная база + редкие серые края</x:v>
      </x:c>
      <x:c r="E196" s="89" t="str">
        <x:v>Black Primer</x:v>
      </x:c>
      <x:c r="F196" s="89" t="str">
        <x:v>AK Black</x:v>
      </x:c>
      <x:c r="G196" s="89" t="str">
        <x:v>Black Legion</x:v>
      </x:c>
      <x:c r="H196" s="89" t="str">
        <x:v>Corvus Black</x:v>
      </x:c>
      <x:c r="I196" s="89" t="str">
        <x:v>Eshin Grey</x:v>
      </x:c>
      <x:c r="J196" s="89" t="str">
        <x:v>AK Medium Grey только на внешних клубах</x:v>
      </x:c>
      <x:c r="K196" s="89" t="str">
        <x:v>White Grey единично</x:v>
      </x:c>
      <x:c r="L196" s="89" t="str">
        <x:v>Сажа газовая после отверждённого лака в глубине</x:v>
      </x:c>
      <x:c r="M196" s="89" t="str">
        <x:v>Matt Varnish после полного высыхания масла</x:v>
      </x:c>
      <x:c r="N196" s="90" t="str">
        <x:v>Средняя</x:v>
      </x:c>
      <x:c r="O196" s="89" t="str">
        <x:v>Чёрный дым сохраняет большую тёмную массу. Светлые серые участки появляются только там, где дым становится тоньше.</x:v>
      </x:c>
      <x:c r="P196" s="89" t="str">
        <x:v>Проверено — рабочая техника</x:v>
      </x:c>
      <x:c r="Q196" s="89" t="str">
        <x:v>Рецепт построен только на материалах коллекции и использует различие текстуры, прозрачности и финиша.</x:v>
      </x:c>
    </x:row>
    <x:row r="197">
      <x:c r="A197" s="90" t="n">
        <x:v>193</x:v>
      </x:c>
      <x:c r="B197" s="384" t="str">
        <x:v>Дым и туман</x:v>
      </x:c>
      <x:c r="C197" s="384" t="str">
        <x:v>Голубой магический дым</x:v>
      </x:c>
      <x:c r="D197" s="89" t="str">
        <x:v>Тёмный цвет → почти белые внешние завитки</x:v>
      </x:c>
      <x:c r="E197" s="89" t="str">
        <x:v>Black Primer</x:v>
      </x:c>
      <x:c r="F197" s="89" t="str">
        <x:v>AK Dark Prussian Blue</x:v>
      </x:c>
      <x:c r="G197" s="89" t="str">
        <x:v>Caledor Sky</x:v>
      </x:c>
      <x:c r="H197" s="89" t="str">
        <x:v>Teclis Blue</x:v>
      </x:c>
      <x:c r="I197" s="89" t="str">
        <x:v>Lothern Blue</x:v>
      </x:c>
      <x:c r="J197" s="89" t="str">
        <x:v>Baharroth Blue</x:v>
      </x:c>
      <x:c r="K197" s="89" t="str">
        <x:v>White</x:v>
      </x:c>
      <x:c r="L197" s="89" t="str">
        <x:v>Frostheart 1:5 с Contrast Medium как объединяющая глазурь</x:v>
      </x:c>
      <x:c r="M197" s="89" t="str">
        <x:v>Matt или Satin Varnish</x:v>
      </x:c>
      <x:c r="N197" s="90" t="str">
        <x:v>Средняя</x:v>
      </x:c>
      <x:c r="O197" s="89" t="str">
        <x:v>Магический дым строится как светящийся объект: наиболее тонкие внешние края могут быть светлее обычного дыма.</x:v>
      </x:c>
      <x:c r="P197" s="89" t="str">
        <x:v>Проверено — рабочая техника</x:v>
      </x:c>
      <x:c r="Q197" s="89" t="str">
        <x:v>Рецепт построен только на материалах коллекции и использует различие текстуры, прозрачности и финиша.</x:v>
      </x:c>
    </x:row>
    <x:row r="198">
      <x:c r="A198" s="90" t="n">
        <x:v>194</x:v>
      </x:c>
      <x:c r="B198" s="384" t="str">
        <x:v>Дым и туман</x:v>
      </x:c>
      <x:c r="C198" s="384" t="str">
        <x:v>Зелёный варп-дым</x:v>
      </x:c>
      <x:c r="D198" s="89" t="str">
        <x:v>Contrast + серый drybrush + светлое ядро</x:v>
      </x:c>
      <x:c r="E198" s="89" t="str">
        <x:v>Настоящий грунт → Grey Seer</x:v>
      </x:c>
      <x:c r="F198" s="89" t="str">
        <x:v>Warp Lightning</x:v>
      </x:c>
      <x:c r="G198" s="89" t="str">
        <x:v>Incubi Darkness у источника</x:v>
      </x:c>
      <x:c r="H198" s="89" t="str">
        <x:v>Kabalite Green</x:v>
      </x:c>
      <x:c r="I198" s="89" t="str">
        <x:v>Sybarite Green</x:v>
      </x:c>
      <x:c r="J198" s="89" t="str">
        <x:v>Moot Green</x:v>
      </x:c>
      <x:c r="K198" s="89" t="str">
        <x:v>White на самых тонких краях</x:v>
      </x:c>
      <x:c r="L198" s="89" t="str">
        <x:v>Hexwraith Flame локально; Green Fluorescent на белых участках</x:v>
      </x:c>
      <x:c r="M198" s="89" t="str">
        <x:v>Matt Varnish; Satin на светящемся ядре</x:v>
      </x:c>
      <x:c r="N198" s="90" t="str">
        <x:v>Средняя</x:v>
      </x:c>
      <x:c r="O198" s="89" t="str">
        <x:v>Официальные схемы варп-дыма используют зелёные прозрачные слои и серо-светлую фактуру. Белый и флуоресцент концентрируются только на наиболее светящихся местах.</x:v>
      </x:c>
      <x:c r="P198" s="89" t="str">
        <x:v>Внешний референс — адаптировано</x:v>
      </x:c>
      <x:c r="Q198" s="89" t="str">
        <x:v>Логика дыма/призрачного свечения подтверждена Warhammer guides; цветовая цепочка адаптирована под реальную коллекцию.</x:v>
      </x:c>
    </x:row>
    <x:row r="199">
      <x:c r="A199" s="90" t="n">
        <x:v>195</x:v>
      </x:c>
      <x:c r="B199" s="384" t="str">
        <x:v>Дым и туман</x:v>
      </x:c>
      <x:c r="C199" s="384" t="str">
        <x:v>Фиолетовый магический туман</x:v>
      </x:c>
      <x:c r="D199" s="89" t="str">
        <x:v>Тёмный фиолетовый → розово-белые края</x:v>
      </x:c>
      <x:c r="E199" s="89" t="str">
        <x:v>Black Primer</x:v>
      </x:c>
      <x:c r="F199" s="89" t="str">
        <x:v>Naggaroth Night</x:v>
      </x:c>
      <x:c r="G199" s="89" t="str">
        <x:v>Xereus Purple</x:v>
      </x:c>
      <x:c r="H199" s="89" t="str">
        <x:v>Genestealer Purple</x:v>
      </x:c>
      <x:c r="I199" s="89" t="str">
        <x:v>Emperor's Children</x:v>
      </x:c>
      <x:c r="J199" s="89" t="str">
        <x:v>Fulgrim Pink</x:v>
      </x:c>
      <x:c r="K199" s="89" t="str">
        <x:v>White</x:v>
      </x:c>
      <x:c r="L199" s="89" t="str">
        <x:v>Luxion Purple 1:5 с Contrast Medium; Magenta Fluorescent локально</x:v>
      </x:c>
      <x:c r="M199" s="89" t="str">
        <x:v>Matt или Satin Varnish</x:v>
      </x:c>
      <x:c r="N199" s="90" t="str">
        <x:v>Средняя</x:v>
      </x:c>
      <x:c r="O199" s="89" t="str">
        <x:v>Для ощущения магии внешние тонкие завитки светлее центра. Magenta Fluorescent наносится только на светло-розовую подложку.</x:v>
      </x:c>
      <x:c r="P199" s="89" t="str">
        <x:v>Проверено — рабочая техника</x:v>
      </x:c>
      <x:c r="Q199" s="89" t="str">
        <x:v>Рецепт построен только на материалах коллекции и использует различие текстуры, прозрачности и финиша.</x:v>
      </x:c>
    </x:row>
    <x:row r="200">
      <x:c r="A200" s="90" t="n">
        <x:v>196</x:v>
      </x:c>
      <x:c r="B200" s="385" t="str">
        <x:v>Металлик</x:v>
      </x:c>
      <x:c r="C200" s="385" t="str">
        <x:v>Термическое окрашивание стали</x:v>
      </x:c>
      <x:c r="D200" s="89" t="str">
        <x:v>Полупрозрачные цветные полосы по металлу</x:v>
      </x:c>
      <x:c r="E200" s="89" t="str">
        <x:v>Black Primer</x:v>
      </x:c>
      <x:c r="F200" s="89" t="str">
        <x:v>Exhaust Manifold или Leadbelcher</x:v>
      </x:c>
      <x:c r="G200" s="89" t="str">
        <x:v>Nuln Oil только в стыки</x:v>
      </x:c>
      <x:c r="H200" s="89" t="str">
        <x:v>Yellow Ink тонкой полосой</x:v>
      </x:c>
      <x:c r="I200" s="89" t="str">
        <x:v>Violet Ink следующей полосой</x:v>
      </x:c>
      <x:c r="J200" s="89" t="str">
        <x:v>Blue Ink на более холодном конце</x:v>
      </x:c>
      <x:c r="K200" s="89" t="str">
        <x:v>Vallejo Silver вернуть на край</x:v>
      </x:c>
      <x:c r="L200" s="89" t="str">
        <x:v>Black Templar 1:6 с Contrast Medium на самом холодном/закопчённом конце</x:v>
      </x:c>
      <x:c r="M200" s="89" t="str">
        <x:v>Metal Varnish</x:v>
      </x:c>
      <x:c r="N200" s="90" t="str">
        <x:v>Высокая</x:v>
      </x:c>
      <x:c r="O200" s="89" t="str">
        <x:v>Цветные полосы наносятся очень прозрачно и частично перекрываются. Типичный порядок от горячей зоны: золотистый/жёлтый → фиолетовый → синий → копоть.</x:v>
      </x:c>
      <x:c r="P200" s="89" t="str">
        <x:v>Проверено по моделистской практике</x:v>
      </x:c>
      <x:c r="Q200" s="89" t="str">
        <x:v>Термические оттенки строятся прозрачными жёлтыми, фиолетовыми и синими полосами по металлической подложке; требуется тест прозрачности.</x:v>
      </x:c>
    </x:row>
    <x:row r="201">
      <x:c r="A201" s="90" t="n">
        <x:v>197</x:v>
      </x:c>
      <x:c r="B201" s="385" t="str">
        <x:v>Металлик</x:v>
      </x:c>
      <x:c r="C201" s="385" t="str">
        <x:v>Обожжённый выхлоп</x:v>
      </x:c>
      <x:c r="D201" s="89" t="str">
        <x:v>Медь, цветные фильтры и копоть</x:v>
      </x:c>
      <x:c r="E201" s="89" t="str">
        <x:v>Black Primer</x:v>
      </x:c>
      <x:c r="F201" s="89" t="str">
        <x:v>Exhaust Manifold</x:v>
      </x:c>
      <x:c r="G201" s="89" t="str">
        <x:v>Vallejo Copper у горячей зоны</x:v>
      </x:c>
      <x:c r="H201" s="89" t="str">
        <x:v>AK Burnt Umber в стыки</x:v>
      </x:c>
      <x:c r="I201" s="89" t="str">
        <x:v>Violet Ink</x:v>
      </x:c>
      <x:c r="J201" s="89" t="str">
        <x:v>Blue Ink</x:v>
      </x:c>
      <x:c r="K201" s="89" t="str">
        <x:v>Black Templar у выходного отверстия</x:v>
      </x:c>
      <x:c r="L201" s="89" t="str">
        <x:v>Сажа газовая после лака вокруг отверстия</x:v>
      </x:c>
      <x:c r="M201" s="89" t="str">
        <x:v>Metal Varnish; Matt локально на копоти</x:v>
      </x:c>
      <x:c r="N201" s="90" t="str">
        <x:v>Высокая</x:v>
      </x:c>
      <x:c r="O201" s="89" t="str">
        <x:v>Металл ближе к двигателю теплее, а отверстие темнее от сажи. Не делать одинаковые цветные кольца по всей длине.</x:v>
      </x:c>
      <x:c r="P201" s="89" t="str">
        <x:v>Проверено по моделистской практике</x:v>
      </x:c>
      <x:c r="Q201" s="89" t="str">
        <x:v>Термические оттенки строятся прозрачными жёлтыми, фиолетовыми и синими полосами по металлической подложке; требуется тест прозрачности.</x:v>
      </x:c>
    </x:row>
    <x:row r="202">
      <x:c r="A202" s="90" t="n">
        <x:v>198</x:v>
      </x:c>
      <x:c r="B202" s="385" t="str">
        <x:v>Металлик</x:v>
      </x:c>
      <x:c r="C202" s="385" t="str">
        <x:v>Старая бронза с бирюзовой патиной</x:v>
      </x:c>
      <x:c r="D202" s="89" t="str">
        <x:v>Металл + Technical patina</x:v>
      </x:c>
      <x:c r="E202" s="89" t="str">
        <x:v>Black Primer</x:v>
      </x:c>
      <x:c r="F202" s="89" t="str">
        <x:v>Warplock Bronze</x:v>
      </x:c>
      <x:c r="G202" s="89" t="str">
        <x:v>Agrax Earthshade</x:v>
      </x:c>
      <x:c r="H202" s="89" t="str">
        <x:v>Balthasar Gold</x:v>
      </x:c>
      <x:c r="I202" s="89" t="str">
        <x:v>Runelord Brass</x:v>
      </x:c>
      <x:c r="J202" s="89" t="str">
        <x:v>Nihilakh Oxide в углубления</x:v>
      </x:c>
      <x:c r="K202" s="89" t="str">
        <x:v>Canoptek Alloy по кромкам</x:v>
      </x:c>
      <x:c r="L202" s="89" t="str">
        <x:v>Умбра жжёная после Gloss Varnish в части стыков</x:v>
      </x:c>
      <x:c r="M202" s="89" t="str">
        <x:v>Metal Varnish или Satin</x:v>
      </x:c>
      <x:c r="N202" s="90" t="str">
        <x:v>Средняя</x:v>
      </x:c>
      <x:c r="O202" s="89" t="str">
        <x:v>Патина скапливается в углублениях, вокруг заклёпок и под нависающими частями. Блестящие кромки показывают трение и недавний износ.</x:v>
      </x:c>
      <x:c r="P202" s="89" t="str">
        <x:v>Проверено по свойствам материала</x:v>
      </x:c>
      <x:c r="Q202" s="89" t="str">
        <x:v>Nihilakh Oxide используется как локальная бирюзовая патина, после чего металлические кромки возвращаются.</x:v>
      </x:c>
    </x:row>
    <x:row r="203">
      <x:c r="A203" s="90" t="n">
        <x:v>199</x:v>
      </x:c>
      <x:c r="B203" s="385" t="str">
        <x:v>Металлик</x:v>
      </x:c>
      <x:c r="C203" s="385" t="str">
        <x:v>Полированная латунь</x:v>
      </x:c>
      <x:c r="D203" s="89" t="str">
        <x:v>Тёплый металл + яркие чистые кромки</x:v>
      </x:c>
      <x:c r="E203" s="89" t="str">
        <x:v>Black Primer</x:v>
      </x:c>
      <x:c r="F203" s="89" t="str">
        <x:v>Balthasar Gold</x:v>
      </x:c>
      <x:c r="G203" s="89" t="str">
        <x:v>Agrax Earthshade Gloss локально</x:v>
      </x:c>
      <x:c r="H203" s="89" t="str">
        <x:v>Runelord Brass</x:v>
      </x:c>
      <x:c r="I203" s="89" t="str">
        <x:v>Liberator Gold</x:v>
      </x:c>
      <x:c r="J203" s="89" t="str">
        <x:v>Canoptek Alloy</x:v>
      </x:c>
      <x:c r="K203" s="89" t="str">
        <x:v>Vallejo Silver микроточками</x:v>
      </x:c>
      <x:c r="L203" s="89" t="str">
        <x:v>Seraphim Sepia очень тонко в переходах</x:v>
      </x:c>
      <x:c r="M203" s="89" t="str">
        <x:v>Metal Varnish</x:v>
      </x:c>
      <x:c r="N203" s="90" t="str">
        <x:v>Средняя</x:v>
      </x:c>
      <x:c r="O203" s="89" t="str">
        <x:v>Полированная латунь должна иметь широкие тёплые металлические света и крайне малые серебряные акценты.</x:v>
      </x:c>
      <x:c r="P203" s="89" t="str">
        <x:v>Проверено — рабочая техника</x:v>
      </x:c>
      <x:c r="Q203" s="89" t="str">
        <x:v>Рецепт построен только на материалах коллекции и использует различие текстуры, прозрачности и финиша.</x:v>
      </x:c>
    </x:row>
    <x:row r="204">
      <x:c r="A204" s="90" t="n">
        <x:v>200</x:v>
      </x:c>
      <x:c r="B204" s="385" t="str">
        <x:v>Металлик</x:v>
      </x:c>
      <x:c r="C204" s="385" t="str">
        <x:v>Корродированная медь</x:v>
      </x:c>
      <x:c r="D204" s="89" t="str">
        <x:v>Copper + verdigris + возвращение металла</x:v>
      </x:c>
      <x:c r="E204" s="89" t="str">
        <x:v>Black Primer</x:v>
      </x:c>
      <x:c r="F204" s="89" t="str">
        <x:v>Vallejo Copper</x:v>
      </x:c>
      <x:c r="G204" s="89" t="str">
        <x:v>Agrax Earthshade</x:v>
      </x:c>
      <x:c r="H204" s="89" t="str">
        <x:v>Warplock Bronze в глубоких местах</x:v>
      </x:c>
      <x:c r="I204" s="89" t="str">
        <x:v>Nihilakh Oxide</x:v>
      </x:c>
      <x:c r="J204" s="89" t="str">
        <x:v>Runelord Brass на изношенных местах</x:v>
      </x:c>
      <x:c r="K204" s="89" t="str">
        <x:v>Vallejo Silver точечно</x:v>
      </x:c>
      <x:c r="L204" s="89" t="str">
        <x:v>Умбра жжёная по лаку в старые загрязнения</x:v>
      </x:c>
      <x:c r="M204" s="89" t="str">
        <x:v>Metal Varnish или Satin</x:v>
      </x:c>
      <x:c r="N204" s="90" t="str">
        <x:v>Средняя</x:v>
      </x:c>
      <x:c r="O204" s="89" t="str">
        <x:v>Патина не должна равномерно покрывать всю медь. Оставлять тёплые металлические области и яркие потёртые края.</x:v>
      </x:c>
      <x:c r="P204" s="89" t="str">
        <x:v>Проверено по свойствам материала</x:v>
      </x:c>
      <x:c r="Q204" s="89" t="str">
        <x:v>Nihilakh Oxide используется как локальная бирюзовая патина, после чего металлические кромки возвращаются.</x:v>
      </x:c>
    </x:row>
    <x:row r="205">
      <x:c r="A205" s="90" t="n">
        <x:v>201</x:v>
      </x:c>
      <x:c r="B205" s="386" t="str">
        <x:v>Камень и декоративные поверхности</x:v>
      </x:c>
      <x:c r="C205" s="386" t="str">
        <x:v>Мокрый тёмный камень</x:v>
      </x:c>
      <x:c r="D205" s="89" t="str">
        <x:v>Матовая база + глянцевые углубления</x:v>
      </x:c>
      <x:c r="E205" s="89" t="str">
        <x:v>Black Primer</x:v>
      </x:c>
      <x:c r="F205" s="89" t="str">
        <x:v>AK German Grey Uniform</x:v>
      </x:c>
      <x:c r="G205" s="89" t="str">
        <x:v>Nuln Oil</x:v>
      </x:c>
      <x:c r="H205" s="89" t="str">
        <x:v>AK Medium Grey сухой кистью</x:v>
      </x:c>
      <x:c r="I205" s="89" t="str">
        <x:v>White Grey легко</x:v>
      </x:c>
      <x:c r="J205" s="89" t="str">
        <x:v>Longbeard Grey только по сухим верхним участкам</x:v>
      </x:c>
      <x:c r="K205" s="89" t="str">
        <x:v>White точечно</x:v>
      </x:c>
      <x:c r="L205" s="89" t="str">
        <x:v>Agrax Earthshade Gloss или Nuln Oil Gloss в мокрые впадины</x:v>
      </x:c>
      <x:c r="M205" s="89" t="str">
        <x:v>Matt Varnish на сухих зонах; Gloss/Satin на мокрых</x:v>
      </x:c>
      <x:c r="N205" s="90" t="str">
        <x:v>Средняя</x:v>
      </x:c>
      <x:c r="O205" s="89" t="str">
        <x:v>Мокрый камень темнее сухого, а блеск концентрируется в углублениях и горизонтальных площадках, а не равномерно по всей поверхности.</x:v>
      </x:c>
      <x:c r="P205" s="89" t="str">
        <x:v>Проверено по финишу материала</x:v>
      </x:c>
      <x:c r="Q205" s="89" t="str">
        <x:v>Различие мокрой и сухой зоны создаётся комбинацией локального Gloss/Satin и общего Matt, а не только изменением цвета.</x:v>
      </x:c>
    </x:row>
    <x:row r="206">
      <x:c r="A206" s="90" t="n">
        <x:v>202</x:v>
      </x:c>
      <x:c r="B206" s="387" t="str">
        <x:v>Подставки и террейн</x:v>
      </x:c>
      <x:c r="C206" s="387" t="str">
        <x:v>Болотная грязь и глянцевые лужи</x:v>
      </x:c>
      <x:c r="D206" s="89" t="str">
        <x:v>Texture + цветная грязь + локальный глянец</x:v>
      </x:c>
      <x:c r="E206" s="89" t="str">
        <x:v>Любой настоящий грунт</x:v>
      </x:c>
      <x:c r="F206" s="89" t="str">
        <x:v>Light Earth + AK Deep Brown пятнами</x:v>
      </x:c>
      <x:c r="G206" s="89" t="str">
        <x:v>Agrax Earthshade</x:v>
      </x:c>
      <x:c r="H206" s="89" t="str">
        <x:v>AK Dark Sand сухой кистью по сухой земле</x:v>
      </x:c>
      <x:c r="I206" s="89" t="str">
        <x:v>Death Guard Green и Militarum Green около воды</x:v>
      </x:c>
      <x:c r="J206" s="89" t="str">
        <x:v>Pale Sand на сухих комьях</x:v>
      </x:c>
      <x:c r="K206" s="89" t="str">
        <x:v>—</x:v>
      </x:c>
      <x:c r="L206" s="89" t="str">
        <x:v>Nurgle's Rot и Gloss Varnish в лужи; Умбра жжёная в глубокую грязь</x:v>
      </x:c>
      <x:c r="M206" s="89" t="str">
        <x:v>Matt Varnish на земле; лужи оставить глянцевыми</x:v>
      </x:c>
      <x:c r="N206" s="90" t="str">
        <x:v>Средняя</x:v>
      </x:c>
      <x:c r="O206" s="89" t="str">
        <x:v>Разделение финишей важнее количества цветов: сухие края матовые, глубокая грязь темнее и влажнее.</x:v>
      </x:c>
      <x:c r="P206" s="89" t="str">
        <x:v>Проверено по финишу материала</x:v>
      </x:c>
      <x:c r="Q206" s="89" t="str">
        <x:v>Различие мокрой и сухой зоны создаётся комбинацией локального Gloss/Satin и общего Matt, а не только изменением цвета.</x:v>
      </x:c>
    </x:row>
    <x:row r="207">
      <x:c r="A207" s="90" t="n">
        <x:v>203</x:v>
      </x:c>
      <x:c r="B207" s="388" t="str">
        <x:v>Техника и панели</x:v>
      </x:c>
      <x:c r="C207" s="388" t="str">
        <x:v>Маслянистый промышленный механизм</x:v>
      </x:c>
      <x:c r="D207" s="89" t="str">
        <x:v>Тёмный металл + глянцевые потёки</x:v>
      </x:c>
      <x:c r="E207" s="89" t="str">
        <x:v>Black Primer</x:v>
      </x:c>
      <x:c r="F207" s="89" t="str">
        <x:v>Black Metallic или Iron Warriors</x:v>
      </x:c>
      <x:c r="G207" s="89" t="str">
        <x:v>Nuln Oil Gloss</x:v>
      </x:c>
      <x:c r="H207" s="89" t="str">
        <x:v>Gunmetal</x:v>
      </x:c>
      <x:c r="I207" s="89" t="str">
        <x:v>Ironbreaker</x:v>
      </x:c>
      <x:c r="J207" s="89" t="str">
        <x:v>Vallejo Silver на трущихся кромках</x:v>
      </x:c>
      <x:c r="K207" s="89" t="str">
        <x:v>—</x:v>
      </x:c>
      <x:c r="L207" s="89" t="str">
        <x:v>Agrax Earthshade Gloss и Умбра жжёная локальными потёками</x:v>
      </x:c>
      <x:c r="M207" s="89" t="str">
        <x:v>Satin Varnish; Gloss Varnish только на свежем масле</x:v>
      </x:c>
      <x:c r="N207" s="90" t="str">
        <x:v>Средняя</x:v>
      </x:c>
      <x:c r="O207" s="89" t="str">
        <x:v>Свежие масляные потёки узкие, тёмные и глянцевые; старые загрязнения шире, матовее и коричневее.</x:v>
      </x:c>
      <x:c r="P207" s="89" t="str">
        <x:v>Проверено по финишу материала</x:v>
      </x:c>
      <x:c r="Q207" s="89" t="str">
        <x:v>Различие мокрой и сухой зоны создаётся комбинацией локального Gloss/Satin и общего Matt, а не только изменением цвета.</x:v>
      </x:c>
    </x:row>
    <x:row r="208">
      <x:c r="A208" s="90" t="n">
        <x:v>204</x:v>
      </x:c>
      <x:c r="B208" s="388" t="str">
        <x:v>Техника и панели</x:v>
      </x:c>
      <x:c r="C208" s="388" t="str">
        <x:v>Голографический экран</x:v>
      </x:c>
      <x:c r="D208" s="89" t="str">
        <x:v>Чёрная подложка + яркий градиент + линии</x:v>
      </x:c>
      <x:c r="E208" s="89" t="str">
        <x:v>Black Primer</x:v>
      </x:c>
      <x:c r="F208" s="89" t="str">
        <x:v>AK Black</x:v>
      </x:c>
      <x:c r="G208" s="89" t="str">
        <x:v>Caledor Sky аэрографом в центре</x:v>
      </x:c>
      <x:c r="H208" s="89" t="str">
        <x:v>Talassar Blue тонким фильтром</x:v>
      </x:c>
      <x:c r="I208" s="89" t="str">
        <x:v>Baharroth Blue</x:v>
      </x:c>
      <x:c r="J208" s="89" t="str">
        <x:v>White Grey тонкими символами</x:v>
      </x:c>
      <x:c r="K208" s="89" t="str">
        <x:v>White точками</x:v>
      </x:c>
      <x:c r="L208" s="89" t="str">
        <x:v>Green или Magenta Fluorescent локально для цветового сдвига</x:v>
      </x:c>
      <x:c r="M208" s="89" t="str">
        <x:v>Gloss Varnish</x:v>
      </x:c>
      <x:c r="N208" s="90" t="str">
        <x:v>Высокая</x:v>
      </x:c>
      <x:c r="O208" s="89" t="str">
        <x:v>Экран должен иметь один яркий центр или край, тонкую графику и тёмную рамку. Флуоресцент применяется поверх светлой части, а не по чёрному.</x:v>
      </x:c>
      <x:c r="P208" s="89" t="str">
        <x:v>Проверено — рабочая техника</x:v>
      </x:c>
      <x:c r="Q208" s="89" t="str">
        <x:v>Рецепт построен только на материалах коллекции и использует различие текстуры, прозрачности и финиша.</x:v>
      </x:c>
    </x:row>
    <x:row r="209">
      <x:c r="A209" s="90" t="n">
        <x:v>205</x:v>
      </x:c>
      <x:c r="B209" s="389" t="str">
        <x:v>Призрачные эффекты</x:v>
      </x:c>
      <x:c r="C209" s="389" t="str">
        <x:v>Холодный голубой призрак</x:v>
      </x:c>
      <x:c r="D209" s="89" t="str">
        <x:v>Светлая база + прозрачная синяя тень</x:v>
      </x:c>
      <x:c r="E209" s="89" t="str">
        <x:v>White Primer</x:v>
      </x:c>
      <x:c r="F209" s="89" t="str">
        <x:v>Frostheart + Contrast Medium 1:1</x:v>
      </x:c>
      <x:c r="G209" s="89" t="str">
        <x:v>Space Wolves Grey в глубоких местах</x:v>
      </x:c>
      <x:c r="H209" s="89" t="str">
        <x:v>Fenrisian Grey</x:v>
      </x:c>
      <x:c r="I209" s="89" t="str">
        <x:v>Baharroth Blue</x:v>
      </x:c>
      <x:c r="J209" s="89" t="str">
        <x:v>White Grey</x:v>
      </x:c>
      <x:c r="K209" s="89" t="str">
        <x:v>White на лице и концах ткани</x:v>
      </x:c>
      <x:c r="L209" s="89" t="str">
        <x:v>Apothecary White 1:4 с Contrast Medium</x:v>
      </x:c>
      <x:c r="M209" s="89" t="str">
        <x:v>Matt или Satin Varnish</x:v>
      </x:c>
      <x:c r="N209" s="90" t="str">
        <x:v>Низкая</x:v>
      </x:c>
      <x:c r="O209" s="89" t="str">
        <x:v>Светлый призрак строится от почти белого тела к более тёмным голубым углублениям; не превращать его в обычную синюю ткань.</x:v>
      </x:c>
      <x:c r="P209" s="89" t="str">
        <x:v>Внешний референс — адаптировано</x:v>
      </x:c>
      <x:c r="Q209" s="89" t="str">
        <x:v>Логика дыма/призрачного свечения подтверждена Warhammer guides; цветовая цепочка адаптирована под реальную коллекцию.</x:v>
      </x:c>
    </x:row>
    <x:row r="210">
      <x:c r="A210" s="90" t="n">
        <x:v>206</x:v>
      </x:c>
      <x:c r="B210" s="389" t="str">
        <x:v>Призрачные эффекты</x:v>
      </x:c>
      <x:c r="C210" s="389" t="str">
        <x:v>Зелёный эфирный призрак</x:v>
      </x:c>
      <x:c r="D210" s="89" t="str">
        <x:v>White → Hexwraith → светлые края</x:v>
      </x:c>
      <x:c r="E210" s="89" t="str">
        <x:v>White Primer</x:v>
      </x:c>
      <x:c r="F210" s="89" t="str">
        <x:v>Hexwraith Flame</x:v>
      </x:c>
      <x:c r="G210" s="89" t="str">
        <x:v>Biel-Tan Green локально в глубине</x:v>
      </x:c>
      <x:c r="H210" s="89" t="str">
        <x:v>Kabalite Green</x:v>
      </x:c>
      <x:c r="I210" s="89" t="str">
        <x:v>Sybarite Green</x:v>
      </x:c>
      <x:c r="J210" s="89" t="str">
        <x:v>Moot Green</x:v>
      </x:c>
      <x:c r="K210" s="89" t="str">
        <x:v>White на концах</x:v>
      </x:c>
      <x:c r="L210" s="89" t="str">
        <x:v>Green Fluorescent очень тонко на бело-зелёной части</x:v>
      </x:c>
      <x:c r="M210" s="89" t="str">
        <x:v>Matt или Satin Varnish</x:v>
      </x:c>
      <x:c r="N210" s="90" t="str">
        <x:v>Низкая</x:v>
      </x:c>
      <x:c r="O210" s="89" t="str">
        <x:v>Тёмные зелёные зоны остаются внутри складок, а концы и лицо могут быть почти белыми, создавая впечатление внутреннего свечения.</x:v>
      </x:c>
      <x:c r="P210" s="89" t="str">
        <x:v>Внешний референс — адаптировано</x:v>
      </x:c>
      <x:c r="Q210" s="89" t="str">
        <x:v>Логика дыма/призрачного свечения подтверждена Warhammer guides; цветовая цепочка адаптирована под реальную коллекцию.</x:v>
      </x:c>
    </x:row>
    <x:row r="211">
      <x:c r="A211" s="90" t="n">
        <x:v>207</x:v>
      </x:c>
      <x:c r="B211" s="389" t="str">
        <x:v>Призрачные эффекты</x:v>
      </x:c>
      <x:c r="C211" s="389" t="str">
        <x:v>Фиолетово-розовый дух</x:v>
      </x:c>
      <x:c r="D211" s="89" t="str">
        <x:v>Светлая база + Contrast + светлые концы</x:v>
      </x:c>
      <x:c r="E211" s="89" t="str">
        <x:v>White Primer</x:v>
      </x:c>
      <x:c r="F211" s="89" t="str">
        <x:v>Dreadful Visage</x:v>
      </x:c>
      <x:c r="G211" s="89" t="str">
        <x:v>Leviathan Purple в глубине</x:v>
      </x:c>
      <x:c r="H211" s="89" t="str">
        <x:v>Genestealer Purple</x:v>
      </x:c>
      <x:c r="I211" s="89" t="str">
        <x:v>Emperor's Children</x:v>
      </x:c>
      <x:c r="J211" s="89" t="str">
        <x:v>Fulgrim Pink</x:v>
      </x:c>
      <x:c r="K211" s="89" t="str">
        <x:v>White на концах</x:v>
      </x:c>
      <x:c r="L211" s="89" t="str">
        <x:v>Doomfire Magenta 1:5 с Contrast Medium; Magenta Fluorescent локально</x:v>
      </x:c>
      <x:c r="M211" s="89" t="str">
        <x:v>Matt или Satin Varnish</x:v>
      </x:c>
      <x:c r="N211" s="90" t="str">
        <x:v>Средняя</x:v>
      </x:c>
      <x:c r="O211" s="89" t="str">
        <x:v>Фиолетовый дух требует очень светлой базы; непрозрачные розовые слои занимают меньшую площадь, чем прозрачная тень.</x:v>
      </x:c>
      <x:c r="P211" s="89" t="str">
        <x:v>Внешний референс — адаптировано</x:v>
      </x:c>
      <x:c r="Q211" s="89" t="str">
        <x:v>Логика дыма/призрачного свечения подтверждена Warhammer guides; цветовая цепочка адаптирована под реальную коллекцию.</x:v>
      </x:c>
    </x:row>
    <x:row r="212">
      <x:c r="A212" s="90" t="n">
        <x:v>208</x:v>
      </x:c>
      <x:c r="B212" s="390" t="str">
        <x:v>Кость и белый</x:v>
      </x:c>
      <x:c r="C212" s="390" t="str">
        <x:v>Полированный слоновый материал</x:v>
      </x:c>
      <x:c r="D212" s="89" t="str">
        <x:v>Тёплая кость + мягкие отражения</x:v>
      </x:c>
      <x:c r="E212" s="89" t="str">
        <x:v>Black Primer</x:v>
      </x:c>
      <x:c r="F212" s="89" t="str">
        <x:v>Rakarth Flesh</x:v>
      </x:c>
      <x:c r="G212" s="89" t="str">
        <x:v>Seraphim Sepia локально</x:v>
      </x:c>
      <x:c r="H212" s="89" t="str">
        <x:v>Screaming Skull</x:v>
      </x:c>
      <x:c r="I212" s="89" t="str">
        <x:v>Flayed One Flesh</x:v>
      </x:c>
      <x:c r="J212" s="89" t="str">
        <x:v>Pallid Wych Flesh</x:v>
      </x:c>
      <x:c r="K212" s="89" t="str">
        <x:v>White точечно</x:v>
      </x:c>
      <x:c r="L212" s="89" t="str">
        <x:v>Agrax Earthshade Gloss очень локально в глубоких резных линиях</x:v>
      </x:c>
      <x:c r="M212" s="89" t="str">
        <x:v>Satin Varnish</x:v>
      </x:c>
      <x:c r="N212" s="90" t="str">
        <x:v>Средняя</x:v>
      </x:c>
      <x:c r="O212" s="89" t="str">
        <x:v>Полированная кость светлее и чище старой кости, но не имеет столь резких белых отражений, как фарфор или стекло.</x:v>
      </x:c>
      <x:c r="P212" s="89" t="str">
        <x:v>Проверено — рабочая техника</x:v>
      </x:c>
      <x:c r="Q212" s="89" t="str">
        <x:v>Рецепт построен только на материалах коллекции и использует различие текстуры, прозрачности и финиша.</x:v>
      </x:c>
    </x:row>
    <x:row r="213">
      <x:c r="A213" s="90" t="n">
        <x:v>209</x:v>
      </x:c>
      <x:c r="B213" s="385" t="str">
        <x:v>Металлик</x:v>
      </x:c>
      <x:c r="C213" s="385" t="str">
        <x:v>Потускневшее серебро</x:v>
      </x:c>
      <x:c r="D213" s="89" t="str">
        <x:v>Холодные и тёплые загрязнения + яркий край</x:v>
      </x:c>
      <x:c r="E213" s="89" t="str">
        <x:v>Black Primer</x:v>
      </x:c>
      <x:c r="F213" s="89" t="str">
        <x:v>Iron Warriors</x:v>
      </x:c>
      <x:c r="G213" s="89" t="str">
        <x:v>Nuln Oil</x:v>
      </x:c>
      <x:c r="H213" s="89" t="str">
        <x:v>Agrax Earthshade локальными тёплыми пятнами</x:v>
      </x:c>
      <x:c r="I213" s="89" t="str">
        <x:v>Tyran Blue в холодных тенях</x:v>
      </x:c>
      <x:c r="J213" s="89" t="str">
        <x:v>Ironbreaker</x:v>
      </x:c>
      <x:c r="K213" s="89" t="str">
        <x:v>Vallejo Silver по острым и затёртым кромкам</x:v>
      </x:c>
      <x:c r="L213" s="89" t="str">
        <x:v>Серая Пейна по лаку в глубокие стыки</x:v>
      </x:c>
      <x:c r="M213" s="89" t="str">
        <x:v>Metal Varnish</x:v>
      </x:c>
      <x:c r="N213" s="90" t="str">
        <x:v>Средняя</x:v>
      </x:c>
      <x:c r="O213" s="89" t="str">
        <x:v>Металл может быть грязным и потускневшим, но яркие затёртые кромки должны сохранять его читаемость как серебра/стали.</x:v>
      </x:c>
      <x:c r="P213" s="89" t="str">
        <x:v>Проверено — рабочая техника</x:v>
      </x:c>
      <x:c r="Q213" s="89" t="str">
        <x:v>Рецепт построен только на материалах коллекции и использует различие текстуры, прозрачности и финиша.</x:v>
      </x:c>
    </x:row>
    <x:row r="214">
      <x:c r="A214" s="90" t="n">
        <x:v>210</x:v>
      </x:c>
      <x:c r="B214" s="382" t="str">
        <x:v>Лак и керамика</x:v>
      </x:c>
      <x:c r="C214" s="382" t="str">
        <x:v>Иридисцентный панцирь насекомого</x:v>
      </x:c>
      <x:c r="D214" s="89" t="str">
        <x:v>Чёрная база + цветные прозрачные переливы</x:v>
      </x:c>
      <x:c r="E214" s="89" t="str">
        <x:v>Black Primer</x:v>
      </x:c>
      <x:c r="F214" s="89" t="str">
        <x:v>Black Metallic или AK Black</x:v>
      </x:c>
      <x:c r="G214" s="89" t="str">
        <x:v>Akhelian Green + Contrast Medium 1:1 на одной стороне</x:v>
      </x:c>
      <x:c r="H214" s="89" t="str">
        <x:v>Luxion Purple + Contrast Medium 1:1 на противоположной</x:v>
      </x:c>
      <x:c r="I214" s="89" t="str">
        <x:v>Blue Ink тонким переходом</x:v>
      </x:c>
      <x:c r="J214" s="89" t="str">
        <x:v>Violet Ink тонким переходом</x:v>
      </x:c>
      <x:c r="K214" s="89" t="str">
        <x:v>Vallejo Silver на самых острых кромках</x:v>
      </x:c>
      <x:c r="L214" s="89" t="str">
        <x:v>Green или Magenta Fluorescent очень локально</x:v>
      </x:c>
      <x:c r="M214" s="89" t="str">
        <x:v>Gloss Varnish</x:v>
      </x:c>
      <x:c r="N214" s="90" t="str">
        <x:v>Высокая</x:v>
      </x:c>
      <x:c r="O214" s="89" t="str">
        <x:v>Перелив зависит от угла: цветовые зоны не обязаны совпадать с обычным высветлением. Чёрная база и глянец сохраняют глубину панциря.</x:v>
      </x:c>
      <x:c r="P214" s="89" t="str">
        <x:v>Авторская техника — тест отражений</x:v>
      </x:c>
      <x:c r="Q214" s="89" t="str">
        <x:v>Геометрия отражений и глянцевый лак создают материал; точное расположение бликов необходимо проверить под выбранным светом.</x:v>
      </x:c>
    </x:row>
    <x:row r="215">
      <x:c r="A215" s="90" t="n">
        <x:v>211</x:v>
      </x:c>
      <x:c r="B215" s="409" t="str">
        <x:v>Телесный</x:v>
      </x:c>
      <x:c r="C215" s="409" t="str">
        <x:v>Загорелая обветренная кожа</x:v>
      </x:c>
      <x:c r="D215" s="89" t="str">
        <x:v>Shade + контролируемые слои</x:v>
      </x:c>
      <x:c r="E215" s="89" t="str">
        <x:v>Настоящий грунт → Grey Seer</x:v>
      </x:c>
      <x:c r="F215" s="89" t="str">
        <x:v>Knight-Questor Flesh</x:v>
      </x:c>
      <x:c r="G215" s="89" t="str">
        <x:v>Targor Rageshade</x:v>
      </x:c>
      <x:c r="H215" s="89" t="str">
        <x:v>Cadian Fleshtone</x:v>
      </x:c>
      <x:c r="I215" s="89" t="str">
        <x:v>Flayed One Flesh</x:v>
      </x:c>
      <x:c r="J215" s="89" t="str">
        <x:v>Vallejo Pale Flesh</x:v>
      </x:c>
      <x:c r="K215" s="89" t="str">
        <x:v>Pallid Wych Flesh точечно</x:v>
      </x:c>
      <x:c r="L215" s="89" t="str">
        <x:v>Reikland Fleshshade 1:8 с Lahmian Medium на щёки и средние тона</x:v>
      </x:c>
      <x:c r="M215" s="89" t="str">
        <x:v>Matt Varnish</x:v>
      </x:c>
      <x:c r="N215" s="90" t="str">
        <x:v>Средняя</x:v>
      </x:c>
      <x:c r="O215" s="89" t="str">
        <x:v>Targor Rageshade официально рекомендован для загорелой и обветренной кожи. Светлые ступени оставлять только на лице, плечах и верхних мышцах.</x:v>
      </x:c>
      <x:c r="P215" s="89" t="str">
        <x:v>Внешний референс — адаптировано</x:v>
      </x:c>
      <x:c r="Q215" s="89" t="str">
        <x:v>Техника основана на официальном Warhammer/Vallejo guide; последовательность и оттенки заменены материалами из коллекции.</x:v>
      </x:c>
    </x:row>
    <x:row r="216">
      <x:c r="A216" s="90" t="n">
        <x:v>212</x:v>
      </x:c>
      <x:c r="B216" s="409" t="str">
        <x:v>Телесный</x:v>
      </x:c>
      <x:c r="C216" s="409" t="str">
        <x:v>Глубокая тёплая смуглая кожа</x:v>
      </x:c>
      <x:c r="D216" s="89" t="str">
        <x:v>Тёмная база + тёплые высветления</x:v>
      </x:c>
      <x:c r="E216" s="89" t="str">
        <x:v>Black Primer</x:v>
      </x:c>
      <x:c r="F216" s="89" t="str">
        <x:v>Rhinox Hide + Bugman's Glow 1:1</x:v>
      </x:c>
      <x:c r="G216" s="89" t="str">
        <x:v>Rhinox Hide в глубокие тени</x:v>
      </x:c>
      <x:c r="H216" s="89" t="str">
        <x:v>Bugman's Glow</x:v>
      </x:c>
      <x:c r="I216" s="89" t="str">
        <x:v>Knight-Questor Flesh</x:v>
      </x:c>
      <x:c r="J216" s="89" t="str">
        <x:v>Cadian Fleshtone</x:v>
      </x:c>
      <x:c r="K216" s="89" t="str">
        <x:v>Flayed One Flesh точечно</x:v>
      </x:c>
      <x:c r="L216" s="89" t="str">
        <x:v>AK Brown Rose 1:10 с Lahmian Medium для объединения</x:v>
      </x:c>
      <x:c r="M216" s="89" t="str">
        <x:v>Matt Varnish</x:v>
      </x:c>
      <x:c r="N216" s="90" t="str">
        <x:v>Высокая</x:v>
      </x:c>
      <x:c r="O216" s="89" t="str">
        <x:v>Тень остаётся красно-коричневой, а свет постепенно теплеет. Не добавлять белый непосредственно в Rhinox Hide — это быстро создаёт серо-меловой оттенок.</x:v>
      </x:c>
      <x:c r="P216" s="89" t="str">
        <x:v>Кожа — адаптация под палитру</x:v>
      </x:c>
      <x:c r="Q216" s="89" t="str">
        <x:v>Цепочка построена из имеющихся телесных, коричневых и цветных оттенков. Точная насыщенность андертона зависит от пропорций смеси.</x:v>
      </x:c>
    </x:row>
    <x:row r="217">
      <x:c r="A217" s="90" t="n">
        <x:v>213</x:v>
      </x:c>
      <x:c r="B217" s="409" t="str">
        <x:v>Телесный</x:v>
      </x:c>
      <x:c r="C217" s="409" t="str">
        <x:v>Глубокая холодная смуглая кожа</x:v>
      </x:c>
      <x:c r="D217" s="89" t="str">
        <x:v>Холодный андертон + тёплый свет</x:v>
      </x:c>
      <x:c r="E217" s="89" t="str">
        <x:v>Black Primer</x:v>
      </x:c>
      <x:c r="F217" s="89" t="str">
        <x:v>Rhinox Hide + AK Dark Prussian Blue 4:1</x:v>
      </x:c>
      <x:c r="G217" s="89" t="str">
        <x:v>AK Deep Brown в глубокие тени</x:v>
      </x:c>
      <x:c r="H217" s="89" t="str">
        <x:v>Rhinox Hide</x:v>
      </x:c>
      <x:c r="I217" s="89" t="str">
        <x:v>Bugman's Glow</x:v>
      </x:c>
      <x:c r="J217" s="89" t="str">
        <x:v>Bugman's Glow + Pale Flesh 2:1</x:v>
      </x:c>
      <x:c r="K217" s="89" t="str">
        <x:v>Pale Flesh точечно</x:v>
      </x:c>
      <x:c r="L217" s="89" t="str">
        <x:v>Серая Пейна после отверждённого Satin Varnish только в самых холодных тенях</x:v>
      </x:c>
      <x:c r="M217" s="89" t="str">
        <x:v>Matt Varnish после полного высыхания масла</x:v>
      </x:c>
      <x:c r="N217" s="90" t="str">
        <x:v>Высокая</x:v>
      </x:c>
      <x:c r="O217" s="89" t="str">
        <x:v>Синий компонент используется только для температуры теней. Лицо и верхние плоскости возвращаются к тёплым коричнево-телесным оттенкам.</x:v>
      </x:c>
      <x:c r="P217" s="89" t="str">
        <x:v>Кожа — адаптация под палитру</x:v>
      </x:c>
      <x:c r="Q217" s="89" t="str">
        <x:v>Цепочка построена из имеющихся телесных, коричневых и цветных оттенков. Точная насыщенность андертона зависит от пропорций смеси.</x:v>
      </x:c>
    </x:row>
    <x:row r="218">
      <x:c r="A218" s="90" t="n">
        <x:v>214</x:v>
      </x:c>
      <x:c r="B218" s="409" t="str">
        <x:v>Телесный</x:v>
      </x:c>
      <x:c r="C218" s="409" t="str">
        <x:v>Оливковая кожа</x:v>
      </x:c>
      <x:c r="D218" s="89" t="str">
        <x:v>Приглушённый зелёный андертон</x:v>
      </x:c>
      <x:c r="E218" s="89" t="str">
        <x:v>Настоящий грунт → Grey Seer</x:v>
      </x:c>
      <x:c r="F218" s="89" t="str">
        <x:v>Vallejo Heavy Skintone + Death Guard Green 3:1</x:v>
      </x:c>
      <x:c r="G218" s="89" t="str">
        <x:v>Targor Rageshade</x:v>
      </x:c>
      <x:c r="H218" s="89" t="str">
        <x:v>Vallejo Heavy Skintone</x:v>
      </x:c>
      <x:c r="I218" s="89" t="str">
        <x:v>Cadian Fleshtone</x:v>
      </x:c>
      <x:c r="J218" s="89" t="str">
        <x:v>Flayed One Flesh</x:v>
      </x:c>
      <x:c r="K218" s="89" t="str">
        <x:v>Vallejo Pale Flesh точечно</x:v>
      </x:c>
      <x:c r="L218" s="89" t="str">
        <x:v>Guilliman Flesh 1:8 с Contrast Medium для объединения</x:v>
      </x:c>
      <x:c r="M218" s="89" t="str">
        <x:v>Matt Varnish</x:v>
      </x:c>
      <x:c r="N218" s="90" t="str">
        <x:v>Высокая</x:v>
      </x:c>
      <x:c r="O218" s="89" t="str">
        <x:v>Зелёный должен лишь приглушить базу. Чистый Death Guard Green не наносится на лицо отдельным слоем.</x:v>
      </x:c>
      <x:c r="P218" s="89" t="str">
        <x:v>Кожа — адаптация под палитру</x:v>
      </x:c>
      <x:c r="Q218" s="89" t="str">
        <x:v>Цепочка построена из имеющихся телесных, коричневых и цветных оттенков. Точная насыщенность андертона зависит от пропорций смеси.</x:v>
      </x:c>
    </x:row>
    <x:row r="219">
      <x:c r="A219" s="90" t="n">
        <x:v>215</x:v>
      </x:c>
      <x:c r="B219" s="409" t="str">
        <x:v>Телесный</x:v>
      </x:c>
      <x:c r="C219" s="409" t="str">
        <x:v>Розоватая бледная кожа</x:v>
      </x:c>
      <x:c r="D219" s="89" t="str">
        <x:v>Холодно-розовая база + светлые слои</x:v>
      </x:c>
      <x:c r="E219" s="89" t="str">
        <x:v>Настоящий грунт → Grey Seer</x:v>
      </x:c>
      <x:c r="F219" s="89" t="str">
        <x:v>Rakarth Flesh + AK Sickly Pink 2:1</x:v>
      </x:c>
      <x:c r="G219" s="89" t="str">
        <x:v>Reikland Fleshshade локально</x:v>
      </x:c>
      <x:c r="H219" s="89" t="str">
        <x:v>Vallejo Pale Flesh</x:v>
      </x:c>
      <x:c r="I219" s="89" t="str">
        <x:v>Pallid Wych Flesh</x:v>
      </x:c>
      <x:c r="J219" s="89" t="str">
        <x:v>White Grey</x:v>
      </x:c>
      <x:c r="K219" s="89" t="str">
        <x:v>White точечно</x:v>
      </x:c>
      <x:c r="L219" s="89" t="str">
        <x:v>Carroburg Crimson 1:12 с Lahmian Medium на щёки, уши и губы</x:v>
      </x:c>
      <x:c r="M219" s="89" t="str">
        <x:v>Matt Varnish</x:v>
      </x:c>
      <x:c r="N219" s="90" t="str">
        <x:v>Средняя</x:v>
      </x:c>
      <x:c r="O219" s="89" t="str">
        <x:v>Розовый андертон остаётся в средней зоне, а не покрывает всё лицо. Carroburg Crimson применять почти незаметными лессировками.</x:v>
      </x:c>
      <x:c r="P219" s="89" t="str">
        <x:v>Кожа — адаптация под палитру</x:v>
      </x:c>
      <x:c r="Q219" s="89" t="str">
        <x:v>Цепочка построена из имеющихся телесных, коричневых и цветных оттенков. Точная насыщенность андертона зависит от пропорций смеси.</x:v>
      </x:c>
    </x:row>
    <x:row r="220">
      <x:c r="A220" s="90" t="n">
        <x:v>216</x:v>
      </x:c>
      <x:c r="B220" s="409" t="str">
        <x:v>Телесный</x:v>
      </x:c>
      <x:c r="C220" s="409" t="str">
        <x:v>Желтоватая болезненная кожа</x:v>
      </x:c>
      <x:c r="D220" s="89" t="str">
        <x:v>Серо-жёлтая база + холодные тени</x:v>
      </x:c>
      <x:c r="E220" s="89" t="str">
        <x:v>Настоящий грунт → Grey Seer</x:v>
      </x:c>
      <x:c r="F220" s="89" t="str">
        <x:v>Heavy Warmgrey + Plaguebearer Flesh 2:1</x:v>
      </x:c>
      <x:c r="G220" s="89" t="str">
        <x:v>Targor Rageshade</x:v>
      </x:c>
      <x:c r="H220" s="89" t="str">
        <x:v>Deepkin Flesh</x:v>
      </x:c>
      <x:c r="I220" s="89" t="str">
        <x:v>Vallejo Pale Flesh</x:v>
      </x:c>
      <x:c r="J220" s="89" t="str">
        <x:v>Pallid Wych Flesh</x:v>
      </x:c>
      <x:c r="K220" s="89" t="str">
        <x:v>White точечно</x:v>
      </x:c>
      <x:c r="L220" s="89" t="str">
        <x:v>Plaguebearer Flesh 1:8 с Contrast Medium на средние тона</x:v>
      </x:c>
      <x:c r="M220" s="89" t="str">
        <x:v>Matt Varnish</x:v>
      </x:c>
      <x:c r="N220" s="90" t="str">
        <x:v>Средняя</x:v>
      </x:c>
      <x:c r="O220" s="89" t="str">
        <x:v>Жёлто-зелёный оттенок должен оставаться под светлой плотью. Подходит для больных, истощённых и подвергшихся воздействию токсинов персонажей.</x:v>
      </x:c>
      <x:c r="P220" s="89" t="str">
        <x:v>Кожа — адаптация под палитру</x:v>
      </x:c>
      <x:c r="Q220" s="89" t="str">
        <x:v>Цепочка построена из имеющихся телесных, коричневых и цветных оттенков. Точная насыщенность андертона зависит от пропорций смеси.</x:v>
      </x:c>
    </x:row>
    <x:row r="221">
      <x:c r="A221" s="90" t="n">
        <x:v>217</x:v>
      </x:c>
      <x:c r="B221" s="410" t="str">
        <x:v>Лицо и глаза</x:v>
      </x:c>
      <x:c r="C221" s="410" t="str">
        <x:v>Подкожные вены на бледной коже</x:v>
      </x:c>
      <x:c r="D221" s="89" t="str">
        <x:v>Сверхтонкая лессировка</x:v>
      </x:c>
      <x:c r="E221" s="89" t="str">
        <x:v>Полностью окрашенная бледная кожа</x:v>
      </x:c>
      <x:c r="F221" s="89" t="str">
        <x:v>Blue Ink 1:15–1:20 с Lahmian Medium</x:v>
      </x:c>
      <x:c r="G221" s="89" t="str">
        <x:v>—</x:v>
      </x:c>
      <x:c r="H221" s="89" t="str">
        <x:v>Нарисовать тонкие разветвлённые линии</x:v>
      </x:c>
      <x:c r="I221" s="89" t="str">
        <x:v>Вернуть Pale Flesh очень прозрачным слоем поверх вен</x:v>
      </x:c>
      <x:c r="J221" s="89" t="str">
        <x:v>Pallid Wych Flesh на окружающие света</x:v>
      </x:c>
      <x:c r="K221" s="89" t="str">
        <x:v>—</x:v>
      </x:c>
      <x:c r="L221" s="89" t="str">
        <x:v>Dreadful Visage 1:10 с Contrast Medium при необходимости</x:v>
      </x:c>
      <x:c r="M221" s="89" t="str">
        <x:v>Matt Varnish</x:v>
      </x:c>
      <x:c r="N221" s="90" t="str">
        <x:v>Высокая</x:v>
      </x:c>
      <x:c r="O221" s="89" t="str">
        <x:v>Вена должна выглядеть находящейся под кожей: синюю линию обязательно частично перекрыть телесной глазурью.</x:v>
      </x:c>
      <x:c r="P221" s="89" t="str">
        <x:v>Кожа — адаптация под палитру</x:v>
      </x:c>
      <x:c r="Q221" s="89" t="str">
        <x:v>Цепочка построена из имеющихся телесных, коричневых и цветных оттенков. Точная насыщенность андертона зависит от пропорций смеси.</x:v>
      </x:c>
    </x:row>
    <x:row r="222">
      <x:c r="A222" s="90" t="n">
        <x:v>218</x:v>
      </x:c>
      <x:c r="B222" s="410" t="str">
        <x:v>Лицо и глаза</x:v>
      </x:c>
      <x:c r="C222" s="410" t="str">
        <x:v>Синяя татуировка под кожей</x:v>
      </x:c>
      <x:c r="D222" s="89" t="str">
        <x:v>Freehand + телесная глазурь</x:v>
      </x:c>
      <x:c r="E222" s="89" t="str">
        <x:v>Полностью окрашенная кожа</x:v>
      </x:c>
      <x:c r="F222" s="89" t="str">
        <x:v>AK Dark Prussian Blue + AK Black 2:1</x:v>
      </x:c>
      <x:c r="G222" s="89" t="str">
        <x:v>—</x:v>
      </x:c>
      <x:c r="H222" s="89" t="str">
        <x:v>Нарисовать основной узор очень тонкой кистью</x:v>
      </x:c>
      <x:c r="I222" s="89" t="str">
        <x:v>Blue Ink 1:12 с Lahmian Medium усилить отдельные участки</x:v>
      </x:c>
      <x:c r="J222" s="89" t="str">
        <x:v>Основной телесный тон 1:8 с Lahmian Medium поверх татуировки</x:v>
      </x:c>
      <x:c r="K222" s="89" t="str">
        <x:v>Pale Flesh вернуть на пересекающие узор света</x:v>
      </x:c>
      <x:c r="L222" s="89" t="str">
        <x:v>—</x:v>
      </x:c>
      <x:c r="M222" s="89" t="str">
        <x:v>Matt Varnish</x:v>
      </x:c>
      <x:c r="N222" s="90" t="str">
        <x:v>Высокая</x:v>
      </x:c>
      <x:c r="O222" s="89" t="str">
        <x:v>Татуировка становится естественнее после полупрозрачного слоя кожи. Узор не должен сохранять одинаковую насыщенность на свету и в тени.</x:v>
      </x:c>
      <x:c r="P222" s="89" t="str">
        <x:v>Кожа — адаптация под палитру</x:v>
      </x:c>
      <x:c r="Q222" s="89" t="str">
        <x:v>Цепочка построена из имеющихся телесных, коричневых и цветных оттенков. Точная насыщенность андертона зависит от пропорций смеси.</x:v>
      </x:c>
    </x:row>
    <x:row r="223">
      <x:c r="A223" s="90" t="n">
        <x:v>219</x:v>
      </x:c>
      <x:c r="B223" s="410" t="str">
        <x:v>Лицо и глаза</x:v>
      </x:c>
      <x:c r="C223" s="410" t="str">
        <x:v>Старый заживший шрам</x:v>
      </x:c>
      <x:c r="D223" s="89" t="str">
        <x:v>Светлая линия + холодно-красная окантовка</x:v>
      </x:c>
      <x:c r="E223" s="89" t="str">
        <x:v>Полностью окрашенная кожа</x:v>
      </x:c>
      <x:c r="F223" s="89" t="str">
        <x:v>Rakarth Flesh или Pallid Wych Flesh тонкой линией</x:v>
      </x:c>
      <x:c r="G223" s="89" t="str">
        <x:v>Carroburg Crimson 1:12 с Lahmian Medium по сторонам</x:v>
      </x:c>
      <x:c r="H223" s="89" t="str">
        <x:v>Основной телесный тон частично перекрыть края</x:v>
      </x:c>
      <x:c r="I223" s="89" t="str">
        <x:v>Pale Flesh по наиболее выпуклой части</x:v>
      </x:c>
      <x:c r="J223" s="89" t="str">
        <x:v>—</x:v>
      </x:c>
      <x:c r="K223" s="89" t="str">
        <x:v>—</x:v>
      </x:c>
      <x:c r="L223" s="89" t="str">
        <x:v>Targor Rageshade очень локально в глубоких рубцах</x:v>
      </x:c>
      <x:c r="M223" s="89" t="str">
        <x:v>Matt Varnish</x:v>
      </x:c>
      <x:c r="N223" s="90" t="str">
        <x:v>Средняя</x:v>
      </x:c>
      <x:c r="O223" s="89" t="str">
        <x:v>Старый шрам обычно светлее окружающей кожи и менее насыщенно-красный, чем свежая рана.</x:v>
      </x:c>
      <x:c r="P223" s="89" t="str">
        <x:v>Кожа — адаптация под палитру</x:v>
      </x:c>
      <x:c r="Q223" s="89" t="str">
        <x:v>Цепочка построена из имеющихся телесных, коричневых и цветных оттенков. Точная насыщенность андертона зависит от пропорций смеси.</x:v>
      </x:c>
    </x:row>
    <x:row r="224">
      <x:c r="A224" s="90" t="n">
        <x:v>220</x:v>
      </x:c>
      <x:c r="B224" s="410" t="str">
        <x:v>Лицо и глаза</x:v>
      </x:c>
      <x:c r="C224" s="410" t="str">
        <x:v>Свежий воспалённый шрам</x:v>
      </x:c>
      <x:c r="D224" s="89" t="str">
        <x:v>Розовая линия + красная глубина</x:v>
      </x:c>
      <x:c r="E224" s="89" t="str">
        <x:v>Полностью окрашенная кожа</x:v>
      </x:c>
      <x:c r="F224" s="89" t="str">
        <x:v>AK Sickly Pink тонкой линией</x:v>
      </x:c>
      <x:c r="G224" s="89" t="str">
        <x:v>Carroburg Crimson по углублению</x:v>
      </x:c>
      <x:c r="H224" s="89" t="str">
        <x:v>Pink Horror на выпуклой стороне</x:v>
      </x:c>
      <x:c r="I224" s="89" t="str">
        <x:v>Vallejo Pale Flesh узко по краю</x:v>
      </x:c>
      <x:c r="J224" s="89" t="str">
        <x:v>White микроточкой при влажном эффекте</x:v>
      </x:c>
      <x:c r="K224" s="89" t="str">
        <x:v>—</x:v>
      </x:c>
      <x:c r="L224" s="89" t="str">
        <x:v>Blood Effect только в открытой части повреждения</x:v>
      </x:c>
      <x:c r="M224" s="89" t="str">
        <x:v>Matt Varnish; открытая часть локально Gloss</x:v>
      </x:c>
      <x:c r="N224" s="90" t="str">
        <x:v>Средняя</x:v>
      </x:c>
      <x:c r="O224" s="89" t="str">
        <x:v>Не превращать весь шрам в ярко-красную полосу: красный остаётся в глубине и вокруг свежего раздражения.</x:v>
      </x:c>
      <x:c r="P224" s="89" t="str">
        <x:v>Кожа — адаптация под палитру</x:v>
      </x:c>
      <x:c r="Q224" s="89" t="str">
        <x:v>Цепочка построена из имеющихся телесных, коричневых и цветных оттенков. Точная насыщенность андертона зависит от пропорций смеси.</x:v>
      </x:c>
    </x:row>
    <x:row r="225">
      <x:c r="A225" s="90" t="n">
        <x:v>221</x:v>
      </x:c>
      <x:c r="B225" s="411" t="str">
        <x:v>Freehand и маркировка</x:v>
      </x:c>
      <x:c r="C225" s="411" t="str">
        <x:v>Ровная полоса на броне</x:v>
      </x:c>
      <x:c r="D225" s="89" t="str">
        <x:v>Маскирование + коррекция</x:v>
      </x:c>
      <x:c r="E225" s="89" t="str">
        <x:v>Полностью высохшая базовая броня</x:v>
      </x:c>
      <x:c r="F225" s="89" t="str">
        <x:v>White Grey тонким направляющим слоем</x:v>
      </x:c>
      <x:c r="G225" s="89" t="str">
        <x:v>—</x:v>
      </x:c>
      <x:c r="H225" s="89" t="str">
        <x:v>Маска по обеим сторонам полосы</x:v>
      </x:c>
      <x:c r="I225" s="89" t="str">
        <x:v>Выбранный непрозрачный цвет 2–3 тонкими слоями</x:v>
      </x:c>
      <x:c r="J225" s="89" t="str">
        <x:v>Светлый вариант цвета по верхней стороне</x:v>
      </x:c>
      <x:c r="K225" s="89" t="str">
        <x:v>Точечный блик</x:v>
      </x:c>
      <x:c r="L225" s="89" t="str">
        <x:v>Исходным цветом брони исправить края</x:v>
      </x:c>
      <x:c r="M225" s="89" t="str">
        <x:v>Выбранный финальный лак</x:v>
      </x:c>
      <x:c r="N225" s="90" t="str">
        <x:v>Средняя</x:v>
      </x:c>
      <x:c r="O225" s="89" t="str">
        <x:v>Первый проход вдоль маски должен быть почти сухим. Это запечатывает край и уменьшает затекание последующих слоёв.</x:v>
      </x:c>
      <x:c r="P225" s="89" t="str">
        <x:v>Инструментальная техника — тест</x:v>
      </x:c>
      <x:c r="Q225" s="89" t="str">
        <x:v>Результат зависит от маскирования, прозрачности слоя или времени высыхания. Обязателен тест на отдельной панели/подставке.</x:v>
      </x:c>
    </x:row>
    <x:row r="226">
      <x:c r="A226" s="90" t="n">
        <x:v>222</x:v>
      </x:c>
      <x:c r="B226" s="411" t="str">
        <x:v>Freehand и маркировка</x:v>
      </x:c>
      <x:c r="C226" s="411" t="str">
        <x:v>Жёлто-чёрные предупреждающие полосы</x:v>
      </x:c>
      <x:c r="D226" s="89" t="str">
        <x:v>Светлая база + маскирование</x:v>
      </x:c>
      <x:c r="E226" s="89" t="str">
        <x:v>Настоящий грунт → White или Grey Seer</x:v>
      </x:c>
      <x:c r="F226" s="89" t="str">
        <x:v>AK Yellow</x:v>
      </x:c>
      <x:c r="G226" s="89" t="str">
        <x:v>AK Dirty Yellow по нижней стороне</x:v>
      </x:c>
      <x:c r="H226" s="89" t="str">
        <x:v>Pale Sand на верхней стороне</x:v>
      </x:c>
      <x:c r="I226" s="89" t="str">
        <x:v>Полностью высушить и замаскировать жёлтые полосы</x:v>
      </x:c>
      <x:c r="J226" s="89" t="str">
        <x:v>AK Black</x:v>
      </x:c>
      <x:c r="K226" s="89" t="str">
        <x:v>Eshin Grey по верхним краям чёрных полос</x:v>
      </x:c>
      <x:c r="L226" s="89" t="str">
        <x:v>Baneblade Brown и Iron Warriors локальными сколами</x:v>
      </x:c>
      <x:c r="M226" s="89" t="str">
        <x:v>Matt или Satin Varnish</x:v>
      </x:c>
      <x:c r="N226" s="90" t="str">
        <x:v>Высокая</x:v>
      </x:c>
      <x:c r="O226" s="89" t="str">
        <x:v>Сначала красить жёлтый, затем чёрный. Исправлять край проще жёлтой базой, чем пытаться перекрыть чёрный прозрачным жёлтым.</x:v>
      </x:c>
      <x:c r="P226" s="89" t="str">
        <x:v>Инструментальная техника — тест</x:v>
      </x:c>
      <x:c r="Q226" s="89" t="str">
        <x:v>Результат зависит от маскирования, прозрачности слоя или времени высыхания. Обязателен тест на отдельной панели/подставке.</x:v>
      </x:c>
    </x:row>
    <x:row r="227">
      <x:c r="A227" s="90" t="n">
        <x:v>223</x:v>
      </x:c>
      <x:c r="B227" s="411" t="str">
        <x:v>Freehand и маркировка</x:v>
      </x:c>
      <x:c r="C227" s="411" t="str">
        <x:v>Чёрно-белая шахматная клетка</x:v>
      </x:c>
      <x:c r="D227" s="89" t="str">
        <x:v>Шаблон → заполнение → коррекция</x:v>
      </x:c>
      <x:c r="E227" s="89" t="str">
        <x:v>Grey Seer или White Grey</x:v>
      </x:c>
      <x:c r="F227" s="89" t="str">
        <x:v>White Grey</x:v>
      </x:c>
      <x:c r="G227" s="89" t="str">
        <x:v>—</x:v>
      </x:c>
      <x:c r="H227" s="89" t="str">
        <x:v>Тонкой разбавленной линией AK Medium Grey построить сетку</x:v>
      </x:c>
      <x:c r="I227" s="89" t="str">
        <x:v>Заполнить чередующиеся клетки AK Black</x:v>
      </x:c>
      <x:c r="J227" s="89" t="str">
        <x:v>White исправить светлые клетки</x:v>
      </x:c>
      <x:c r="K227" s="89" t="str">
        <x:v>White и Eshin Grey точечно по свету</x:v>
      </x:c>
      <x:c r="L227" s="89" t="str">
        <x:v>Исходными цветами исправить границы</x:v>
      </x:c>
      <x:c r="M227" s="89" t="str">
        <x:v>Matt или Satin Varnish</x:v>
      </x:c>
      <x:c r="N227" s="90" t="str">
        <x:v>Высокая</x:v>
      </x:c>
      <x:c r="O227" s="89" t="str">
        <x:v>Официальная рекомендация для freehand: сначала создать шаблон, затем заполнять его цветами и терпеливо исправлять ошибки.</x:v>
      </x:c>
      <x:c r="P227" s="89" t="str">
        <x:v>Внешний референс — адаптировано</x:v>
      </x:c>
      <x:c r="Q227" s="89" t="str">
        <x:v>Техника основана на официальном Warhammer/Vallejo guide; последовательность и оттенки заменены материалами из коллекции.</x:v>
      </x:c>
    </x:row>
    <x:row r="228">
      <x:c r="A228" s="90" t="n">
        <x:v>224</x:v>
      </x:c>
      <x:c r="B228" s="411" t="str">
        <x:v>Freehand и маркировка</x:v>
      </x:c>
      <x:c r="C228" s="411" t="str">
        <x:v>Четвертованная красно-белая геральдика</x:v>
      </x:c>
      <x:c r="D228" s="89" t="str">
        <x:v>Разделение панели на четыре поля</x:v>
      </x:c>
      <x:c r="E228" s="89" t="str">
        <x:v>Настоящий грунт → Grey Seer</x:v>
      </x:c>
      <x:c r="F228" s="89" t="str">
        <x:v>White Grey на всей панели</x:v>
      </x:c>
      <x:c r="G228" s="89" t="str">
        <x:v>Dark Reaper очень локально в белых тенях</x:v>
      </x:c>
      <x:c r="H228" s="89" t="str">
        <x:v>Тонкими линиями разделить панель на четыре части</x:v>
      </x:c>
      <x:c r="I228" s="89" t="str">
        <x:v>AK Blood Red заполнить две диагональные четверти</x:v>
      </x:c>
      <x:c r="J228" s="89" t="str">
        <x:v>Evil Sunz Scarlet и White высветлить соответствующие поля</x:v>
      </x:c>
      <x:c r="K228" s="89" t="str">
        <x:v>Corvus Black тонко восстановить центральное разделение при необходимости</x:v>
      </x:c>
      <x:c r="L228" s="89" t="str">
        <x:v>Satin Varnish</x:v>
      </x:c>
      <x:c r="M228" s="89" t="str">
        <x:v>Высокая</x:v>
      </x:c>
      <x:c r="N228" s="90" t="str">
        <x:v>Сначала создаётся геометрический шаблон, затем поля заполняются поочерёдно. Симметрия важнее идеальной толщины первой линии.</x:v>
      </x:c>
      <x:c r="O228" s="89"/>
      <x:c r="P228" s="89" t="str">
        <x:v>Внешний референс — адаптировано</x:v>
      </x:c>
      <x:c r="Q228" s="89" t="str">
        <x:v>Техника основана на официальном Warhammer/Vallejo guide; последовательность и оттенки заменены материалами из коллекции.</x:v>
      </x:c>
    </x:row>
    <x:row r="229">
      <x:c r="A229" s="90" t="n">
        <x:v>225</x:v>
      </x:c>
      <x:c r="B229" s="411" t="str">
        <x:v>Freehand и маркировка</x:v>
      </x:c>
      <x:c r="C229" s="411" t="str">
        <x:v>Молнии Night Lords</x:v>
      </x:c>
      <x:c r="D229" s="89" t="str">
        <x:v>Разветвлённый freehand</x:v>
      </x:c>
      <x:c r="E229" s="89" t="str">
        <x:v>Готовая тёмно-синяя броня</x:v>
      </x:c>
      <x:c r="F229" s="89" t="str">
        <x:v>AK Dark Prussian Blue или Leviadon Blue в зоне узора</x:v>
      </x:c>
      <x:c r="G229" s="89" t="str">
        <x:v>—</x:v>
      </x:c>
      <x:c r="H229" s="89" t="str">
        <x:v>Lothern Blue тонкой ломаной линией</x:v>
      </x:c>
      <x:c r="I229" s="89" t="str">
        <x:v>Baharroth Blue более короткой линией внутри</x:v>
      </x:c>
      <x:c r="J229" s="89" t="str">
        <x:v>White Grey в отдельных центральных сегментах</x:v>
      </x:c>
      <x:c r="K229" s="89" t="str">
        <x:v>White точками в местах разветвления</x:v>
      </x:c>
      <x:c r="L229" s="89" t="str">
        <x:v>Blue Ink 1:10 с Lahmian Medium вокруг части молний</x:v>
      </x:c>
      <x:c r="M229" s="89" t="str">
        <x:v>Matt или Satin Varnish</x:v>
      </x:c>
      <x:c r="N229" s="90" t="str">
        <x:v>Высокая</x:v>
      </x:c>
      <x:c r="O229" s="89" t="str">
        <x:v>Основная линия ломается и разветвляется; внутренние светлые линии короче. Не рисовать параллельные плавные волны.</x:v>
      </x:c>
      <x:c r="P229" s="89" t="str">
        <x:v>Внешний референс — адаптировано</x:v>
      </x:c>
      <x:c r="Q229" s="89" t="str">
        <x:v>Техника основана на официальном Warhammer/Vallejo guide; последовательность и оттенки заменены материалами из коллекции.</x:v>
      </x:c>
    </x:row>
    <x:row r="230">
      <x:c r="A230" s="90" t="n">
        <x:v>226</x:v>
      </x:c>
      <x:c r="B230" s="411" t="str">
        <x:v>Freehand и маркировка</x:v>
      </x:c>
      <x:c r="C230" s="411" t="str">
        <x:v>Светящиеся зелёные руны</x:v>
      </x:c>
      <x:c r="D230" s="89" t="str">
        <x:v>Белый freehand + прозрачное свечение</x:v>
      </x:c>
      <x:c r="E230" s="89" t="str">
        <x:v>Готовая тёмная поверхность</x:v>
      </x:c>
      <x:c r="F230" s="89" t="str">
        <x:v>White Grey тонко нарисовать руны</x:v>
      </x:c>
      <x:c r="G230" s="89" t="str">
        <x:v>Warp Lightning 1:3 с Contrast Medium вокруг символов</x:v>
      </x:c>
      <x:c r="H230" s="89" t="str">
        <x:v>Moot Green восстановить линии</x:v>
      </x:c>
      <x:c r="I230" s="89" t="str">
        <x:v>Moot Green + White 1:1</x:v>
      </x:c>
      <x:c r="J230" s="89" t="str">
        <x:v>Green Fluorescent</x:v>
      </x:c>
      <x:c r="K230" s="89" t="str">
        <x:v>White в центре пересечений</x:v>
      </x:c>
      <x:c r="L230" s="89" t="str">
        <x:v>Warp Lightning 1:8 с Contrast Medium как внешний ореол</x:v>
      </x:c>
      <x:c r="M230" s="89" t="str">
        <x:v>Satin Varnish</x:v>
      </x:c>
      <x:c r="N230" s="90" t="str">
        <x:v>Высокая</x:v>
      </x:c>
      <x:c r="O230" s="89" t="str">
        <x:v>Сначала рисуется светлая графика, затем прозрачный ореол. Символ должен оставаться резче и светлее окружающего свечения.</x:v>
      </x:c>
      <x:c r="P230" s="89" t="str">
        <x:v>Проверено — рабочая техника</x:v>
      </x:c>
      <x:c r="Q230" s="89" t="str">
        <x:v>Рецепт использует только реальные материалы коллекции и следует устойчивой логике freehand, направленного загрязнения или повреждения.</x:v>
      </x:c>
    </x:row>
    <x:row r="231">
      <x:c r="A231" s="90" t="n">
        <x:v>227</x:v>
      </x:c>
      <x:c r="B231" s="411" t="str">
        <x:v>Freehand и маркировка</x:v>
      </x:c>
      <x:c r="C231" s="411" t="str">
        <x:v>Светлые письмена и боевые почести</x:v>
      </x:c>
      <x:c r="D231" s="89" t="str">
        <x:v>Тонкая линия на матовой панели</x:v>
      </x:c>
      <x:c r="E231" s="89" t="str">
        <x:v>Полностью окрашенная панель</x:v>
      </x:c>
      <x:c r="F231" s="89" t="str">
        <x:v>Karak Stone или White Grey</x:v>
      </x:c>
      <x:c r="G231" s="89" t="str">
        <x:v>—</x:v>
      </x:c>
      <x:c r="H231" s="89" t="str">
        <x:v>Писать короткими штрихами, а не непрерывным движением</x:v>
      </x:c>
      <x:c r="I231" s="89" t="str">
        <x:v>Pale Sand выделить отдельные крупные символы</x:v>
      </x:c>
      <x:c r="J231" s="89" t="str">
        <x:v>White микроточками на фокусных элементах</x:v>
      </x:c>
      <x:c r="K231" s="89" t="str">
        <x:v>—</x:v>
      </x:c>
      <x:c r="L231" s="89" t="str">
        <x:v>Исходным цветом панели уменьшить слишком толстые линии</x:v>
      </x:c>
      <x:c r="M231" s="89" t="str">
        <x:v>Matt или Satin Varnish</x:v>
      </x:c>
      <x:c r="N231" s="90" t="str">
        <x:v>Высокая</x:v>
      </x:c>
      <x:c r="O231" s="89" t="str">
        <x:v>На малом масштабе важнее ритм строк и повторяемая высота знаков, чем буквальная читаемость текста.</x:v>
      </x:c>
      <x:c r="P231" s="89" t="str">
        <x:v>Проверено — рабочая техника</x:v>
      </x:c>
      <x:c r="Q231" s="89" t="str">
        <x:v>Рецепт использует только реальные материалы коллекции и следует устойчивой логике freehand, направленного загрязнения или повреждения.</x:v>
      </x:c>
    </x:row>
    <x:row r="232">
      <x:c r="A232" s="90" t="n">
        <x:v>228</x:v>
      </x:c>
      <x:c r="B232" s="411" t="str">
        <x:v>Freehand и маркировка</x:v>
      </x:c>
      <x:c r="C232" s="411" t="str">
        <x:v>Изношенная геральдика</x:v>
      </x:c>
      <x:c r="D232" s="89" t="str">
        <x:v>Готовый узор + сколы и фильтр</x:v>
      </x:c>
      <x:c r="E232" s="89" t="str">
        <x:v>Завершённая маркировка</x:v>
      </x:c>
      <x:c r="F232" s="89" t="str">
        <x:v>Цветом основной брони нанести мелкие сколы губкой</x:v>
      </x:c>
      <x:c r="G232" s="89" t="str">
        <x:v>AK Deep Brown внутрь части сколов</x:v>
      </x:c>
      <x:c r="H232" s="89" t="str">
        <x:v>Iron Warriors в самых глубоких местах</x:v>
      </x:c>
      <x:c r="I232" s="89" t="str">
        <x:v>Pale Sand или White Grey по нижней кромке крупных повреждений</x:v>
      </x:c>
      <x:c r="J232" s="89" t="str">
        <x:v>—</x:v>
      </x:c>
      <x:c r="K232" s="89" t="str">
        <x:v>—</x:v>
      </x:c>
      <x:c r="L232" s="89" t="str">
        <x:v>Умбра жжёная или Agrax Earthshade очень локально вокруг креплений</x:v>
      </x:c>
      <x:c r="M232" s="89" t="str">
        <x:v>Matt или Satin Varnish</x:v>
      </x:c>
      <x:c r="N232" s="90" t="str">
        <x:v>Средняя</x:v>
      </x:c>
      <x:c r="O232" s="89" t="str">
        <x:v>Сначала полностью завершить и высветлить узор, затем повреждать его. Иначе маркировка будет выглядеть нанесённой поверх сколов.</x:v>
      </x:c>
      <x:c r="P232" s="89" t="str">
        <x:v>Проверено — рабочая техника</x:v>
      </x:c>
      <x:c r="Q232" s="89" t="str">
        <x:v>Рецепт использует только реальные материалы коллекции и следует устойчивой логике freehand, направленного загрязнения или повреждения.</x:v>
      </x:c>
    </x:row>
    <x:row r="233">
      <x:c r="A233" s="90" t="n">
        <x:v>229</x:v>
      </x:c>
      <x:c r="B233" s="411" t="str">
        <x:v>Freehand и маркировка</x:v>
      </x:c>
      <x:c r="C233" s="411" t="str">
        <x:v>Номер или знак через самодельный трафарет</x:v>
      </x:c>
      <x:c r="D233" s="89" t="str">
        <x:v>Трафарет + аэрограф</x:v>
      </x:c>
      <x:c r="E233" s="89" t="str">
        <x:v>Полностью высохшая панель</x:v>
      </x:c>
      <x:c r="F233" s="89" t="str">
        <x:v>Тонкий слой Satin Varnish по желанию</x:v>
      </x:c>
      <x:c r="G233" s="89" t="str">
        <x:v>—</x:v>
      </x:c>
      <x:c r="H233" s="89" t="str">
        <x:v>Закрепить трафарет максимально близко к поверхности</x:v>
      </x:c>
      <x:c r="I233" s="89" t="str">
        <x:v>White Grey, AK Yellow или AK Blood Red несколькими почти сухими проходами</x:v>
      </x:c>
      <x:c r="J233" s="89" t="str">
        <x:v>Светлый оттенок локально сверху</x:v>
      </x:c>
      <x:c r="K233" s="89" t="str">
        <x:v>—</x:v>
      </x:c>
      <x:c r="L233" s="89" t="str">
        <x:v>Исходным цветом панели исправить overspray</x:v>
      </x:c>
      <x:c r="M233" s="89" t="str">
        <x:v>Matt или Satin Varnish</x:v>
      </x:c>
      <x:c r="N233" s="90" t="str">
        <x:v>Средняя</x:v>
      </x:c>
      <x:c r="O233" s="89" t="str">
        <x:v>Низкая подача краски и перпендикулярное распыление уменьшают расплывчатый край. Не пытаться получить укрывистость одним мокрым проходом.</x:v>
      </x:c>
      <x:c r="P233" s="89" t="str">
        <x:v>Инструментальная техника — тест</x:v>
      </x:c>
      <x:c r="Q233" s="89" t="str">
        <x:v>Результат зависит от маскирования, прозрачности слоя или времени высыхания. Обязателен тест на отдельной панели/подставке.</x:v>
      </x:c>
    </x:row>
    <x:row r="234">
      <x:c r="A234" s="90" t="n">
        <x:v>230</x:v>
      </x:c>
      <x:c r="B234" s="411" t="str">
        <x:v>Freehand и маркировка</x:v>
      </x:c>
      <x:c r="C234" s="411" t="str">
        <x:v>Орнаментальная кайма ткани</x:v>
      </x:c>
      <x:c r="D234" s="89" t="str">
        <x:v>Повторяющийся геометрический мотив</x:v>
      </x:c>
      <x:c r="E234" s="89" t="str">
        <x:v>Полностью окрашенная ткань</x:v>
      </x:c>
      <x:c r="F234" s="89" t="str">
        <x:v>White Grey тонкой направляющей линией</x:v>
      </x:c>
      <x:c r="G234" s="89" t="str">
        <x:v>—</x:v>
      </x:c>
      <x:c r="H234" s="89" t="str">
        <x:v>Разметить равные точки с постоянным интервалом</x:v>
      </x:c>
      <x:c r="I234" s="89" t="str">
        <x:v>Соединить точки ромбами или треугольниками</x:v>
      </x:c>
      <x:c r="J234" s="89" t="str">
        <x:v>AK Blood Red, AK Yellow или Kabalite Green заполнить мотивы</x:v>
      </x:c>
      <x:c r="K234" s="89" t="str">
        <x:v>Pale Sand или White выделить верхние грани</x:v>
      </x:c>
      <x:c r="L234" s="89" t="str">
        <x:v>Основным цветом ткани исправить края</x:v>
      </x:c>
      <x:c r="M234" s="89" t="str">
        <x:v>Matt Varnish</x:v>
      </x:c>
      <x:c r="N234" s="90" t="str">
        <x:v>Высокая</x:v>
      </x:c>
      <x:c r="O234" s="89" t="str">
        <x:v>Сначала задаётся ритм точек, затем строится орнамент. Это надёжнее, чем пытаться сразу рисовать одинаковые ромбы.</x:v>
      </x:c>
      <x:c r="P234" s="89" t="str">
        <x:v>Проверено — рабочая техника</x:v>
      </x:c>
      <x:c r="Q234" s="89" t="str">
        <x:v>Рецепт использует только реальные материалы коллекции и следует устойчивой логике freehand, направленного загрязнения или повреждения.</x:v>
      </x:c>
    </x:row>
    <x:row r="235">
      <x:c r="A235" s="90" t="n">
        <x:v>231</x:v>
      </x:c>
      <x:c r="B235" s="412" t="str">
        <x:v>Направленное загрязнение</x:v>
      </x:c>
      <x:c r="C235" s="412" t="str">
        <x:v>Тёмные земляные потёки</x:v>
      </x:c>
      <x:c r="D235" s="89" t="str">
        <x:v>Акриловый streaking + масло</x:v>
      </x:c>
      <x:c r="E235" s="89" t="str">
        <x:v>Полностью окрашенная поверхность → Satin/Gloss Varnish</x:v>
      </x:c>
      <x:c r="F235" s="89" t="str">
        <x:v>AK Deep Brown сильно разбавленным слоем</x:v>
      </x:c>
      <x:c r="G235" s="89" t="str">
        <x:v>Провести тонкие вертикальные линии от заклёпок и кромок</x:v>
      </x:c>
      <x:c r="H235" s="89" t="str">
        <x:v>Чистой влажной кистью растянуть линии вниз</x:v>
      </x:c>
      <x:c r="I235" s="89" t="str">
        <x:v>AK Burnt Umber локально усилить часть начал потёков</x:v>
      </x:c>
      <x:c r="J235" s="89" t="str">
        <x:v>—</x:v>
      </x:c>
      <x:c r="K235" s="89" t="str">
        <x:v>—</x:v>
      </x:c>
      <x:c r="L235" s="89" t="str">
        <x:v>Умбра жжёная маслом по отдельным потёкам</x:v>
      </x:c>
      <x:c r="M235" s="89" t="str">
        <x:v>Matt Varnish после полного высыхания</x:v>
      </x:c>
      <x:c r="N235" s="90" t="str">
        <x:v>Средняя</x:v>
      </x:c>
      <x:c r="O235" s="89" t="str">
        <x:v>Vallejo рекомендует начинать streaking с сильно разбавленного тёмного цвета; разные оттенки и порядок нанесения дают более естественную вариативность.</x:v>
      </x:c>
      <x:c r="P235" s="89" t="str">
        <x:v>Внешний референс — адаптировано</x:v>
      </x:c>
      <x:c r="Q235" s="89" t="str">
        <x:v>Техника основана на официальном Warhammer/Vallejo guide; последовательность и оттенки заменены материалами из коллекции.</x:v>
      </x:c>
    </x:row>
    <x:row r="236">
      <x:c r="A236" s="90" t="n">
        <x:v>232</x:v>
      </x:c>
      <x:c r="B236" s="412" t="str">
        <x:v>Направленное загрязнение</x:v>
      </x:c>
      <x:c r="C236" s="412" t="str">
        <x:v>Светлые пылевые потёки</x:v>
      </x:c>
      <x:c r="D236" s="89" t="str">
        <x:v>Светлый фильтр и вертикальные следы</x:v>
      </x:c>
      <x:c r="E236" s="89" t="str">
        <x:v>Полностью окрашенная поверхность</x:v>
      </x:c>
      <x:c r="F236" s="89" t="str">
        <x:v>AK Dark Sand + thinner 1:4–1:8 как нижний фильтр</x:v>
      </x:c>
      <x:c r="G236" s="89" t="str">
        <x:v>AK Pale Sand более тонкими вертикальными линиями</x:v>
      </x:c>
      <x:c r="H236" s="89" t="str">
        <x:v>Влажной кистью смягчить края</x:v>
      </x:c>
      <x:c r="I236" s="89" t="str">
        <x:v>Karak Stone локально у выступов</x:v>
      </x:c>
      <x:c r="J236" s="89" t="str">
        <x:v>—</x:v>
      </x:c>
      <x:c r="K236" s="89" t="str">
        <x:v>—</x:v>
      </x:c>
      <x:c r="L236" s="89" t="str">
        <x:v>Умбра жжёная точечно у креплений для контраста</x:v>
      </x:c>
      <x:c r="M236" s="89" t="str">
        <x:v>Matt Varnish</x:v>
      </x:c>
      <x:c r="N236" s="90" t="str">
        <x:v>Средняя</x:v>
      </x:c>
      <x:c r="O236" s="89" t="str">
        <x:v>Светлые дорожки особенно заметны на тёмной броне. Они должны начинаться у мест накопления пыли и становиться слабее вниз.</x:v>
      </x:c>
      <x:c r="P236" s="89" t="str">
        <x:v>Проверено — рабочая техника</x:v>
      </x:c>
      <x:c r="Q236" s="89" t="str">
        <x:v>Рецепт использует только реальные материалы коллекции и следует устойчивой логике freehand, направленного загрязнения или повреждения.</x:v>
      </x:c>
    </x:row>
    <x:row r="237">
      <x:c r="A237" s="90" t="n">
        <x:v>233</x:v>
      </x:c>
      <x:c r="B237" s="412" t="str">
        <x:v>Направленное загрязнение</x:v>
      </x:c>
      <x:c r="C237" s="412" t="str">
        <x:v>Дождевые чистые дорожки по пыльной броне</x:v>
      </x:c>
      <x:c r="D237" s="89" t="str">
        <x:v>Общий пылевой фильтр + вымывание</x:v>
      </x:c>
      <x:c r="E237" s="89" t="str">
        <x:v>Полностью окрашенная броня</x:v>
      </x:c>
      <x:c r="F237" s="89" t="str">
        <x:v>AK Pale Sand + thinner 1:6 как очень тонкий общий фильтр</x:v>
      </x:c>
      <x:c r="G237" s="89" t="str">
        <x:v>Дать слою схватиться, но не наращивать непрозрачную корку</x:v>
      </x:c>
      <x:c r="H237" s="89" t="str">
        <x:v>Влажной чистой кистью провести узкие вертикальные дорожки</x:v>
      </x:c>
      <x:c r="I237" s="89" t="str">
        <x:v>Вернуть Pale Sand по краям отдельных грязных зон</x:v>
      </x:c>
      <x:c r="J237" s="89" t="str">
        <x:v>—</x:v>
      </x:c>
      <x:c r="K237" s="89" t="str">
        <x:v>—</x:v>
      </x:c>
      <x:c r="L237" s="89" t="str">
        <x:v>Умбра жжёная у верхних точек потёков по лаку</x:v>
      </x:c>
      <x:c r="M237" s="89" t="str">
        <x:v>Matt Varnish</x:v>
      </x:c>
      <x:c r="N237" s="90" t="str">
        <x:v>Высокая</x:v>
      </x:c>
      <x:c r="O237" s="89" t="str">
        <x:v>Эффект строится отрицательно: дождь удаляет часть пыли. Сначала обязательно проверить, насколько легко конкретная смесь снимается водой.</x:v>
      </x:c>
      <x:c r="P237" s="89" t="str">
        <x:v>Инструментальная техника — тест</x:v>
      </x:c>
      <x:c r="Q237" s="89" t="str">
        <x:v>Результат зависит от маскирования, прозрачности слоя или времени высыхания. Обязателен тест на отдельной панели/подставке.</x:v>
      </x:c>
    </x:row>
    <x:row r="238">
      <x:c r="A238" s="90" t="n">
        <x:v>234</x:v>
      </x:c>
      <x:c r="B238" s="412" t="str">
        <x:v>Направленное загрязнение</x:v>
      </x:c>
      <x:c r="C238" s="412" t="str">
        <x:v>Ржавые вертикальные потёки</x:v>
      </x:c>
      <x:c r="D238" s="89" t="str">
        <x:v>Тёмное начало → светлый край</x:v>
      </x:c>
      <x:c r="E238" s="89" t="str">
        <x:v>Окрашенный металл или броня</x:v>
      </x:c>
      <x:c r="F238" s="89" t="str">
        <x:v>AK Burnt Umber у заклёпки/скола</x:v>
      </x:c>
      <x:c r="G238" s="89" t="str">
        <x:v>AK Dark Rust тонкой вертикальной линией</x:v>
      </x:c>
      <x:c r="H238" s="89" t="str">
        <x:v>AK Light Rust меньшей линией внутри</x:v>
      </x:c>
      <x:c r="I238" s="89" t="str">
        <x:v>Влажной кистью растянуть вниз</x:v>
      </x:c>
      <x:c r="J238" s="89" t="str">
        <x:v>AK Orange Brown редкими точками</x:v>
      </x:c>
      <x:c r="K238" s="89" t="str">
        <x:v>Vallejo Silver вернуть на источник скола</x:v>
      </x:c>
      <x:c r="L238" s="89" t="str">
        <x:v>Умбра жжёная по лаку для мягкого края</x:v>
      </x:c>
      <x:c r="M238" s="89" t="str">
        <x:v>Matt или Satin Varnish</x:v>
      </x:c>
      <x:c r="N238" s="90" t="str">
        <x:v>Средняя</x:v>
      </x:c>
      <x:c r="O238" s="89" t="str">
        <x:v>Потёк начинается насыщенно у источника коррозии и постепенно растворяется вниз. Не рисовать одинаковые прямые полосы от каждого заклёпочного ряда.</x:v>
      </x:c>
      <x:c r="P238" s="89" t="str">
        <x:v>Проверено — рабочая техника</x:v>
      </x:c>
      <x:c r="Q238" s="89" t="str">
        <x:v>Рецепт использует только реальные материалы коллекции и следует устойчивой логике freehand, направленного загрязнения или повреждения.</x:v>
      </x:c>
    </x:row>
    <x:row r="239">
      <x:c r="A239" s="90" t="n">
        <x:v>235</x:v>
      </x:c>
      <x:c r="B239" s="412" t="str">
        <x:v>Направленное загрязнение</x:v>
      </x:c>
      <x:c r="C239" s="412" t="str">
        <x:v>Двухтональные брызги грязи</x:v>
      </x:c>
      <x:c r="D239" s="89" t="str">
        <x:v>Тёмный spatter → светлый spatter</x:v>
      </x:c>
      <x:c r="E239" s="89" t="str">
        <x:v>Полностью окрашенная нижняя часть модели</x:v>
      </x:c>
      <x:c r="F239" s="89" t="str">
        <x:v>AK Deep Brown или Light Earth тёмными крупными брызгами</x:v>
      </x:c>
      <x:c r="G239" s="89" t="str">
        <x:v>AK Dark Sand брызгами среднего размера</x:v>
      </x:c>
      <x:c r="H239" s="89" t="str">
        <x:v>AK Pale Sand более мелкими светлыми брызгами</x:v>
      </x:c>
      <x:c r="I239" s="89" t="str">
        <x:v>Karak Stone сухой кистью по полностью сухим комьям</x:v>
      </x:c>
      <x:c r="J239" s="89" t="str">
        <x:v>—</x:v>
      </x:c>
      <x:c r="K239" s="89" t="str">
        <x:v>—</x:v>
      </x:c>
      <x:c r="L239" s="89" t="str">
        <x:v>Умбра жжёная в самые мокрые и глубокие места</x:v>
      </x:c>
      <x:c r="M239" s="89" t="str">
        <x:v>Matt Varnish; свежая грязь локально Satin/Gloss</x:v>
      </x:c>
      <x:c r="N239" s="90" t="str">
        <x:v>Средняя</x:v>
      </x:c>
      <x:c r="O239" s="89" t="str">
        <x:v>Официальный Vallejo Model Wash guide разделяет тёмные и светлые земляные брызги; изменение порядка и оттенков даёт более сложный результат.</x:v>
      </x:c>
      <x:c r="P239" s="89" t="str">
        <x:v>Внешний референс — адаптировано</x:v>
      </x:c>
      <x:c r="Q239" s="89" t="str">
        <x:v>Техника основана на официальном Warhammer/Vallejo guide; последовательность и оттенки заменены материалами из коллекции.</x:v>
      </x:c>
    </x:row>
    <x:row r="240">
      <x:c r="A240" s="90" t="n">
        <x:v>236</x:v>
      </x:c>
      <x:c r="B240" s="413" t="str">
        <x:v>Повреждения брони</x:v>
      </x:c>
      <x:c r="C240" s="413" t="str">
        <x:v>Сколы на белой броне</x:v>
      </x:c>
      <x:c r="D240" s="89" t="str">
        <x:v>Светлый край + коричневое углубление</x:v>
      </x:c>
      <x:c r="E240" s="89" t="str">
        <x:v>Завершённая белая броня</x:v>
      </x:c>
      <x:c r="F240" s="89" t="str">
        <x:v>White неровными увеличенными бликами-сколами</x:v>
      </x:c>
      <x:c r="G240" s="89" t="str">
        <x:v>Baneblade Brown внутри части светлых форм</x:v>
      </x:c>
      <x:c r="H240" s="89" t="str">
        <x:v>Iron Warriors в самых глубоких сколах</x:v>
      </x:c>
      <x:c r="I240" s="89" t="str">
        <x:v>Vallejo Silver по нижней кромке свежих повреждений</x:v>
      </x:c>
      <x:c r="J240" s="89" t="str">
        <x:v>—</x:v>
      </x:c>
      <x:c r="K240" s="89" t="str">
        <x:v>—</x:v>
      </x:c>
      <x:c r="L240" s="89" t="str">
        <x:v>Умбра жжёная вокруг части старых сколов</x:v>
      </x:c>
      <x:c r="M240" s="89" t="str">
        <x:v>Matt Varnish</x:v>
      </x:c>
      <x:c r="N240" s="90" t="str">
        <x:v>Средняя</x:v>
      </x:c>
      <x:c r="O240" s="89" t="str">
        <x:v>Официальные Legion guides используют White highlight, внутри которого помещается Baneblade Brown, создавая читаемый скол на белой броне.</x:v>
      </x:c>
      <x:c r="P240" s="89" t="str">
        <x:v>Внешний референс — адаптировано</x:v>
      </x:c>
      <x:c r="Q240" s="89" t="str">
        <x:v>Техника основана на официальном Warhammer/Vallejo guide; последовательность и оттенки заменены материалами из коллекции.</x:v>
      </x:c>
    </x:row>
    <x:row r="241">
      <x:c r="A241" s="90" t="n">
        <x:v>237</x:v>
      </x:c>
      <x:c r="B241" s="413" t="str">
        <x:v>Повреждения брони</x:v>
      </x:c>
      <x:c r="C241" s="413" t="str">
        <x:v>Сколы на чёрной броне</x:v>
      </x:c>
      <x:c r="D241" s="89" t="str">
        <x:v>Серый край + металлический центр</x:v>
      </x:c>
      <x:c r="E241" s="89" t="str">
        <x:v>Завершённая чёрная броня</x:v>
      </x:c>
      <x:c r="F241" s="89" t="str">
        <x:v>Eshin Grey мелкими пятнами губкой</x:v>
      </x:c>
      <x:c r="G241" s="89" t="str">
        <x:v>Dawnstone по нижнему краю крупных пятен</x:v>
      </x:c>
      <x:c r="H241" s="89" t="str">
        <x:v>Iron Warriors внутри части сколов</x:v>
      </x:c>
      <x:c r="I241" s="89" t="str">
        <x:v>Vallejo Silver точечно на свежих повреждениях</x:v>
      </x:c>
      <x:c r="J241" s="89" t="str">
        <x:v>AK Dark Rust в старых металлических центрах</x:v>
      </x:c>
      <x:c r="K241" s="89" t="str">
        <x:v>—</x:v>
      </x:c>
      <x:c r="L241" s="89" t="str">
        <x:v>Black Legion 1:8 с Contrast Medium при необходимости приглушить</x:v>
      </x:c>
      <x:c r="M241" s="89" t="str">
        <x:v>Matt Varnish</x:v>
      </x:c>
      <x:c r="N241" s="90" t="str">
        <x:v>Средняя</x:v>
      </x:c>
      <x:c r="O241" s="89" t="str">
        <x:v>На чёрной броне светлый серый край заменяет обычный светлый скол; металлический центр используется только у части повреждений.</x:v>
      </x:c>
      <x:c r="P241" s="89" t="str">
        <x:v>Проверено — рабочая техника</x:v>
      </x:c>
      <x:c r="Q241" s="89" t="str">
        <x:v>Рецепт использует только реальные материалы коллекции и следует устойчивой логике freehand, направленного загрязнения или повреждения.</x:v>
      </x:c>
    </x:row>
    <x:row r="242">
      <x:c r="A242" s="90" t="n">
        <x:v>238</x:v>
      </x:c>
      <x:c r="B242" s="413" t="str">
        <x:v>Повреждения брони</x:v>
      </x:c>
      <x:c r="C242" s="413" t="str">
        <x:v>Сколы на красной броне</x:v>
      </x:c>
      <x:c r="D242" s="89" t="str">
        <x:v>Яркий красный край + тёмное углубление</x:v>
      </x:c>
      <x:c r="E242" s="89" t="str">
        <x:v>Завершённая красная броня</x:v>
      </x:c>
      <x:c r="F242" s="89" t="str">
        <x:v>Fire Dragon Bright или Wild Rider Red мелкими пятнами</x:v>
      </x:c>
      <x:c r="G242" s="89" t="str">
        <x:v>AK Deep Brown внутри части пятен</x:v>
      </x:c>
      <x:c r="H242" s="89" t="str">
        <x:v>Iron Warriors в глубоких повреждениях</x:v>
      </x:c>
      <x:c r="I242" s="89" t="str">
        <x:v>Vallejo Silver на свежей нижней кромке</x:v>
      </x:c>
      <x:c r="J242" s="89" t="str">
        <x:v>AK Dark Rust в старых сколах</x:v>
      </x:c>
      <x:c r="K242" s="89" t="str">
        <x:v>—</x:v>
      </x:c>
      <x:c r="L242" s="89" t="str">
        <x:v>Red Ink 1:10 с Lahmian Medium для объединения вокруг части сколов</x:v>
      </x:c>
      <x:c r="M242" s="89" t="str">
        <x:v>Matt Varnish</x:v>
      </x:c>
      <x:c r="N242" s="90" t="str">
        <x:v>Средняя</x:v>
      </x:c>
      <x:c r="O242" s="89" t="str">
        <x:v>Светлый край должен принадлежать красной краске, а не быть универсальным бежевым. Это сохраняет насыщенность красной брони.</x:v>
      </x:c>
      <x:c r="P242" s="89" t="str">
        <x:v>Проверено — рабочая техника</x:v>
      </x:c>
      <x:c r="Q242" s="89" t="str">
        <x:v>Рецепт использует только реальные материалы коллекции и следует устойчивой логике freehand, направленного загрязнения или повреждения.</x:v>
      </x:c>
    </x:row>
    <x:row r="243">
      <x:c r="A243" s="90" t="n">
        <x:v>239</x:v>
      </x:c>
      <x:c r="B243" s="413" t="str">
        <x:v>Повреждения брони</x:v>
      </x:c>
      <x:c r="C243" s="413" t="str">
        <x:v>Подпалина вокруг попадания</x:v>
      </x:c>
      <x:c r="D243" s="89" t="str">
        <x:v>Тёмный центр + ржаво-серый ореол</x:v>
      </x:c>
      <x:c r="E243" s="89" t="str">
        <x:v>Готовая броня</x:v>
      </x:c>
      <x:c r="F243" s="89" t="str">
        <x:v>AK Black в центре попадания</x:v>
      </x:c>
      <x:c r="G243" s="89" t="str">
        <x:v>Corvus Black неровным внешним ореолом</x:v>
      </x:c>
      <x:c r="H243" s="89" t="str">
        <x:v>Eshin Grey очень тонко по части края</x:v>
      </x:c>
      <x:c r="I243" s="89" t="str">
        <x:v>AK Dark Rust и AK Burnt Umber небольшими пятнами</x:v>
      </x:c>
      <x:c r="J243" s="89" t="str">
        <x:v>Iron Warriors или Vallejo Silver в центре повреждения</x:v>
      </x:c>
      <x:c r="K243" s="89" t="str">
        <x:v>—</x:v>
      </x:c>
      <x:c r="L243" s="89" t="str">
        <x:v>Сажа газовая по отверждённому лаку для мягкой копоти</x:v>
      </x:c>
      <x:c r="M243" s="89" t="str">
        <x:v>Matt Varnish после полного высыхания</x:v>
      </x:c>
      <x:c r="N243" s="90" t="str">
        <x:v>Средняя</x:v>
      </x:c>
      <x:c r="O243" s="89" t="str">
        <x:v>Центр повреждения самый тёмный и резкий, а копоть постепенно рассеивается наружу. Не делать идеальный чёрный круг.</x:v>
      </x:c>
      <x:c r="P243" s="89" t="str">
        <x:v>Проверено — рабочая техника</x:v>
      </x:c>
      <x:c r="Q243" s="89" t="str">
        <x:v>Рецепт использует только реальные материалы коллекции и следует устойчивой логике freehand, направленного загрязнения или повреждения.</x:v>
      </x:c>
    </x:row>
    <x:row r="244">
      <x:c r="A244" s="90" t="n">
        <x:v>240</x:v>
      </x:c>
      <x:c r="B244" s="414" t="str">
        <x:v>Лёд и кристаллы</x:v>
      </x:c>
      <x:c r="C244" s="414" t="str">
        <x:v>Замёрзшая растрескавшаяся земля</x:v>
      </x:c>
      <x:c r="D244" s="89" t="str">
        <x:v>Crackle Medium + холодные прозрачные слои</x:v>
      </x:c>
      <x:c r="E244" s="89" t="str">
        <x:v>Black Primer</x:v>
      </x:c>
      <x:c r="F244" s="89" t="str">
        <x:v>AK Dark Prussian Blue нижним слоем</x:v>
      </x:c>
      <x:c r="G244" s="89" t="str">
        <x:v>Crackle Medium обильным слоем</x:v>
      </x:c>
      <x:c r="H244" s="89" t="str">
        <x:v>Пока Medium влажный, нанести White Grey</x:v>
      </x:c>
      <x:c r="I244" s="89" t="str">
        <x:v>Оставить на 24 часа</x:v>
      </x:c>
      <x:c r="J244" s="89" t="str">
        <x:v>Frostheart в трещины</x:v>
      </x:c>
      <x:c r="K244" s="89" t="str">
        <x:v>White сухой кистью по верхней корке</x:v>
      </x:c>
      <x:c r="L244" s="89" t="str">
        <x:v>Blue Ink 1:12 с Lahmian Medium в наиболее глубокие трещины</x:v>
      </x:c>
      <x:c r="M244" s="89" t="str">
        <x:v>Matt Varnish на корке; Gloss/Satin в трещинах</x:v>
      </x:c>
      <x:c r="N244" s="90" t="str">
        <x:v>Высокая</x:v>
      </x:c>
      <x:c r="O244" s="89" t="str">
        <x:v>Используется исправленная последовательность Crackle Medium: верхний цвет наносится до высыхания Medium. Холодный глянец концентрируется внутри трещин.</x:v>
      </x:c>
      <x:c r="P244" s="89" t="str">
        <x:v>Инструментальная техника — тест</x:v>
      </x:c>
      <x:c r="Q244" s="89" t="str">
        <x:v>Результат зависит от маскирования, прозрачности слоя или времени высыхания. Обязателен тест на отдельной панели/подставке.</x:v>
      </x:c>
    </x:row>
    <x:row r="245">
      <x:c r="A245" s="90" t="n">
        <x:v>241</x:v>
      </x:c>
      <x:c r="B245" s="433" t="str">
        <x:v>Синий</x:v>
      </x:c>
      <x:c r="C245" s="433" t="str">
        <x:v>Бирюзово-синяя броня Тысячи Сынов</x:v>
      </x:c>
      <x:c r="D245" s="89" t="str">
        <x:v>Непрозрачная модуляция + glaze</x:v>
      </x:c>
      <x:c r="E245" s="89" t="str">
        <x:v>Black Primer</x:v>
      </x:c>
      <x:c r="F245" s="89" t="str">
        <x:v>Thousand Sons Blue</x:v>
      </x:c>
      <x:c r="G245" s="89" t="str">
        <x:v>AK Dark Prussian Blue снизу</x:v>
      </x:c>
      <x:c r="H245" s="89" t="str">
        <x:v>Ahriman Blue под углом 45°</x:v>
      </x:c>
      <x:c r="I245" s="89" t="str">
        <x:v>Temple Guard Blue сверху</x:v>
      </x:c>
      <x:c r="J245" s="89" t="str">
        <x:v>Baharroth Blue</x:v>
      </x:c>
      <x:c r="K245" s="89" t="str">
        <x:v>White точечно</x:v>
      </x:c>
      <x:c r="L245" s="89" t="str">
        <x:v>Guilliman Blue или Blue Ink 1:8 с Lahmian Medium для объединения</x:v>
      </x:c>
      <x:c r="M245" s="89" t="str">
        <x:v>Matt или Satin Varnish</x:v>
      </x:c>
      <x:c r="N245" s="90" t="str">
        <x:v>Средняя</x:v>
      </x:c>
      <x:c r="O245" s="89" t="str">
        <x:v>Thousand Sons Blue впервые становится основной базой, Ahriman Blue — главным средним светом. Не высветлять всю броню до Temple Guard Blue.</x:v>
      </x:c>
      <x:c r="P245" s="89" t="str">
        <x:v>Проверено — раскрытие коллекции</x:v>
      </x:c>
      <x:c r="Q245" s="89" t="str">
        <x:v>Рецепт создан для ранее недоиспользованной краски и использует только материалы текущей инвентаризации.</x:v>
      </x:c>
    </x:row>
    <x:row r="246">
      <x:c r="A246" s="90" t="n">
        <x:v>242</x:v>
      </x:c>
      <x:c r="B246" s="433" t="str">
        <x:v>Синий</x:v>
      </x:c>
      <x:c r="C246" s="433" t="str">
        <x:v>Небесно-голубая ткань Ahriman</x:v>
      </x:c>
      <x:c r="D246" s="89" t="str">
        <x:v>Layer + мягкая глазурь</x:v>
      </x:c>
      <x:c r="E246" s="89" t="str">
        <x:v>Настоящий грунт → Grey Seer</x:v>
      </x:c>
      <x:c r="F246" s="89" t="str">
        <x:v>Ahriman Blue</x:v>
      </x:c>
      <x:c r="G246" s="89" t="str">
        <x:v>Drakenhof Nightshade локально в складки</x:v>
      </x:c>
      <x:c r="H246" s="89" t="str">
        <x:v>Ahriman Blue вернуть</x:v>
      </x:c>
      <x:c r="I246" s="89" t="str">
        <x:v>Lothern Blue</x:v>
      </x:c>
      <x:c r="J246" s="89" t="str">
        <x:v>Baharroth Blue</x:v>
      </x:c>
      <x:c r="K246" s="89" t="str">
        <x:v>White Grey точечно</x:v>
      </x:c>
      <x:c r="L246" s="89" t="str">
        <x:v>Mystic Blue + Xpress Medium 1:4 очень тонко для объединения</x:v>
      </x:c>
      <x:c r="M246" s="89" t="str">
        <x:v>Matt Varnish</x:v>
      </x:c>
      <x:c r="N246" s="90" t="str">
        <x:v>Средняя</x:v>
      </x:c>
      <x:c r="O246" s="89" t="str">
        <x:v>Ahriman Blue работает как чистый насыщенный средний тон; Mystic Blue используется не как база, а как очень тонкий холодный фильтр.</x:v>
      </x:c>
      <x:c r="P246" s="89" t="str">
        <x:v>Проверено — раскрытие коллекции</x:v>
      </x:c>
      <x:c r="Q246" s="89" t="str">
        <x:v>Рецепт создан для ранее недоиспользованной краски и использует только материалы текущей инвентаризации.</x:v>
      </x:c>
    </x:row>
    <x:row r="247">
      <x:c r="A247" s="90" t="n">
        <x:v>243</x:v>
      </x:c>
      <x:c r="B247" s="434" t="str">
        <x:v>Фиолетовый и розовый</x:v>
      </x:c>
      <x:c r="C247" s="434" t="str">
        <x:v>Глубокая броня Phoenician Purple</x:v>
      </x:c>
      <x:c r="D247" s="89" t="str">
        <x:v>Непрозрачная фиолетовая цепочка</x:v>
      </x:c>
      <x:c r="E247" s="89" t="str">
        <x:v>Black Primer</x:v>
      </x:c>
      <x:c r="F247" s="89" t="str">
        <x:v>Phoenician Purple</x:v>
      </x:c>
      <x:c r="G247" s="89" t="str">
        <x:v>Shyish Purple + Contrast Medium 1:1 снизу</x:v>
      </x:c>
      <x:c r="H247" s="89" t="str">
        <x:v>Xereus Purple</x:v>
      </x:c>
      <x:c r="I247" s="89" t="str">
        <x:v>Genestealer Purple</x:v>
      </x:c>
      <x:c r="J247" s="89" t="str">
        <x:v>Slaanesh Grey</x:v>
      </x:c>
      <x:c r="K247" s="89" t="str">
        <x:v>White Grey точечно</x:v>
      </x:c>
      <x:c r="L247" s="89" t="str">
        <x:v>Violet Ink 1:8 с Lahmian Medium как объединяющая глазурь</x:v>
      </x:c>
      <x:c r="M247" s="89" t="str">
        <x:v>Matt или Satin Varnish</x:v>
      </x:c>
      <x:c r="N247" s="90" t="str">
        <x:v>Средняя</x:v>
      </x:c>
      <x:c r="O247" s="89" t="str">
        <x:v>Phoenician Purple даёт более насыщенную и чистую базу, чем Naggaroth Night. Shyish Purple сохраняется только в тенях.</x:v>
      </x:c>
      <x:c r="P247" s="89" t="str">
        <x:v>Проверено — раскрытие коллекции</x:v>
      </x:c>
      <x:c r="Q247" s="89" t="str">
        <x:v>Рецепт создан для ранее недоиспользованной краски и использует только материалы текущей инвентаризации.</x:v>
      </x:c>
    </x:row>
    <x:row r="248">
      <x:c r="A248" s="90" t="n">
        <x:v>244</x:v>
      </x:c>
      <x:c r="B248" s="434" t="str">
        <x:v>Фиолетовый и розовый</x:v>
      </x:c>
      <x:c r="C248" s="434" t="str">
        <x:v>Чёрно-фиолетовый бархат Black Lotus</x:v>
      </x:c>
      <x:c r="D248" s="89" t="str">
        <x:v>Xpress + ограниченные отражения</x:v>
      </x:c>
      <x:c r="E248" s="89" t="str">
        <x:v>Настоящий грунт → Grey Seer</x:v>
      </x:c>
      <x:c r="F248" s="89" t="str">
        <x:v>Black Lotus + Xpress Medium 1:1</x:v>
      </x:c>
      <x:c r="G248" s="89" t="str">
        <x:v>Black Lotus без Medium в глубокие складки</x:v>
      </x:c>
      <x:c r="H248" s="89" t="str">
        <x:v>Phoenician Purple на выступах</x:v>
      </x:c>
      <x:c r="I248" s="89" t="str">
        <x:v>Genestealer Purple меньшей площадью</x:v>
      </x:c>
      <x:c r="J248" s="89" t="str">
        <x:v>Warpfiend Grey</x:v>
      </x:c>
      <x:c r="K248" s="89" t="str">
        <x:v>Slaanesh Grey точечно</x:v>
      </x:c>
      <x:c r="L248" s="89" t="str">
        <x:v>Black Lotus + Xpress Medium 1:5 для объединения</x:v>
      </x:c>
      <x:c r="M248" s="89" t="str">
        <x:v>Matt Varnish</x:v>
      </x:c>
      <x:c r="N248" s="90" t="str">
        <x:v>Средняя</x:v>
      </x:c>
      <x:c r="O248" s="89" t="str">
        <x:v>Бархат требует тёмной массы и небольших насыщенных отражений. Xpress Medium уменьшает риск почти чёрной однородной поверхности.</x:v>
      </x:c>
      <x:c r="P248" s="89" t="str">
        <x:v>Xpress — проверка с Medium</x:v>
      </x:c>
      <x:c r="Q248" s="89" t="str">
        <x:v>Используется официальный Xpress Medium для контроля прозрачности Black Lotus/Mystic Blue; точное разведение проверить на тестовой детали.</x:v>
      </x:c>
    </x:row>
    <x:row r="249">
      <x:c r="A249" s="90" t="n">
        <x:v>245</x:v>
      </x:c>
      <x:c r="B249" s="433" t="str">
        <x:v>Синий</x:v>
      </x:c>
      <x:c r="C249" s="433" t="str">
        <x:v>Быстрая тёмно-синяя ткань Mystic Blue</x:v>
      </x:c>
      <x:c r="D249" s="89" t="str">
        <x:v>Xpress + слои</x:v>
      </x:c>
      <x:c r="E249" s="89" t="str">
        <x:v>Настоящий грунт → Grey Seer</x:v>
      </x:c>
      <x:c r="F249" s="89" t="str">
        <x:v>Mystic Blue + Xpress Medium 1:1</x:v>
      </x:c>
      <x:c r="G249" s="89" t="str">
        <x:v>Mystic Blue без Medium в глубокие складки</x:v>
      </x:c>
      <x:c r="H249" s="89" t="str">
        <x:v>Ahriman Blue</x:v>
      </x:c>
      <x:c r="I249" s="89" t="str">
        <x:v>Lothern Blue</x:v>
      </x:c>
      <x:c r="J249" s="89" t="str">
        <x:v>Baharroth Blue</x:v>
      </x:c>
      <x:c r="K249" s="89" t="str">
        <x:v>White Grey точечно</x:v>
      </x:c>
      <x:c r="L249" s="89" t="str">
        <x:v>Mystic Blue + Xpress Medium 1:6 как финальная glaze</x:v>
      </x:c>
      <x:c r="M249" s="89" t="str">
        <x:v>Matt Varnish</x:v>
      </x:c>
      <x:c r="N249" s="90" t="str">
        <x:v>Низкая</x:v>
      </x:c>
      <x:c r="O249" s="89" t="str">
        <x:v>Xpress Medium сохраняет читаемую светлую подложку и позволяет строить Mystic Blue в два контролируемых уровня насыщенности.</x:v>
      </x:c>
      <x:c r="P249" s="89" t="str">
        <x:v>Xpress — проверка с Medium</x:v>
      </x:c>
      <x:c r="Q249" s="89" t="str">
        <x:v>Используется официальный Xpress Medium для контроля прозрачности Black Lotus/Mystic Blue; точное разведение проверить на тестовой детали.</x:v>
      </x:c>
    </x:row>
    <x:row r="250">
      <x:c r="A250" s="90" t="n">
        <x:v>246</x:v>
      </x:c>
      <x:c r="B250" s="435" t="str">
        <x:v>Зелёный</x:v>
      </x:c>
      <x:c r="C250" s="435" t="str">
        <x:v>Бирюзовая кожа Kroxigor Scales</x:v>
      </x:c>
      <x:c r="D250" s="89" t="str">
        <x:v>Contrast + drybrush + stippling</x:v>
      </x:c>
      <x:c r="E250" s="89" t="str">
        <x:v>Настоящий грунт → Wraithbone</x:v>
      </x:c>
      <x:c r="F250" s="89" t="str">
        <x:v>Kroxigor Scales + Contrast Medium 1:1</x:v>
      </x:c>
      <x:c r="G250" s="89" t="str">
        <x:v>Kroxigor Scales без Medium в глубокие зоны</x:v>
      </x:c>
      <x:c r="H250" s="89" t="str">
        <x:v>Kabalite Green сухой кистью</x:v>
      </x:c>
      <x:c r="I250" s="89" t="str">
        <x:v>Sybarite Green stippling</x:v>
      </x:c>
      <x:c r="J250" s="89" t="str">
        <x:v>Deepkin Flesh на нижней стороне</x:v>
      </x:c>
      <x:c r="K250" s="89" t="str">
        <x:v>Pallid Wych Flesh точечно</x:v>
      </x:c>
      <x:c r="L250" s="89" t="str">
        <x:v>Akhelian Green 1:8 с Contrast Medium между чешуями</x:v>
      </x:c>
      <x:c r="M250" s="89" t="str">
        <x:v>Matt Varnish</x:v>
      </x:c>
      <x:c r="N250" s="90" t="str">
        <x:v>Низкая</x:v>
      </x:c>
      <x:c r="O250" s="89" t="str">
        <x:v>Официальный пример использует Kroxigor Scales с Medium для плавного перехода; drybrush и stippling добавляют фактуру из имеющейся палитры.</x:v>
      </x:c>
      <x:c r="P250" s="89" t="str">
        <x:v>Внешний референс — адаптировано</x:v>
      </x:c>
      <x:c r="Q250" s="89" t="str">
        <x:v>Официальная практика Warhammer подтверждает применение ключевой краски или эффекта; переходы и дополнительные оттенки адаптированы под коллекцию.</x:v>
      </x:c>
    </x:row>
    <x:row r="251">
      <x:c r="A251" s="90" t="n">
        <x:v>247</x:v>
      </x:c>
      <x:c r="B251" s="436" t="str">
        <x:v>Жёлтый и оранжевый</x:v>
      </x:c>
      <x:c r="C251" s="436" t="str">
        <x:v>Яркая оранжевая кожа Magmadroth Flame</x:v>
      </x:c>
      <x:c r="D251" s="89" t="str">
        <x:v>Contrast + drybrush</x:v>
      </x:c>
      <x:c r="E251" s="89" t="str">
        <x:v>Настоящий грунт → Wraithbone</x:v>
      </x:c>
      <x:c r="F251" s="89" t="str">
        <x:v>Magmadroth Flame</x:v>
      </x:c>
      <x:c r="G251" s="89" t="str">
        <x:v>AK Dirty Red в глубокие складки</x:v>
      </x:c>
      <x:c r="H251" s="89" t="str">
        <x:v>Vallejo Orange Fire</x:v>
      </x:c>
      <x:c r="I251" s="89" t="str">
        <x:v>Fire Dragon Bright</x:v>
      </x:c>
      <x:c r="J251" s="89" t="str">
        <x:v>AK Yellow + Fire Dragon Bright 1:1</x:v>
      </x:c>
      <x:c r="K251" s="89" t="str">
        <x:v>Pale Sand точечно</x:v>
      </x:c>
      <x:c r="L251" s="89" t="str">
        <x:v>Orange Fluorescent на самых ярких участках</x:v>
      </x:c>
      <x:c r="M251" s="89" t="str">
        <x:v>Matt Varnish</x:v>
      </x:c>
      <x:c r="N251" s="90" t="str">
        <x:v>Низкая</x:v>
      </x:c>
      <x:c r="O251" s="89" t="str">
        <x:v>Magmadroth Flame официально рекомендован для огня, волос и яркой оранжевой поверхности. Белая/тёплая подложка обязательна.</x:v>
      </x:c>
      <x:c r="P251" s="89" t="str">
        <x:v>Внешний референс — адаптировано</x:v>
      </x:c>
      <x:c r="Q251" s="89" t="str">
        <x:v>Официальная практика Warhammer подтверждает применение ключевой краски или эффекта; переходы и дополнительные оттенки адаптированы под коллекцию.</x:v>
      </x:c>
    </x:row>
    <x:row r="252">
      <x:c r="A252" s="90" t="n">
        <x:v>248</x:v>
      </x:c>
      <x:c r="B252" s="435" t="str">
        <x:v>Зелёный</x:v>
      </x:c>
      <x:c r="C252" s="435" t="str">
        <x:v>Ядовито-зелёные линзы и камни Striking Scorpion</x:v>
      </x:c>
      <x:c r="D252" s="89" t="str">
        <x:v>Contrast glaze + Fluorescent</x:v>
      </x:c>
      <x:c r="E252" s="89" t="str">
        <x:v>Black Primer</x:v>
      </x:c>
      <x:c r="F252" s="89" t="str">
        <x:v>White Grey на линзу или камень</x:v>
      </x:c>
      <x:c r="G252" s="89" t="str">
        <x:v>Striking Scorpion Green</x:v>
      </x:c>
      <x:c r="H252" s="89" t="str">
        <x:v>Moot Green</x:v>
      </x:c>
      <x:c r="I252" s="89" t="str">
        <x:v>Moot Green + White 1:1</x:v>
      </x:c>
      <x:c r="J252" s="89" t="str">
        <x:v>Green Fluorescent</x:v>
      </x:c>
      <x:c r="K252" s="89" t="str">
        <x:v>White точкой</x:v>
      </x:c>
      <x:c r="L252" s="89" t="str">
        <x:v>Striking Scorpion Green + Contrast Medium 1:5 как внешний ореол</x:v>
      </x:c>
      <x:c r="M252" s="89" t="str">
        <x:v>Gloss Varnish</x:v>
      </x:c>
      <x:c r="N252" s="90" t="str">
        <x:v>Низкая</x:v>
      </x:c>
      <x:c r="O252" s="89" t="str">
        <x:v>Warhammer рекомендует Striking Scorpion Green для глазных линз и gemstones. Белый центр и Gloss усиливают ощущение свечения.</x:v>
      </x:c>
      <x:c r="P252" s="89" t="str">
        <x:v>Внешний референс — адаптировано</x:v>
      </x:c>
      <x:c r="Q252" s="89" t="str">
        <x:v>Официальная практика Warhammer подтверждает применение ключевой краски или эффекта; переходы и дополнительные оттенки адаптированы под коллекцию.</x:v>
      </x:c>
    </x:row>
    <x:row r="253">
      <x:c r="A253" s="90" t="n">
        <x:v>249</x:v>
      </x:c>
      <x:c r="B253" s="436" t="str">
        <x:v>Жёлтый и оранжевый</x:v>
      </x:c>
      <x:c r="C253" s="436" t="str">
        <x:v>Тёплая жёлтая броня Iyanden</x:v>
      </x:c>
      <x:c r="D253" s="89" t="str">
        <x:v>Contrast по светлой модуляции</x:v>
      </x:c>
      <x:c r="E253" s="89" t="str">
        <x:v>White Primer</x:v>
      </x:c>
      <x:c r="F253" s="89" t="str">
        <x:v>Iyanden Yellow</x:v>
      </x:c>
      <x:c r="G253" s="89" t="str">
        <x:v>AK Dirty Yellow в нижние зоны</x:v>
      </x:c>
      <x:c r="H253" s="89" t="str">
        <x:v>AK Yellow</x:v>
      </x:c>
      <x:c r="I253" s="89" t="str">
        <x:v>AK Yellow + Pale Sand 2:1</x:v>
      </x:c>
      <x:c r="J253" s="89" t="str">
        <x:v>Pale Sand</x:v>
      </x:c>
      <x:c r="K253" s="89" t="str">
        <x:v>White точечно</x:v>
      </x:c>
      <x:c r="L253" s="89" t="str">
        <x:v>Iyanden Yellow + Contrast Medium 1:5 как объединяющий фильтр</x:v>
      </x:c>
      <x:c r="M253" s="89" t="str">
        <x:v>Matt Varnish</x:v>
      </x:c>
      <x:c r="N253" s="90" t="str">
        <x:v>Средняя</x:v>
      </x:c>
      <x:c r="O253" s="89" t="str">
        <x:v>Iyanden Yellow наносить панель за панелью, не позволяя краске подсыхать в середине плоскости. Официальные схемы используют его как насыщенный жёлтый Contrast.</x:v>
      </x:c>
      <x:c r="P253" s="89" t="str">
        <x:v>Внешний референс — адаптировано</x:v>
      </x:c>
      <x:c r="Q253" s="89" t="str">
        <x:v>Официальная практика Warhammer подтверждает применение ключевой краски или эффекта; переходы и дополнительные оттенки адаптированы под коллекцию.</x:v>
      </x:c>
    </x:row>
    <x:row r="254">
      <x:c r="A254" s="90" t="n">
        <x:v>250</x:v>
      </x:c>
      <x:c r="B254" s="437" t="str">
        <x:v>Мокрая органика</x:v>
      </x:c>
      <x:c r="C254" s="437" t="str">
        <x:v>Розовая ксеносная мембрана Volupus Pink</x:v>
      </x:c>
      <x:c r="D254" s="89" t="str">
        <x:v>Contrast + телесные высветления</x:v>
      </x:c>
      <x:c r="E254" s="89" t="str">
        <x:v>Настоящий грунт → Wraithbone</x:v>
      </x:c>
      <x:c r="F254" s="89" t="str">
        <x:v>Volupus Pink + Contrast Medium 1:1</x:v>
      </x:c>
      <x:c r="G254" s="89" t="str">
        <x:v>Volupus Pink без Medium в глубине</x:v>
      </x:c>
      <x:c r="H254" s="89" t="str">
        <x:v>Pink Horror</x:v>
      </x:c>
      <x:c r="I254" s="89" t="str">
        <x:v>Emperor's Children</x:v>
      </x:c>
      <x:c r="J254" s="89" t="str">
        <x:v>Fulgrim Pink</x:v>
      </x:c>
      <x:c r="K254" s="89" t="str">
        <x:v>Pallid Wych Flesh тонкими прожилками</x:v>
      </x:c>
      <x:c r="L254" s="89" t="str">
        <x:v>Carroburg Crimson локально; Gloss Varnish по влажным участкам</x:v>
      </x:c>
      <x:c r="M254" s="89" t="str">
        <x:v>Matt Varnish на сухой части</x:v>
      </x:c>
      <x:c r="N254" s="90" t="str">
        <x:v>Средняя</x:v>
      </x:c>
      <x:c r="O254" s="89" t="str">
        <x:v>Volupus Pink создаёт насыщенную органическую тень. Светлые телесно-розовые прожилки и разделённый финиш помогают передать мембрану.</x:v>
      </x:c>
      <x:c r="P254" s="89" t="str">
        <x:v>Проверено — раскрытие коллекции</x:v>
      </x:c>
      <x:c r="Q254" s="89" t="str">
        <x:v>Рецепт создан для ранее недоиспользованной краски и использует только материалы текущей инвентаризации.</x:v>
      </x:c>
    </x:row>
    <x:row r="255">
      <x:c r="A255" s="90" t="n">
        <x:v>251</x:v>
      </x:c>
      <x:c r="B255" s="434" t="str">
        <x:v>Фиолетовый и розовый</x:v>
      </x:c>
      <x:c r="C255" s="434" t="str">
        <x:v>Очень глубокая пурпурная ткань Shyish</x:v>
      </x:c>
      <x:c r="D255" s="89" t="str">
        <x:v>Contrast + Phoenician highlights</x:v>
      </x:c>
      <x:c r="E255" s="89" t="str">
        <x:v>Настоящий грунт → Grey Seer</x:v>
      </x:c>
      <x:c r="F255" s="89" t="str">
        <x:v>Shyish Purple + Contrast Medium 1:1</x:v>
      </x:c>
      <x:c r="G255" s="89" t="str">
        <x:v>Shyish Purple без Medium в глубине</x:v>
      </x:c>
      <x:c r="H255" s="89" t="str">
        <x:v>Phoenician Purple</x:v>
      </x:c>
      <x:c r="I255" s="89" t="str">
        <x:v>Xereus Purple</x:v>
      </x:c>
      <x:c r="J255" s="89" t="str">
        <x:v>Genestealer Purple</x:v>
      </x:c>
      <x:c r="K255" s="89" t="str">
        <x:v>Slaanesh Grey точечно</x:v>
      </x:c>
      <x:c r="L255" s="89" t="str">
        <x:v>Shyish Purple + Contrast Medium 1:6 для объединения</x:v>
      </x:c>
      <x:c r="M255" s="89" t="str">
        <x:v>Matt Varnish</x:v>
      </x:c>
      <x:c r="N255" s="90" t="str">
        <x:v>Низкая</x:v>
      </x:c>
      <x:c r="O255" s="89" t="str">
        <x:v>Официальная армейская схема сочетает Shyish Purple с Phoenician Purple highlights. Medium нужен, чтобы глубокий Contrast не стал почти чёрным.</x:v>
      </x:c>
      <x:c r="P255" s="89" t="str">
        <x:v>Внешний референс — адаптировано</x:v>
      </x:c>
      <x:c r="Q255" s="89" t="str">
        <x:v>Официальная практика Warhammer подтверждает применение ключевой краски или эффекта; переходы и дополнительные оттенки адаптированы под коллекцию.</x:v>
      </x:c>
    </x:row>
    <x:row r="256">
      <x:c r="A256" s="90" t="n">
        <x:v>252</x:v>
      </x:c>
      <x:c r="B256" s="438" t="str">
        <x:v>Коричневый и кожа</x:v>
      </x:c>
      <x:c r="C256" s="438" t="str">
        <x:v>Канализационно-тёмная кожа Garaghak's Sewer</x:v>
      </x:c>
      <x:c r="D256" s="89" t="str">
        <x:v>Contrast + потёртые края</x:v>
      </x:c>
      <x:c r="E256" s="89" t="str">
        <x:v>Настоящий грунт → Wraithbone</x:v>
      </x:c>
      <x:c r="F256" s="89" t="str">
        <x:v>Garaghak's Sewer + Contrast Medium 1:1</x:v>
      </x:c>
      <x:c r="G256" s="89" t="str">
        <x:v>Garaghak's Sewer без Medium в углубления</x:v>
      </x:c>
      <x:c r="H256" s="89" t="str">
        <x:v>Stormvermin Fur</x:v>
      </x:c>
      <x:c r="I256" s="89" t="str">
        <x:v>Baneblade Brown</x:v>
      </x:c>
      <x:c r="J256" s="89" t="str">
        <x:v>Karak Stone</x:v>
      </x:c>
      <x:c r="K256" s="89" t="str">
        <x:v>Pale Sand редкими царапинами</x:v>
      </x:c>
      <x:c r="L256" s="89" t="str">
        <x:v>Agrax Earthshade Gloss локально на влажной грязи</x:v>
      </x:c>
      <x:c r="M256" s="89" t="str">
        <x:v>Matt Varnish; локальный Satin/Gloss</x:v>
      </x:c>
      <x:c r="N256" s="90" t="str">
        <x:v>Низкая</x:v>
      </x:c>
      <x:c r="O256" s="89" t="str">
        <x:v>Garaghak's Sewer применяется как очень тёмный грязно-коричневый Contrast, а Stormvermin Fur создаёт серо-коричневый изношенный переход.</x:v>
      </x:c>
      <x:c r="P256" s="89" t="str">
        <x:v>Проверено — раскрытие коллекции</x:v>
      </x:c>
      <x:c r="Q256" s="89" t="str">
        <x:v>Рецепт создан для ранее недоиспользованной краски и использует только материалы текущей инвентаризации.</x:v>
      </x:c>
    </x:row>
    <x:row r="257">
      <x:c r="A257" s="90" t="n">
        <x:v>253</x:v>
      </x:c>
      <x:c r="B257" s="438" t="str">
        <x:v>Волосы и мех</x:v>
      </x:c>
      <x:c r="C257" s="438" t="str">
        <x:v>Красно-коричневый мех Gore-Grunta Fur</x:v>
      </x:c>
      <x:c r="D257" s="89" t="str">
        <x:v>Contrast + drybrush</x:v>
      </x:c>
      <x:c r="E257" s="89" t="str">
        <x:v>Настоящий грунт → Wraithbone</x:v>
      </x:c>
      <x:c r="F257" s="89" t="str">
        <x:v>Gore-Grunta Fur + Contrast Medium 1:1</x:v>
      </x:c>
      <x:c r="G257" s="89" t="str">
        <x:v>Gore-Grunta Fur без Medium в глубине</x:v>
      </x:c>
      <x:c r="H257" s="89" t="str">
        <x:v>AK Orange Brown сухой кистью</x:v>
      </x:c>
      <x:c r="I257" s="89" t="str">
        <x:v>Stormvermin Fur более лёгкой сухой кистью</x:v>
      </x:c>
      <x:c r="J257" s="89" t="str">
        <x:v>Karak Stone</x:v>
      </x:c>
      <x:c r="K257" s="89" t="str">
        <x:v>Pale Sand отдельными волосками</x:v>
      </x:c>
      <x:c r="L257" s="89" t="str">
        <x:v>Agrax Earthshade локально</x:v>
      </x:c>
      <x:c r="M257" s="89" t="str">
        <x:v>Matt Varnish</x:v>
      </x:c>
      <x:c r="N257" s="90" t="str">
        <x:v>Низкая</x:v>
      </x:c>
      <x:c r="O257" s="89" t="str">
        <x:v>Gore-Grunta Fur даёт тёплую рыже-коричневую массу; серо-коричневый Stormvermin Fur приглушает слишком оранжевый результат.</x:v>
      </x:c>
      <x:c r="P257" s="89" t="str">
        <x:v>Проверено — раскрытие коллекции</x:v>
      </x:c>
      <x:c r="Q257" s="89" t="str">
        <x:v>Рецепт создан для ранее недоиспользованной краски и использует только материалы текущей инвентаризации.</x:v>
      </x:c>
    </x:row>
    <x:row r="258">
      <x:c r="A258" s="90" t="n">
        <x:v>254</x:v>
      </x:c>
      <x:c r="B258" s="439" t="str">
        <x:v>Серый и чёрный</x:v>
      </x:c>
      <x:c r="C258" s="439" t="str">
        <x:v>Выветренные серые одежды Basilicanum</x:v>
      </x:c>
      <x:c r="D258" s="89" t="str">
        <x:v>Contrast + сухие высветления</x:v>
      </x:c>
      <x:c r="E258" s="89" t="str">
        <x:v>Настоящий грунт → Grey Seer</x:v>
      </x:c>
      <x:c r="F258" s="89" t="str">
        <x:v>Basilicanum Grey + Contrast Medium 1:1</x:v>
      </x:c>
      <x:c r="G258" s="89" t="str">
        <x:v>Basilicanum Grey без Medium в глубокие складки</x:v>
      </x:c>
      <x:c r="H258" s="89" t="str">
        <x:v>Mechanicus Standard Grey</x:v>
      </x:c>
      <x:c r="I258" s="89" t="str">
        <x:v>Dawnstone</x:v>
      </x:c>
      <x:c r="J258" s="89" t="str">
        <x:v>Sea Grey</x:v>
      </x:c>
      <x:c r="K258" s="89" t="str">
        <x:v>White Grey точечно</x:v>
      </x:c>
      <x:c r="L258" s="89" t="str">
        <x:v>Basilicanum Grey + Contrast Medium 1:6 как glaze</x:v>
      </x:c>
      <x:c r="M258" s="89" t="str">
        <x:v>Matt Varnish</x:v>
      </x:c>
      <x:c r="N258" s="90" t="str">
        <x:v>Низкая</x:v>
      </x:c>
      <x:c r="O258" s="89" t="str">
        <x:v>Basilicanum Grey официально применяется и как разбавленная тень для металла; здесь Medium сохраняет ткань светлее и матовее.</x:v>
      </x:c>
      <x:c r="P258" s="89" t="str">
        <x:v>Проверено — раскрытие коллекции</x:v>
      </x:c>
      <x:c r="Q258" s="89" t="str">
        <x:v>Рецепт создан для ранее недоиспользованной краски и использует только материалы текущей инвентаризации.</x:v>
      </x:c>
    </x:row>
    <x:row r="259">
      <x:c r="A259" s="90" t="n">
        <x:v>255</x:v>
      </x:c>
      <x:c r="B259" s="440" t="str">
        <x:v>Кость и белый</x:v>
      </x:c>
      <x:c r="C259" s="440" t="str">
        <x:v>Кость Bonewhite через аэрограф</x:v>
      </x:c>
      <x:c r="D259" s="89" t="str">
        <x:v>Airbrush base + Shade + Layer</x:v>
      </x:c>
      <x:c r="E259" s="89" t="str">
        <x:v>Ivory Primer</x:v>
      </x:c>
      <x:c r="F259" s="89" t="str">
        <x:v>Bonewhite аэрографом</x:v>
      </x:c>
      <x:c r="G259" s="89" t="str">
        <x:v>Seraphim Sepia</x:v>
      </x:c>
      <x:c r="H259" s="89" t="str">
        <x:v>Bonewhite вернуть под углом</x:v>
      </x:c>
      <x:c r="I259" s="89" t="str">
        <x:v>Screaming Skull</x:v>
      </x:c>
      <x:c r="J259" s="89" t="str">
        <x:v>Pale Sand</x:v>
      </x:c>
      <x:c r="K259" s="89" t="str">
        <x:v>White точечно</x:v>
      </x:c>
      <x:c r="L259" s="89" t="str">
        <x:v>Soulblight Grey локально в холодных старых участках</x:v>
      </x:c>
      <x:c r="M259" s="89" t="str">
        <x:v>Matt Varnish</x:v>
      </x:c>
      <x:c r="N259" s="90" t="str">
        <x:v>Низкая</x:v>
      </x:c>
      <x:c r="O259" s="89" t="str">
        <x:v>Game Air Bonewhite даёт ровную тёплую основу без необходимости разводить густую краску. Ivory Primer работает как настоящий тёплый грунт.</x:v>
      </x:c>
      <x:c r="P259" s="89" t="str">
        <x:v>Аэрографная адаптация</x:v>
      </x:c>
      <x:c r="Q259" s="89" t="str">
        <x:v>Air/Mecha/Primer материал используется по прямому назначению; давление и разбавление корректировать под сопло.</x:v>
      </x:c>
    </x:row>
    <x:row r="260">
      <x:c r="A260" s="90" t="n">
        <x:v>256</x:v>
      </x:c>
      <x:c r="B260" s="441" t="str">
        <x:v>Универсальные процессы</x:v>
      </x:c>
      <x:c r="C260" s="441" t="str">
        <x:v>Тёплая подложка Ivory Primer</x:v>
      </x:c>
      <x:c r="D260" s="89" t="str">
        <x:v>Настоящий грунт + прозрачные системы</x:v>
      </x:c>
      <x:c r="E260" s="89" t="str">
        <x:v>Ivory Primer</x:v>
      </x:c>
      <x:c r="F260" s="89" t="str">
        <x:v>Ivory Primer ровным тонким слоем</x:v>
      </x:c>
      <x:c r="G260" s="89" t="str">
        <x:v>—</x:v>
      </x:c>
      <x:c r="H260" s="89" t="str">
        <x:v>Wraithbone локально при необходимости</x:v>
      </x:c>
      <x:c r="I260" s="89" t="str">
        <x:v>White только на верхних фокусных зонах</x:v>
      </x:c>
      <x:c r="J260" s="89" t="str">
        <x:v>—</x:v>
      </x:c>
      <x:c r="K260" s="89" t="str">
        <x:v>—</x:v>
      </x:c>
      <x:c r="L260" s="89" t="str">
        <x:v>Выбранный Contrast/Xpress/Ink</x:v>
      </x:c>
      <x:c r="M260" s="89" t="str">
        <x:v>Финиш по материалу</x:v>
      </x:c>
      <x:c r="N260" s="90" t="str">
        <x:v>Низкая</x:v>
      </x:c>
      <x:c r="O260" s="89" t="str">
        <x:v>Ivory Primer позволяет сразу получить тёплую адгезионную основу под кожу, кость, жёлтый, красный и коричневые Contrast без дополнительного Base-слоя.</x:v>
      </x:c>
      <x:c r="P260" s="89" t="str">
        <x:v>Аэрографная адаптация</x:v>
      </x:c>
      <x:c r="Q260" s="89" t="str">
        <x:v>Air/Mecha/Primer материал используется по прямому назначению; давление и разбавление корректировать под сопло.</x:v>
      </x:c>
    </x:row>
    <x:row r="261">
      <x:c r="A261" s="90" t="n">
        <x:v>257</x:v>
      </x:c>
      <x:c r="B261" s="439" t="str">
        <x:v>Серый и чёрный</x:v>
      </x:c>
      <x:c r="C261" s="439" t="str">
        <x:v>Холодная морская серая броня Sea Grey</x:v>
      </x:c>
      <x:c r="D261" s="89" t="str">
        <x:v>Аэрографная серая модуляция</x:v>
      </x:c>
      <x:c r="E261" s="89" t="str">
        <x:v>Black Primer</x:v>
      </x:c>
      <x:c r="F261" s="89" t="str">
        <x:v>Sea Grey аэрографом</x:v>
      </x:c>
      <x:c r="G261" s="89" t="str">
        <x:v>AK German Grey Uniform снизу</x:v>
      </x:c>
      <x:c r="H261" s="89" t="str">
        <x:v>AK Medium Grey под углом</x:v>
      </x:c>
      <x:c r="I261" s="89" t="str">
        <x:v>White Grey сверху</x:v>
      </x:c>
      <x:c r="J261" s="89" t="str">
        <x:v>Ulthuan Grey локально</x:v>
      </x:c>
      <x:c r="K261" s="89" t="str">
        <x:v>White точечно</x:v>
      </x:c>
      <x:c r="L261" s="89" t="str">
        <x:v>Basilicanum Grey 1:6 с Contrast Medium в швы и нижние зоны</x:v>
      </x:c>
      <x:c r="M261" s="89" t="str">
        <x:v>Matt или Satin Varnish</x:v>
      </x:c>
      <x:c r="N261" s="90" t="str">
        <x:v>Средняя</x:v>
      </x:c>
      <x:c r="O261" s="89" t="str">
        <x:v>Sea Grey используется как холодный основной серый, отличающийся от более нейтральных German Grey и Medium Grey.</x:v>
      </x:c>
      <x:c r="P261" s="89" t="str">
        <x:v>Проверено — раскрытие коллекции</x:v>
      </x:c>
      <x:c r="Q261" s="89" t="str">
        <x:v>Рецепт создан для ранее недоиспользованной краски и использует только материалы текущей инвентаризации.</x:v>
      </x:c>
    </x:row>
    <x:row r="262">
      <x:c r="A262" s="90" t="n">
        <x:v>258</x:v>
      </x:c>
      <x:c r="B262" s="433" t="str">
        <x:v>Ткань</x:v>
      </x:c>
      <x:c r="C262" s="433" t="str">
        <x:v>Серо-коричневая полевая ткань Stormvermin Fur</x:v>
      </x:c>
      <x:c r="D262" s="89" t="str">
        <x:v>Матовая текстура + stippling</x:v>
      </x:c>
      <x:c r="E262" s="89" t="str">
        <x:v>Black Primer</x:v>
      </x:c>
      <x:c r="F262" s="89" t="str">
        <x:v>Stormvermin Fur</x:v>
      </x:c>
      <x:c r="G262" s="89" t="str">
        <x:v>Agrax Earthshade</x:v>
      </x:c>
      <x:c r="H262" s="89" t="str">
        <x:v>Stormvermin Fur вернуть</x:v>
      </x:c>
      <x:c r="I262" s="89" t="str">
        <x:v>Baneblade Brown stippling</x:v>
      </x:c>
      <x:c r="J262" s="89" t="str">
        <x:v>Karak Stone более редким stippling</x:v>
      </x:c>
      <x:c r="K262" s="89" t="str">
        <x:v>Pale Sand точечно</x:v>
      </x:c>
      <x:c r="L262" s="89" t="str">
        <x:v>Garaghak's Sewer + Contrast Medium 1:8 локально в грязные тени</x:v>
      </x:c>
      <x:c r="M262" s="89" t="str">
        <x:v>Matt Varnish</x:v>
      </x:c>
      <x:c r="N262" s="90" t="str">
        <x:v>Низкая</x:v>
      </x:c>
      <x:c r="O262" s="89" t="str">
        <x:v>Stormvermin Fur создаёт нейтральную полевую ткань между серым и коричневым; точечные света отличают её от гладкой кожи.</x:v>
      </x:c>
      <x:c r="P262" s="89" t="str">
        <x:v>Проверено — раскрытие коллекции</x:v>
      </x:c>
      <x:c r="Q262" s="89" t="str">
        <x:v>Рецепт создан для ранее недоиспользованной краски и использует только материалы текущей инвентаризации.</x:v>
      </x:c>
    </x:row>
    <x:row r="263">
      <x:c r="A263" s="90" t="n">
        <x:v>259</x:v>
      </x:c>
      <x:c r="B263" s="442" t="str">
        <x:v>Красный</x:v>
      </x:c>
      <x:c r="C263" s="442" t="str">
        <x:v>Гладкая красная меха-броня SZ Red</x:v>
      </x:c>
      <x:c r="D263" s="89" t="str">
        <x:v>Mecha Color + аэрографный лаковый свет</x:v>
      </x:c>
      <x:c r="E263" s="89" t="str">
        <x:v>Black Primer</x:v>
      </x:c>
      <x:c r="F263" s="89" t="str">
        <x:v>SZ Red аэрографом</x:v>
      </x:c>
      <x:c r="G263" s="89" t="str">
        <x:v>Word Bearers Red снизу</x:v>
      </x:c>
      <x:c r="H263" s="89" t="str">
        <x:v>Pure Red под углом</x:v>
      </x:c>
      <x:c r="I263" s="89" t="str">
        <x:v>AK Cadmium Red сверху</x:v>
      </x:c>
      <x:c r="J263" s="89" t="str">
        <x:v>Wild Rider Red узкой полосой</x:v>
      </x:c>
      <x:c r="K263" s="89" t="str">
        <x:v>White точечно</x:v>
      </x:c>
      <x:c r="L263" s="89" t="str">
        <x:v>Baal Red очень тонким фильтром</x:v>
      </x:c>
      <x:c r="M263" s="89" t="str">
        <x:v>Satin или Gloss Varnish</x:v>
      </x:c>
      <x:c r="N263" s="90" t="str">
        <x:v>Средняя</x:v>
      </x:c>
      <x:c r="O263" s="89" t="str">
        <x:v>Mecha Color SZ Red подходит для гладкого аэрографного покрытия. Размещать свет как отражение на панели, а не как равномерный edge highlight.</x:v>
      </x:c>
      <x:c r="P263" s="89" t="str">
        <x:v>Аэрографная адаптация</x:v>
      </x:c>
      <x:c r="Q263" s="89" t="str">
        <x:v>Air/Mecha/Primer материал используется по прямому назначению; давление и разбавление корректировать под сопло.</x:v>
      </x:c>
    </x:row>
    <x:row r="264">
      <x:c r="A264" s="90" t="n">
        <x:v>260</x:v>
      </x:c>
      <x:c r="B264" s="442" t="str">
        <x:v>Красный</x:v>
      </x:c>
      <x:c r="C264" s="442" t="str">
        <x:v>Чистая яркая красная геральдика Pure Red</x:v>
      </x:c>
      <x:c r="D264" s="89" t="str">
        <x:v>Непрозрачная маркировка + коррекция</x:v>
      </x:c>
      <x:c r="E264" s="89" t="str">
        <x:v>Grey Seer или White Grey подложка</x:v>
      </x:c>
      <x:c r="F264" s="89" t="str">
        <x:v>Pure Red 2–3 тонкими слоями</x:v>
      </x:c>
      <x:c r="G264" s="89" t="str">
        <x:v>Word Bearers Red в нижнюю часть</x:v>
      </x:c>
      <x:c r="H264" s="89" t="str">
        <x:v>Pure Red вернуть</x:v>
      </x:c>
      <x:c r="I264" s="89" t="str">
        <x:v>AK Cadmium Red</x:v>
      </x:c>
      <x:c r="J264" s="89" t="str">
        <x:v>Wild Rider Red</x:v>
      </x:c>
      <x:c r="K264" s="89" t="str">
        <x:v>White точечно</x:v>
      </x:c>
      <x:c r="L264" s="89" t="str">
        <x:v>Red Ink 1:10 с Lahmian Medium для объединения</x:v>
      </x:c>
      <x:c r="M264" s="89" t="str">
        <x:v>Matt или Satin Varnish</x:v>
      </x:c>
      <x:c r="N264" s="90" t="str">
        <x:v>Низкая</x:v>
      </x:c>
      <x:c r="O264" s="89" t="str">
        <x:v>Army Painter Pure Red используется как укрывистая основа freehand и геральдики; светлая подложка уменьшает количество слоёв.</x:v>
      </x:c>
      <x:c r="P264" s="89" t="str">
        <x:v>Проверено — раскрытие коллекции</x:v>
      </x:c>
      <x:c r="Q264" s="89" t="str">
        <x:v>Рецепт создан для ранее недоиспользованной краски и использует только материалы текущей инвентаризации.</x:v>
      </x:c>
    </x:row>
    <x:row r="265">
      <x:c r="A265" s="90" t="n">
        <x:v>261</x:v>
      </x:c>
      <x:c r="B265" s="442" t="str">
        <x:v>Красный</x:v>
      </x:c>
      <x:c r="C265" s="442" t="str">
        <x:v>Тёмно-кровавая броня Word Bearers Red</x:v>
      </x:c>
      <x:c r="D265" s="89" t="str">
        <x:v>Глубокая красная модуляция</x:v>
      </x:c>
      <x:c r="E265" s="89" t="str">
        <x:v>Black Primer</x:v>
      </x:c>
      <x:c r="F265" s="89" t="str">
        <x:v>Word Bearers Red</x:v>
      </x:c>
      <x:c r="G265" s="89" t="str">
        <x:v>Gal Vorbak Red снизу</x:v>
      </x:c>
      <x:c r="H265" s="89" t="str">
        <x:v>AK Dirty Red</x:v>
      </x:c>
      <x:c r="I265" s="89" t="str">
        <x:v>AK Blood Red</x:v>
      </x:c>
      <x:c r="J265" s="89" t="str">
        <x:v>Wazdakka Red</x:v>
      </x:c>
      <x:c r="K265" s="89" t="str">
        <x:v>Fire Dragon Bright точечно</x:v>
      </x:c>
      <x:c r="L265" s="89" t="str">
        <x:v>Flesh Tearers Red + Contrast Medium 1:5 как glaze</x:v>
      </x:c>
      <x:c r="M265" s="89" t="str">
        <x:v>Matt или Satin Varnish</x:v>
      </x:c>
      <x:c r="N265" s="90" t="str">
        <x:v>Средняя</x:v>
      </x:c>
      <x:c r="O265" s="89" t="str">
        <x:v>Word Bearers Red становится самостоятельной насыщенной тёмной базой, а не только промежуточным слоем красной цепочки.</x:v>
      </x:c>
      <x:c r="P265" s="89" t="str">
        <x:v>Проверено — раскрытие коллекции</x:v>
      </x:c>
      <x:c r="Q265" s="89" t="str">
        <x:v>Рецепт создан для ранее недоиспользованной краски и использует только материалы текущей инвентаризации.</x:v>
      </x:c>
    </x:row>
    <x:row r="266">
      <x:c r="A266" s="90" t="n">
        <x:v>262</x:v>
      </x:c>
      <x:c r="B266" s="443" t="str">
        <x:v>Металлик</x:v>
      </x:c>
      <x:c r="C266" s="443" t="str">
        <x:v>Античное золото Old Gold</x:v>
      </x:c>
      <x:c r="D266" s="89" t="str">
        <x:v>Тёмный металл + старое золото</x:v>
      </x:c>
      <x:c r="E266" s="89" t="str">
        <x:v>Black Primer</x:v>
      </x:c>
      <x:c r="F266" s="89" t="str">
        <x:v>Warplock Bronze</x:v>
      </x:c>
      <x:c r="G266" s="89" t="str">
        <x:v>Agrax Earthshade</x:v>
      </x:c>
      <x:c r="H266" s="89" t="str">
        <x:v>Old Gold</x:v>
      </x:c>
      <x:c r="I266" s="89" t="str">
        <x:v>Liberator Gold</x:v>
      </x:c>
      <x:c r="J266" s="89" t="str">
        <x:v>Canoptek Alloy</x:v>
      </x:c>
      <x:c r="K266" s="89" t="str">
        <x:v>Vallejo Silver точечно</x:v>
      </x:c>
      <x:c r="L266" s="89" t="str">
        <x:v>Seraphim Sepia очень тонко в переходы</x:v>
      </x:c>
      <x:c r="M266" s="89" t="str">
        <x:v>Metal Varnish</x:v>
      </x:c>
      <x:c r="N266" s="90" t="str">
        <x:v>Средняя</x:v>
      </x:c>
      <x:c r="O266" s="89" t="str">
        <x:v>Vallejo Old Gold даёт менее жёлтый исторический оттенок, чем Retributor Armour, и хорошо работает поверх тёмной бронзы.</x:v>
      </x:c>
      <x:c r="P266" s="89" t="str">
        <x:v>Проверено — раскрытие коллекции</x:v>
      </x:c>
      <x:c r="Q266" s="89" t="str">
        <x:v>Рецепт создан для ранее недоиспользованной краски и использует только материалы текущей инвентаризации.</x:v>
      </x:c>
    </x:row>
    <x:row r="267">
      <x:c r="A267" s="90" t="n">
        <x:v>263</x:v>
      </x:c>
      <x:c r="B267" s="443" t="str">
        <x:v>Металлик</x:v>
      </x:c>
      <x:c r="C267" s="443" t="str">
        <x:v>Сухое древнее золото Golden Griffon</x:v>
      </x:c>
      <x:c r="D267" s="89" t="str">
        <x:v>Dry metallic по фактуре</x:v>
      </x:c>
      <x:c r="E267" s="89" t="str">
        <x:v>Black Primer</x:v>
      </x:c>
      <x:c r="F267" s="89" t="str">
        <x:v>Warplock Bronze</x:v>
      </x:c>
      <x:c r="G267" s="89" t="str">
        <x:v>Agrax Earthshade</x:v>
      </x:c>
      <x:c r="H267" s="89" t="str">
        <x:v>Balthasar Gold сухой кистью</x:v>
      </x:c>
      <x:c r="I267" s="89" t="str">
        <x:v>Golden Griffon лёгкой сухой кистью</x:v>
      </x:c>
      <x:c r="J267" s="89" t="str">
        <x:v>Canoptek Alloy очень легко</x:v>
      </x:c>
      <x:c r="K267" s="89" t="str">
        <x:v>Vallejo Silver только на острых кромках</x:v>
      </x:c>
      <x:c r="L267" s="89" t="str">
        <x:v>Nihilakh Oxide локально при древней патине</x:v>
      </x:c>
      <x:c r="M267" s="89" t="str">
        <x:v>Metal Varnish или Satin</x:v>
      </x:c>
      <x:c r="N267" s="90" t="str">
        <x:v>Низкая</x:v>
      </x:c>
      <x:c r="O267" s="89" t="str">
        <x:v>Golden Griffon — Dry, поэтому используется на рельефной древней фактуре, цепях и украшениях, а не как обычный гладкий Layer.</x:v>
      </x:c>
      <x:c r="P267" s="89" t="str">
        <x:v>Проверено по роли Dry</x:v>
      </x:c>
      <x:c r="Q267" s="89" t="str">
        <x:v>Golden Griffon и Necron Compound применяются сухой кистью только по рельефу, где пастообразная формула работает наиболее эффективно.</x:v>
      </x:c>
    </x:row>
    <x:row r="268">
      <x:c r="A268" s="90" t="n">
        <x:v>264</x:v>
      </x:c>
      <x:c r="B268" s="443" t="str">
        <x:v>Металлик</x:v>
      </x:c>
      <x:c r="C268" s="443" t="str">
        <x:v>Быстрая тёмная машина Necron Compound</x:v>
      </x:c>
      <x:c r="D268" s="89" t="str">
        <x:v>Dry metallic + локальный Shade</x:v>
      </x:c>
      <x:c r="E268" s="89" t="str">
        <x:v>Black Primer</x:v>
      </x:c>
      <x:c r="F268" s="89" t="str">
        <x:v>AK Black или Black Metallic</x:v>
      </x:c>
      <x:c r="G268" s="89" t="str">
        <x:v>Nuln Oil</x:v>
      </x:c>
      <x:c r="H268" s="89" t="str">
        <x:v>Necron Compound сухой кистью</x:v>
      </x:c>
      <x:c r="I268" s="89" t="str">
        <x:v>Ironbreaker на верхних деталях</x:v>
      </x:c>
      <x:c r="J268" s="89" t="str">
        <x:v>Runefang Steel</x:v>
      </x:c>
      <x:c r="K268" s="89" t="str">
        <x:v>Vallejo Silver точечно</x:v>
      </x:c>
      <x:c r="L268" s="89" t="str">
        <x:v>Tyran Blue или Druchii Violet локально для цветной стали</x:v>
      </x:c>
      <x:c r="M268" s="89" t="str">
        <x:v>Metal Varnish</x:v>
      </x:c>
      <x:c r="N268" s="90" t="str">
        <x:v>Низкая</x:v>
      </x:c>
      <x:c r="O268" s="89" t="str">
        <x:v>Necron Compound быстро выявляет рельеф механизма. На широких гладких панелях лучше использовать аэрографный Metal Color.</x:v>
      </x:c>
      <x:c r="P268" s="89" t="str">
        <x:v>Проверено по роли Dry</x:v>
      </x:c>
      <x:c r="Q268" s="89" t="str">
        <x:v>Golden Griffon и Necron Compound применяются сухой кистью только по рельефу, где пастообразная формула работает наиболее эффективно.</x:v>
      </x:c>
    </x:row>
    <x:row r="269">
      <x:c r="A269" s="90" t="n">
        <x:v>265</x:v>
      </x:c>
      <x:c r="B269" s="443" t="str">
        <x:v>Металлик</x:v>
      </x:c>
      <x:c r="C269" s="443" t="str">
        <x:v>Полированная тёплая бронза с Reikland Gloss</x:v>
      </x:c>
      <x:c r="D269" s="89" t="str">
        <x:v>Gloss Shade + металлические света</x:v>
      </x:c>
      <x:c r="E269" s="89" t="str">
        <x:v>Black Primer</x:v>
      </x:c>
      <x:c r="F269" s="89" t="str">
        <x:v>Balthasar Gold</x:v>
      </x:c>
      <x:c r="G269" s="89" t="str">
        <x:v>Reikland Fleshshade Gloss</x:v>
      </x:c>
      <x:c r="H269" s="89" t="str">
        <x:v>Runelord Brass</x:v>
      </x:c>
      <x:c r="I269" s="89" t="str">
        <x:v>Old Gold</x:v>
      </x:c>
      <x:c r="J269" s="89" t="str">
        <x:v>Canoptek Alloy</x:v>
      </x:c>
      <x:c r="K269" s="89" t="str">
        <x:v>Vallejo Silver микроточками</x:v>
      </x:c>
      <x:c r="L269" s="89" t="str">
        <x:v>Seraphim Sepia локально для матовой глубины</x:v>
      </x:c>
      <x:c r="M269" s="89" t="str">
        <x:v>Metal Varnish</x:v>
      </x:c>
      <x:c r="N269" s="90" t="str">
        <x:v>Средняя</x:v>
      </x:c>
      <x:c r="O269" s="89" t="str">
        <x:v>Gloss Shade затемняет углубления, сохраняя полированный металлический финиш лучше обычной матовой телесной проливки.</x:v>
      </x:c>
      <x:c r="P269" s="89" t="str">
        <x:v>Проверено — раскрытие коллекции</x:v>
      </x:c>
      <x:c r="Q269" s="89" t="str">
        <x:v>Рецепт создан для ранее недоиспользованной краски и использует только материалы текущей инвентаризации.</x:v>
      </x:c>
    </x:row>
    <x:row r="270">
      <x:c r="A270" s="90" t="n">
        <x:v>266</x:v>
      </x:c>
      <x:c r="B270" s="444" t="str">
        <x:v>Огонь и лава</x:v>
      </x:c>
      <x:c r="C270" s="444" t="str">
        <x:v>Вулканическая корка Mordant Earth</x:v>
      </x:c>
      <x:c r="D270" s="89" t="str">
        <x:v>Яркая подложка + чёрный crackle</x:v>
      </x:c>
      <x:c r="E270" s="89" t="str">
        <x:v>Black Primer → White в трещинах</x:v>
      </x:c>
      <x:c r="F270" s="89" t="str">
        <x:v>Magmadroth Flame</x:v>
      </x:c>
      <x:c r="G270" s="89" t="str">
        <x:v>AK Dirty Red по внешним зонам</x:v>
      </x:c>
      <x:c r="H270" s="89" t="str">
        <x:v>Orange Fluorescent</x:v>
      </x:c>
      <x:c r="I270" s="89" t="str">
        <x:v>AK Yellow</x:v>
      </x:c>
      <x:c r="J270" s="89" t="str">
        <x:v>White в самых горячих местах</x:v>
      </x:c>
      <x:c r="K270" s="89" t="str">
        <x:v>Mordant Earth толстым слоем поверх полностью сухого яркого подслоя</x:v>
      </x:c>
      <x:c r="L270" s="89" t="str">
        <x:v>Gloss/Satin локально в трещинах</x:v>
      </x:c>
      <x:c r="M270" s="89" t="str">
        <x:v>Matt Varnish на корке</x:v>
      </x:c>
      <x:c r="N270" s="90" t="str">
        <x:v>Средняя</x:v>
      </x:c>
      <x:c r="O270" s="89" t="str">
        <x:v>Warhammer рекомендует Magmadroth Flame по светлой базе для горячей лавы; Mordant Earth раскрывает яркий подслой через чёрные трещины.</x:v>
      </x:c>
      <x:c r="P270" s="89" t="str">
        <x:v>Внешний референс — адаптировано</x:v>
      </x:c>
      <x:c r="Q270" s="89" t="str">
        <x:v>Официальная практика Warhammer подтверждает применение ключевой краски или эффекта; переходы и дополнительные оттенки адаптированы под коллекцию.</x:v>
      </x:c>
    </x:row>
    <x:row r="271">
      <x:c r="A271" s="90" t="n">
        <x:v>267</x:v>
      </x:c>
      <x:c r="B271" s="445" t="str">
        <x:v>Эффекты</x:v>
      </x:c>
      <x:c r="C271" s="445" t="str">
        <x:v>Токсичные зелёные трещины Mordant Earth</x:v>
      </x:c>
      <x:c r="D271" s="89" t="str">
        <x:v>Цветная подложка + crackle</x:v>
      </x:c>
      <x:c r="E271" s="89" t="str">
        <x:v>Black Primer → White в зоне трещин</x:v>
      </x:c>
      <x:c r="F271" s="89" t="str">
        <x:v>Warp Lightning</x:v>
      </x:c>
      <x:c r="G271" s="89" t="str">
        <x:v>Striking Scorpion Green на ярких местах</x:v>
      </x:c>
      <x:c r="H271" s="89" t="str">
        <x:v>Green Fluorescent</x:v>
      </x:c>
      <x:c r="I271" s="89" t="str">
        <x:v>Moot Green</x:v>
      </x:c>
      <x:c r="J271" s="89" t="str">
        <x:v>White точечно</x:v>
      </x:c>
      <x:c r="K271" s="89" t="str">
        <x:v>Mordant Earth поверх полностью сухой зелёной подложки</x:v>
      </x:c>
      <x:c r="L271" s="89" t="str">
        <x:v>Nurgle's Rot или Gloss Varnish локально в трещинах</x:v>
      </x:c>
      <x:c r="M271" s="89" t="str">
        <x:v>Matt Varnish на корке</x:v>
      </x:c>
      <x:c r="N271" s="90" t="str">
        <x:v>Средняя</x:v>
      </x:c>
      <x:c r="O271" s="89" t="str">
        <x:v>Официальные базы используют зелёную подложку под Mordant Earth, позволяя ядовитому цвету читаться через трещины.</x:v>
      </x:c>
      <x:c r="P271" s="89" t="str">
        <x:v>Внешний референс — адаптировано</x:v>
      </x:c>
      <x:c r="Q271" s="89" t="str">
        <x:v>Официальная практика Warhammer подтверждает применение ключевой краски или эффекта; переходы и дополнительные оттенки адаптированы под коллекцию.</x:v>
      </x:c>
    </x:row>
    <x:row r="272">
      <x:c r="A272" s="90" t="n">
        <x:v>268</x:v>
      </x:c>
      <x:c r="B272" s="446" t="str">
        <x:v>Подставки и террейн</x:v>
      </x:c>
      <x:c r="C272" s="446" t="str">
        <x:v>Сухой свежий снег без специальной пасты</x:v>
      </x:c>
      <x:c r="D272" s="89" t="str">
        <x:v>Окрашенная текстура + белая поверхность</x:v>
      </x:c>
      <x:c r="E272" s="89" t="str">
        <x:v>Любой настоящий грунт</x:v>
      </x:c>
      <x:c r="F272" s="89" t="str">
        <x:v>Light Earth для рельефа</x:v>
      </x:c>
      <x:c r="G272" s="89" t="str">
        <x:v>Bonewhite аэрографом</x:v>
      </x:c>
      <x:c r="H272" s="89" t="str">
        <x:v>White Grey сухой кистью</x:v>
      </x:c>
      <x:c r="I272" s="89" t="str">
        <x:v>White более лёгкой сухой кистью</x:v>
      </x:c>
      <x:c r="J272" s="89" t="str">
        <x:v>White точечно</x:v>
      </x:c>
      <x:c r="K272" s="89" t="str">
        <x:v>Frostheart 1:12 с Contrast Medium только в глубокие холодные зоны</x:v>
      </x:c>
      <x:c r="L272" s="89" t="str">
        <x:v>Matt Varnish</x:v>
      </x:c>
      <x:c r="M272" s="89" t="str">
        <x:v>Низкая</x:v>
      </x:c>
      <x:c r="N272" s="90" t="str">
        <x:v>Warhammer советует строить снег разной высоты и использовать его для контраста с тёмными схемами. Light Earth здесь служит только текстурной основой, полностью перекрытой белым.</x:v>
      </x:c>
      <x:c r="O272" s="89"/>
      <x:c r="P272" s="89" t="str">
        <x:v>Внешний референс — адаптировано</x:v>
      </x:c>
      <x:c r="Q272" s="89" t="str">
        <x:v>Официальная практика Warhammer подтверждает применение ключевой краски или эффекта; переходы и дополнительные оттенки адаптированы под коллекцию.</x:v>
      </x:c>
    </x:row>
    <x:row r="273">
      <x:c r="A273" s="90" t="n">
        <x:v>269</x:v>
      </x:c>
      <x:c r="B273" s="446" t="str">
        <x:v>Подставки и террейн</x:v>
      </x:c>
      <x:c r="C273" s="446" t="str">
        <x:v>Грязный тающий снег</x:v>
      </x:c>
      <x:c r="D273" s="89" t="str">
        <x:v>Белый снег + земляные края + локальный глянец</x:v>
      </x:c>
      <x:c r="E273" s="89" t="str">
        <x:v>Любой настоящий грунт</x:v>
      </x:c>
      <x:c r="F273" s="89" t="str">
        <x:v>Light Earth + AK Deep Brown пятнами</x:v>
      </x:c>
      <x:c r="G273" s="89" t="str">
        <x:v>Bonewhite на снежных массах</x:v>
      </x:c>
      <x:c r="H273" s="89" t="str">
        <x:v>White Grey</x:v>
      </x:c>
      <x:c r="I273" s="89" t="str">
        <x:v>White только на свежих верхних участках</x:v>
      </x:c>
      <x:c r="J273" s="89" t="str">
        <x:v>AK Dark Sand на грязном крае</x:v>
      </x:c>
      <x:c r="K273" s="89" t="str">
        <x:v>Agrax Earthshade Gloss и Gloss Varnish в талой воде</x:v>
      </x:c>
      <x:c r="L273" s="89" t="str">
        <x:v>Matt Varnish на сухом снеге</x:v>
      </x:c>
      <x:c r="M273" s="89" t="str">
        <x:v>Средняя</x:v>
      </x:c>
      <x:c r="N273" s="90" t="str">
        <x:v>Талый снег темнее, грязнее и глянцевее у земли. Чистый белый сохраняется только на новых верхних участках.</x:v>
      </x:c>
      <x:c r="O273" s="89"/>
      <x:c r="P273" s="89" t="str">
        <x:v>Проверено — раскрытие коллекции</x:v>
      </x:c>
      <x:c r="Q273" s="89" t="str">
        <x:v>Рецепт создан для ранее недоиспользованной краски и использует только материалы текущей инвентаризации.</x:v>
      </x:c>
    </x:row>
    <x:row r="274">
      <x:c r="A274" s="90" t="n">
        <x:v>270</x:v>
      </x:c>
      <x:c r="B274" s="446" t="str">
        <x:v>Подставки и террейн</x:v>
      </x:c>
      <x:c r="C274" s="446" t="str">
        <x:v>Пепельная пустошь</x:v>
      </x:c>
      <x:c r="D274" s="89" t="str">
        <x:v>Тёмная текстура + холодный серый drybrush</x:v>
      </x:c>
      <x:c r="E274" s="89" t="str">
        <x:v>Black Primer</x:v>
      </x:c>
      <x:c r="F274" s="89" t="str">
        <x:v>AK Asphalt</x:v>
      </x:c>
      <x:c r="G274" s="89" t="str">
        <x:v>Basilicanum Grey + Contrast Medium 1:1</x:v>
      </x:c>
      <x:c r="H274" s="89" t="str">
        <x:v>Sea Grey сухой кистью</x:v>
      </x:c>
      <x:c r="I274" s="89" t="str">
        <x:v>White Grey более лёгкой сухой кистью</x:v>
      </x:c>
      <x:c r="J274" s="89" t="str">
        <x:v>Necron Compound очень локально по металлическому мусору</x:v>
      </x:c>
      <x:c r="K274" s="89" t="str">
        <x:v>White точечно по пепельным камням</x:v>
      </x:c>
      <x:c r="L274" s="89" t="str">
        <x:v>Сажа газовая после лака в глубоких зонах</x:v>
      </x:c>
      <x:c r="M274" s="89" t="str">
        <x:v>Matt Varnish после полного высыхания масла</x:v>
      </x:c>
      <x:c r="N274" s="90" t="str">
        <x:v>Низкая</x:v>
      </x:c>
      <x:c r="O274" s="89" t="str">
        <x:v>Пепельная база отличается от обычного камня более мягкой серой пылью и почти полным отсутствием тёплых земляных оттенков.</x:v>
      </x:c>
      <x:c r="P274" s="89" t="str">
        <x:v>Проверено — раскрытие коллекции</x:v>
      </x:c>
      <x:c r="Q274" s="89" t="str">
        <x:v>Рецепт создан для ранее недоиспользованной краски и использует только материалы текущей инвентаризации.</x:v>
      </x:c>
    </x:row>
    <x:row r="275">
      <x:c r="A275" s="90" t="n">
        <x:v>271</x:v>
      </x:c>
      <x:c r="B275" s="465" t="str">
        <x:v>Кость и белый</x:v>
      </x:c>
      <x:c r="C275" s="465" t="str">
        <x:v>Старая кость Skeleton Horde</x:v>
      </x:c>
      <x:c r="D275" s="89" t="str">
        <x:v>Contrast + локальные непрозрачные света</x:v>
      </x:c>
      <x:c r="E275" s="89" t="str">
        <x:v>Настоящий грунт → Wraithbone</x:v>
      </x:c>
      <x:c r="F275" s="89" t="str">
        <x:v>Skeleton Horde + Contrast Medium 1:1</x:v>
      </x:c>
      <x:c r="G275" s="89" t="str">
        <x:v>Skeleton Horde без Medium в трещины</x:v>
      </x:c>
      <x:c r="H275" s="89" t="str">
        <x:v>Rakarth Flesh</x:v>
      </x:c>
      <x:c r="I275" s="89" t="str">
        <x:v>Screaming Skull</x:v>
      </x:c>
      <x:c r="J275" s="89" t="str">
        <x:v>Flayed One Flesh</x:v>
      </x:c>
      <x:c r="K275" s="89" t="str">
        <x:v>Pallid Wych Flesh точечно</x:v>
      </x:c>
      <x:c r="L275" s="89" t="str">
        <x:v>Agrax Earthshade только в самые глубокие стыки</x:v>
      </x:c>
      <x:c r="M275" s="89" t="str">
        <x:v>Matt Varnish</x:v>
      </x:c>
      <x:c r="N275" s="90" t="str">
        <x:v>Низкая</x:v>
      </x:c>
      <x:c r="O275" s="89" t="str">
        <x:v>Skeleton Horde даёт быструю тёплую кость; официальный Tyranid и Kill Team workflow использует его как основной прозрачный слой по Wraithbone.</x:v>
      </x:c>
      <x:c r="P275" s="89" t="str">
        <x:v>Внешний референс — адаптировано</x:v>
      </x:c>
      <x:c r="Q275" s="89" t="str">
        <x:v>Официальный Warhammer/AK источник подтверждает базовую технику или цветовую логику; конкретная цепочка адаптирована под коллекцию.</x:v>
      </x:c>
    </x:row>
    <x:row r="276">
      <x:c r="A276" s="90" t="n">
        <x:v>272</x:v>
      </x:c>
      <x:c r="B276" s="466" t="str">
        <x:v>Коричневый и кожа</x:v>
      </x:c>
      <x:c r="C276" s="466" t="str">
        <x:v>Светлая кожа Snakebite Leather</x:v>
      </x:c>
      <x:c r="D276" s="89" t="str">
        <x:v>Contrast в двух насыщенностях</x:v>
      </x:c>
      <x:c r="E276" s="89" t="str">
        <x:v>Настоящий грунт → Wraithbone</x:v>
      </x:c>
      <x:c r="F276" s="89" t="str">
        <x:v>Snakebite Leather + Contrast Medium 1:1</x:v>
      </x:c>
      <x:c r="G276" s="89" t="str">
        <x:v>Snakebite Leather без Medium в складки</x:v>
      </x:c>
      <x:c r="H276" s="89" t="str">
        <x:v>Zamesi Desert</x:v>
      </x:c>
      <x:c r="I276" s="89" t="str">
        <x:v>Baneblade Brown</x:v>
      </x:c>
      <x:c r="J276" s="89" t="str">
        <x:v>Karak Stone</x:v>
      </x:c>
      <x:c r="K276" s="89" t="str">
        <x:v>Pale Sand редкими царапинами</x:v>
      </x:c>
      <x:c r="L276" s="89" t="str">
        <x:v>Seraphim Sepia 1:8 с Lahmian Medium для объединения</x:v>
      </x:c>
      <x:c r="M276" s="89" t="str">
        <x:v>Satin Varnish</x:v>
      </x:c>
      <x:c r="N276" s="90" t="str">
        <x:v>Низкая</x:v>
      </x:c>
      <x:c r="O276" s="89" t="str">
        <x:v>Warhammer рекомендует Snakebite Leather как быстрый универсальный светлый leather. Medium сохраняет подложку и не даёт коже стать слишком оранжевой.</x:v>
      </x:c>
      <x:c r="P276" s="89" t="str">
        <x:v>Внешний референс — адаптировано</x:v>
      </x:c>
      <x:c r="Q276" s="89" t="str">
        <x:v>Официальный Warhammer/AK источник подтверждает базовую технику или цветовую логику; конкретная цепочка адаптирована под коллекцию.</x:v>
      </x:c>
    </x:row>
    <x:row r="277">
      <x:c r="A277" s="90" t="n">
        <x:v>273</x:v>
      </x:c>
      <x:c r="B277" s="467" t="str">
        <x:v>Телесный</x:v>
      </x:c>
      <x:c r="C277" s="467" t="str">
        <x:v>Фиолетовое брюхо змеи Magos Purple</x:v>
      </x:c>
      <x:c r="D277" s="89" t="str">
        <x:v>Прозрачный цвет + телесные света</x:v>
      </x:c>
      <x:c r="E277" s="89" t="str">
        <x:v>Настоящий грунт → Wraithbone</x:v>
      </x:c>
      <x:c r="F277" s="89" t="str">
        <x:v>Magos Purple + Contrast Medium 1:1</x:v>
      </x:c>
      <x:c r="G277" s="89" t="str">
        <x:v>Magos Purple без Medium между сегментами</x:v>
      </x:c>
      <x:c r="H277" s="89" t="str">
        <x:v>Rakarth Flesh + Magos Purple 3:1</x:v>
      </x:c>
      <x:c r="I277" s="89" t="str">
        <x:v>Cadian Fleshtone</x:v>
      </x:c>
      <x:c r="J277" s="89" t="str">
        <x:v>Pale Flesh</x:v>
      </x:c>
      <x:c r="K277" s="89" t="str">
        <x:v>Pallid Wych Flesh точечно</x:v>
      </x:c>
      <x:c r="L277" s="89" t="str">
        <x:v>Dreadful Visage 1:8 с Contrast Medium для холодного объединения</x:v>
      </x:c>
      <x:c r="M277" s="89" t="str">
        <x:v>Matt Varnish</x:v>
      </x:c>
      <x:c r="N277" s="90" t="str">
        <x:v>Низкая</x:v>
      </x:c>
      <x:c r="O277" s="89" t="str">
        <x:v>Официальный community example использует Magos Purple поверх светлой кожи для snake bellies. Света постепенно возвращаются к телесным оттенкам.</x:v>
      </x:c>
      <x:c r="P277" s="89" t="str">
        <x:v>Внешний референс — адаптировано</x:v>
      </x:c>
      <x:c r="Q277" s="89" t="str">
        <x:v>Официальный Warhammer/AK источник подтверждает базовую технику или цветовую логику; конкретная цепочка адаптирована под коллекцию.</x:v>
      </x:c>
    </x:row>
    <x:row r="278">
      <x:c r="A278" s="90" t="n">
        <x:v>274</x:v>
      </x:c>
      <x:c r="B278" s="467" t="str">
        <x:v>Телесный</x:v>
      </x:c>
      <x:c r="C278" s="467" t="str">
        <x:v>Истерзанная демоническая кожа Berserker Bloodshade</x:v>
      </x:c>
      <x:c r="D278" s="89" t="str">
        <x:v>Shade как цветная база</x:v>
      </x:c>
      <x:c r="E278" s="89" t="str">
        <x:v>Настоящий грунт → Wraithbone</x:v>
      </x:c>
      <x:c r="F278" s="89" t="str">
        <x:v>Berserker Bloodshade по всей коже</x:v>
      </x:c>
      <x:c r="G278" s="89" t="str">
        <x:v>Berserker Bloodshade вторым слоем в углубления</x:v>
      </x:c>
      <x:c r="H278" s="89" t="str">
        <x:v>Rakarth Flesh сухой кистью</x:v>
      </x:c>
      <x:c r="I278" s="89" t="str">
        <x:v>Rakarth Flesh + Pallid Wych Flesh 1:1</x:v>
      </x:c>
      <x:c r="J278" s="89" t="str">
        <x:v>Pallid Wych Flesh</x:v>
      </x:c>
      <x:c r="K278" s="89" t="str">
        <x:v>White точечно</x:v>
      </x:c>
      <x:c r="L278" s="89" t="str">
        <x:v>Carroburg Crimson 1:10 с Lahmian Medium в свежие раздражённые места</x:v>
      </x:c>
      <x:c r="M278" s="89" t="str">
        <x:v>Matt Varnish</x:v>
      </x:c>
      <x:c r="N278" s="90" t="str">
        <x:v>Низкая</x:v>
      </x:c>
      <x:c r="O278" s="89" t="str">
        <x:v>Warhammer прямо рекомендует Berserker Bloodshade для демонов, терзаемой плоти и шрамов; светлая сухая кисть возвращает форму.</x:v>
      </x:c>
      <x:c r="P278" s="89" t="str">
        <x:v>Внешний референс — адаптировано</x:v>
      </x:c>
      <x:c r="Q278" s="89" t="str">
        <x:v>Официальный Warhammer/AK источник подтверждает базовую технику или цветовую логику; конкретная цепочка адаптирована под коллекцию.</x:v>
      </x:c>
    </x:row>
    <x:row r="279">
      <x:c r="A279" s="90" t="n">
        <x:v>275</x:v>
      </x:c>
      <x:c r="B279" s="468" t="str">
        <x:v>Зелёный</x:v>
      </x:c>
      <x:c r="C279" s="468" t="str">
        <x:v>Болотная зелёная органика Biel-Tan</x:v>
      </x:c>
      <x:c r="D279" s="89" t="str">
        <x:v>Shade + непрозрачные света</x:v>
      </x:c>
      <x:c r="E279" s="89" t="str">
        <x:v>Настоящий грунт → Death Guard Green</x:v>
      </x:c>
      <x:c r="F279" s="89" t="str">
        <x:v>Biel-Tan Green</x:v>
      </x:c>
      <x:c r="G279" s="89" t="str">
        <x:v>Militarum Green в глубокие места</x:v>
      </x:c>
      <x:c r="H279" s="89" t="str">
        <x:v>Death Guard Green вернуть</x:v>
      </x:c>
      <x:c r="I279" s="89" t="str">
        <x:v>Kabalite Green</x:v>
      </x:c>
      <x:c r="J279" s="89" t="str">
        <x:v>Sybarite Green</x:v>
      </x:c>
      <x:c r="K279" s="89" t="str">
        <x:v>Moot Green точечно</x:v>
      </x:c>
      <x:c r="L279" s="89" t="str">
        <x:v>Plaguebearer Flesh 1:8 с Contrast Medium на более жёлтые участки</x:v>
      </x:c>
      <x:c r="M279" s="89" t="str">
        <x:v>Matt Varnish</x:v>
      </x:c>
      <x:c r="N279" s="90" t="str">
        <x:v>Низкая</x:v>
      </x:c>
      <x:c r="O279" s="89" t="str">
        <x:v>Biel-Tan Green становится насыщенной зелёной проливкой для органики и чешуи, а не только вспомогательной тенью.</x:v>
      </x:c>
      <x:c r="P279" s="89" t="str">
        <x:v>Проверено — рабочая техника</x:v>
      </x:c>
      <x:c r="Q279" s="89" t="str">
        <x:v>Рецепт использует реальные материалы коллекции и устойчивую логику поверхности, фактуры или финиша.</x:v>
      </x:c>
    </x:row>
    <x:row r="280">
      <x:c r="A280" s="90" t="n">
        <x:v>276</x:v>
      </x:c>
      <x:c r="B280" s="469" t="str">
        <x:v>Линзы и визоры</x:v>
      </x:c>
      <x:c r="C280" s="469" t="str">
        <x:v>Глубокий сапфир Soulstone Blue</x:v>
      </x:c>
      <x:c r="D280" s="89" t="str">
        <x:v>Металлическая подложка + Technical</x:v>
      </x:c>
      <x:c r="E280" s="89" t="str">
        <x:v>Black Primer</x:v>
      </x:c>
      <x:c r="F280" s="89" t="str">
        <x:v>Runefang Steel на весь камень</x:v>
      </x:c>
      <x:c r="G280" s="89" t="str">
        <x:v>Nuln Oil в верхнюю/тёмную часть</x:v>
      </x:c>
      <x:c r="H280" s="89" t="str">
        <x:v>Soulstone Blue</x:v>
      </x:c>
      <x:c r="I280" s="89" t="str">
        <x:v>Lothern Blue узкой нижней дугой</x:v>
      </x:c>
      <x:c r="J280" s="89" t="str">
        <x:v>Baharroth Blue меньшей дугой</x:v>
      </x:c>
      <x:c r="K280" s="89" t="str">
        <x:v>White точкой на противоположной стороне</x:v>
      </x:c>
      <x:c r="L280" s="89" t="str">
        <x:v>Blue Ink 1:12 с Lahmian Medium при необходимости углубить цвет</x:v>
      </x:c>
      <x:c r="M280" s="89" t="str">
        <x:v>Gloss Varnish</x:v>
      </x:c>
      <x:c r="N280" s="90" t="str">
        <x:v>Низкая</x:v>
      </x:c>
      <x:c r="O280" s="89" t="str">
        <x:v>Soulstone Blue остаётся основным прозрачным глянцевым слоем по яркому металлу; непрозрачные голубые элементы усиливают читаемость крупного камня.</x:v>
      </x:c>
      <x:c r="P280" s="89" t="str">
        <x:v>Проверено по роли Technical</x:v>
      </x:c>
      <x:c r="Q280" s="89" t="str">
        <x:v>Soulstone/Spiritstone/Waystone применяются по яркому металлическому подслою и сохраняются под локальным Gloss.</x:v>
      </x:c>
    </x:row>
    <x:row r="281">
      <x:c r="A281" s="90" t="n">
        <x:v>277</x:v>
      </x:c>
      <x:c r="B281" s="469" t="str">
        <x:v>Линзы и визоры</x:v>
      </x:c>
      <x:c r="C281" s="469" t="str">
        <x:v>Глубокий рубин Spiritstone Red</x:v>
      </x:c>
      <x:c r="D281" s="89" t="str">
        <x:v>Металлическая подложка + Technical</x:v>
      </x:c>
      <x:c r="E281" s="89" t="str">
        <x:v>Black Primer</x:v>
      </x:c>
      <x:c r="F281" s="89" t="str">
        <x:v>Runefang Steel на весь камень</x:v>
      </x:c>
      <x:c r="G281" s="89" t="str">
        <x:v>Nuln Oil в верхнюю/тёмную часть</x:v>
      </x:c>
      <x:c r="H281" s="89" t="str">
        <x:v>Spiritstone Red</x:v>
      </x:c>
      <x:c r="I281" s="89" t="str">
        <x:v>Evil Sunz Scarlet узкой нижней дугой</x:v>
      </x:c>
      <x:c r="J281" s="89" t="str">
        <x:v>Fire Dragon Bright меньшей дугой</x:v>
      </x:c>
      <x:c r="K281" s="89" t="str">
        <x:v>White точкой</x:v>
      </x:c>
      <x:c r="L281" s="89" t="str">
        <x:v>Red Ink 1:12 с Lahmian Medium при необходимости</x:v>
      </x:c>
      <x:c r="M281" s="89" t="str">
        <x:v>Gloss Varnish</x:v>
      </x:c>
      <x:c r="N281" s="90" t="str">
        <x:v>Низкая</x:v>
      </x:c>
      <x:c r="O281" s="89" t="str">
        <x:v>Spiritstone Red работает по той же физике, что Soulstone Blue: яркая металлическая подложка создаёт внутреннее отражение.</x:v>
      </x:c>
      <x:c r="P281" s="89" t="str">
        <x:v>Проверено по роли Technical</x:v>
      </x:c>
      <x:c r="Q281" s="89" t="str">
        <x:v>Soulstone/Spiritstone/Waystone применяются по яркому металлическому подслою и сохраняются под локальным Gloss.</x:v>
      </x:c>
    </x:row>
    <x:row r="282">
      <x:c r="A282" s="90" t="n">
        <x:v>278</x:v>
      </x:c>
      <x:c r="B282" s="469" t="str">
        <x:v>Линзы и визоры</x:v>
      </x:c>
      <x:c r="C282" s="469" t="str">
        <x:v>Три технических камня: синий, красный и зелёный</x:v>
      </x:c>
      <x:c r="D282" s="89" t="str">
        <x:v>Общий metallic workflow</x:v>
      </x:c>
      <x:c r="E282" s="89" t="str">
        <x:v>Black Primer</x:v>
      </x:c>
      <x:c r="F282" s="89" t="str">
        <x:v>Runefang Steel на все камни</x:v>
      </x:c>
      <x:c r="G282" s="89" t="str">
        <x:v>Nuln Oil в тёмную половину</x:v>
      </x:c>
      <x:c r="H282" s="89" t="str">
        <x:v>Soulstone Blue / Spiritstone Red / Waystone Green</x:v>
      </x:c>
      <x:c r="I282" s="89" t="str">
        <x:v>Lothern / Fire Dragon / Moot Green в светлую дугу</x:v>
      </x:c>
      <x:c r="J282" s="89" t="str">
        <x:v>Baharroth / Pale Sand / Moot+White меньшей дугой</x:v>
      </x:c>
      <x:c r="K282" s="89" t="str">
        <x:v>White точкой</x:v>
      </x:c>
      <x:c r="L282" s="89" t="str">
        <x:v>Соответствующий Ink 1:15 локально</x:v>
      </x:c>
      <x:c r="M282" s="89" t="str">
        <x:v>Gloss Varnish</x:v>
      </x:c>
      <x:c r="N282" s="90" t="str">
        <x:v>Средняя</x:v>
      </x:c>
      <x:c r="O282" s="89" t="str">
        <x:v>Единая геометрия отражения позволяет быстро красить несколько цветов камней без разных технических процессов.</x:v>
      </x:c>
      <x:c r="P282" s="89" t="str">
        <x:v>Проверено по роли Technical</x:v>
      </x:c>
      <x:c r="Q282" s="89" t="str">
        <x:v>Soulstone/Spiritstone/Waystone применяются по яркому металлическому подслою и сохраняются под локальным Gloss.</x:v>
      </x:c>
    </x:row>
    <x:row r="283">
      <x:c r="A283" s="90" t="n">
        <x:v>279</x:v>
      </x:c>
      <x:c r="B283" s="470" t="str">
        <x:v>Подставки и террейн</x:v>
      </x:c>
      <x:c r="C283" s="470" t="str">
        <x:v>Высохшая растрескавшаяся грязь Agrellan Earth</x:v>
      </x:c>
      <x:c r="D283" s="89" t="str">
        <x:v>Гладкая crackle-поверхность</x:v>
      </x:c>
      <x:c r="E283" s="89" t="str">
        <x:v>Black Primer</x:v>
      </x:c>
      <x:c r="F283" s="89" t="str">
        <x:v>AK Deep Brown</x:v>
      </x:c>
      <x:c r="G283" s="89" t="str">
        <x:v>Agrellan Earth средне-толстым слоем</x:v>
      </x:c>
      <x:c r="H283" s="89" t="str">
        <x:v>Agrax Earthshade в трещины</x:v>
      </x:c>
      <x:c r="I283" s="89" t="str">
        <x:v>Zamesi Desert сухой кистью</x:v>
      </x:c>
      <x:c r="J283" s="89" t="str">
        <x:v>Karak Stone</x:v>
      </x:c>
      <x:c r="K283" s="89" t="str">
        <x:v>Pale Sand точечно</x:v>
      </x:c>
      <x:c r="L283" s="89" t="str">
        <x:v>Умбра жжёная после лака в отдельных глубоких трещинах</x:v>
      </x:c>
      <x:c r="M283" s="89" t="str">
        <x:v>Matt Varnish</x:v>
      </x:c>
      <x:c r="N283" s="90" t="str">
        <x:v>Низкая</x:v>
      </x:c>
      <x:c r="O283" s="89" t="str">
        <x:v>Agrellan Earth даёт более гладкую растрескавшуюся поверхность; тёмная подложка остаётся видна через трещины.</x:v>
      </x:c>
      <x:c r="P283" s="89" t="str">
        <x:v>Проверено — рабочая техника</x:v>
      </x:c>
      <x:c r="Q283" s="89" t="str">
        <x:v>Рецепт использует реальные материалы коллекции и устойчивую логику поверхности, фактуры или финиша.</x:v>
      </x:c>
    </x:row>
    <x:row r="284">
      <x:c r="A284" s="90" t="n">
        <x:v>280</x:v>
      </x:c>
      <x:c r="B284" s="470" t="str">
        <x:v>Подставки и террейн</x:v>
      </x:c>
      <x:c r="C284" s="470" t="str">
        <x:v>Каменистая пустошь Agrellan Badland</x:v>
      </x:c>
      <x:c r="D284" s="89" t="str">
        <x:v>Зернистый crackle + drybrush</x:v>
      </x:c>
      <x:c r="E284" s="89" t="str">
        <x:v>Black Primer</x:v>
      </x:c>
      <x:c r="F284" s="89" t="str">
        <x:v>AK Deep Brown</x:v>
      </x:c>
      <x:c r="G284" s="89" t="str">
        <x:v>Agrellan Badland достаточно толстым слоем</x:v>
      </x:c>
      <x:c r="H284" s="89" t="str">
        <x:v>Agrax Earthshade</x:v>
      </x:c>
      <x:c r="I284" s="89" t="str">
        <x:v>AK Dark Sand сухой кистью</x:v>
      </x:c>
      <x:c r="J284" s="89" t="str">
        <x:v>Zamesi Desert</x:v>
      </x:c>
      <x:c r="K284" s="89" t="str">
        <x:v>Pale Sand точечно</x:v>
      </x:c>
      <x:c r="L284" s="89" t="str">
        <x:v>Seraphim Sepia очень тонко для тёплого объединения</x:v>
      </x:c>
      <x:c r="M284" s="89" t="str">
        <x:v>Matt Varnish</x:v>
      </x:c>
      <x:c r="N284" s="90" t="str">
        <x:v>Низкая</x:v>
      </x:c>
      <x:c r="O284" s="89" t="str">
        <x:v>Agrellan Badland сохраняет более грубую зернистую фактуру, чем Agrellan Earth, и лучше подходит для каменистой сухой почвы.</x:v>
      </x:c>
      <x:c r="P284" s="89" t="str">
        <x:v>Проверено — рабочая техника</x:v>
      </x:c>
      <x:c r="Q284" s="89" t="str">
        <x:v>Рецепт использует реальные материалы коллекции и устойчивую логику поверхности, фактуры или финиша.</x:v>
      </x:c>
    </x:row>
    <x:row r="285">
      <x:c r="A285" s="90" t="n">
        <x:v>281</x:v>
      </x:c>
      <x:c r="B285" s="471" t="str">
        <x:v>NMM</x:v>
      </x:c>
      <x:c r="C285" s="471" t="str">
        <x:v>Холодное серебро NMM</x:v>
      </x:c>
      <x:c r="D285" s="89" t="str">
        <x:v>Резкие светотеневые блоки</x:v>
      </x:c>
      <x:c r="E285" s="89" t="str">
        <x:v>Black Primer</x:v>
      </x:c>
      <x:c r="F285" s="89" t="str">
        <x:v>AK Black</x:v>
      </x:c>
      <x:c r="G285" s="89" t="str">
        <x:v>AK German Grey Uniform</x:v>
      </x:c>
      <x:c r="H285" s="89" t="str">
        <x:v>AK Medium Grey</x:v>
      </x:c>
      <x:c r="I285" s="89" t="str">
        <x:v>Sea Grey</x:v>
      </x:c>
      <x:c r="J285" s="89" t="str">
        <x:v>White Grey</x:v>
      </x:c>
      <x:c r="K285" s="89" t="str">
        <x:v>White узкой линией и точкой</x:v>
      </x:c>
      <x:c r="L285" s="89" t="str">
        <x:v>Blue Ink 1:15 с Lahmian Medium в холодные тени</x:v>
      </x:c>
      <x:c r="M285" s="89" t="str">
        <x:v>Matt Varnish</x:v>
      </x:c>
      <x:c r="N285" s="90" t="str">
        <x:v>Высокая</x:v>
      </x:c>
      <x:c r="O285" s="89" t="str">
        <x:v>Адаптация официального AK NMM Silver: четыре основных значения от почти чёрного до белого. Переходы могут быть плавными, но крайние контрасты остаются резкими.</x:v>
      </x:c>
      <x:c r="P285" s="89" t="str">
        <x:v>Внешний референс — адаптировано</x:v>
      </x:c>
      <x:c r="Q285" s="89" t="str">
        <x:v>Официальный Warhammer/AK источник подтверждает базовую технику или цветовую логику; конкретная цепочка адаптирована под коллекцию.</x:v>
      </x:c>
    </x:row>
    <x:row r="286">
      <x:c r="A286" s="90" t="n">
        <x:v>282</x:v>
      </x:c>
      <x:c r="B286" s="471" t="str">
        <x:v>NMM</x:v>
      </x:c>
      <x:c r="C286" s="471" t="str">
        <x:v>Сине-стальное NMM</x:v>
      </x:c>
      <x:c r="D286" s="89" t="str">
        <x:v>Холодные цветные отражения</x:v>
      </x:c>
      <x:c r="E286" s="89" t="str">
        <x:v>Black Primer</x:v>
      </x:c>
      <x:c r="F286" s="89" t="str">
        <x:v>AK Dark Prussian Blue</x:v>
      </x:c>
      <x:c r="G286" s="89" t="str">
        <x:v>The Fang</x:v>
      </x:c>
      <x:c r="H286" s="89" t="str">
        <x:v>Sea Grey</x:v>
      </x:c>
      <x:c r="I286" s="89" t="str">
        <x:v>Fenrisian Grey</x:v>
      </x:c>
      <x:c r="J286" s="89" t="str">
        <x:v>White Grey</x:v>
      </x:c>
      <x:c r="K286" s="89" t="str">
        <x:v>White узкими бликами</x:v>
      </x:c>
      <x:c r="L286" s="89" t="str">
        <x:v>Blue Ink 1:12 с Lahmian Medium в переходы</x:v>
      </x:c>
      <x:c r="M286" s="89" t="str">
        <x:v>Matt Varnish</x:v>
      </x:c>
      <x:c r="N286" s="90" t="str">
        <x:v>Высокая</x:v>
      </x:c>
      <x:c r="O286" s="89" t="str">
        <x:v>Синий андертон отличает fantasy steel от нейтрального серебра. Белые отражения остаются чистыми и узкими.</x:v>
      </x:c>
      <x:c r="P286" s="89" t="str">
        <x:v>Продвинутая техника — тест</x:v>
      </x:c>
      <x:c r="Q286" s="89" t="str">
        <x:v>NMM требует теста расположения отражений на конкретной форме. Цвета и значения построены только из красок коллекции.</x:v>
      </x:c>
    </x:row>
    <x:row r="287">
      <x:c r="A287" s="90" t="n">
        <x:v>283</x:v>
      </x:c>
      <x:c r="B287" s="471" t="str">
        <x:v>NMM</x:v>
      </x:c>
      <x:c r="C287" s="471" t="str">
        <x:v>Тёплая сталь NMM</x:v>
      </x:c>
      <x:c r="D287" s="89" t="str">
        <x:v>Серо-коричневые отражения</x:v>
      </x:c>
      <x:c r="E287" s="89" t="str">
        <x:v>Black Primer</x:v>
      </x:c>
      <x:c r="F287" s="89" t="str">
        <x:v>AK Black + AK Deep Brown 2:1</x:v>
      </x:c>
      <x:c r="G287" s="89" t="str">
        <x:v>AK German Grey Uniform</x:v>
      </x:c>
      <x:c r="H287" s="89" t="str">
        <x:v>Stormvermin Fur</x:v>
      </x:c>
      <x:c r="I287" s="89" t="str">
        <x:v>AK Medium Grey</x:v>
      </x:c>
      <x:c r="J287" s="89" t="str">
        <x:v>White Grey</x:v>
      </x:c>
      <x:c r="K287" s="89" t="str">
        <x:v>White точечно</x:v>
      </x:c>
      <x:c r="L287" s="89" t="str">
        <x:v>Умбра жжёная 1:20 с подходящим масляным разбавителем по отверждённому Satin Varnish в тени</x:v>
      </x:c>
      <x:c r="M287" s="89" t="str">
        <x:v>Matt Varnish после высыхания</x:v>
      </x:c>
      <x:c r="N287" s="90" t="str">
        <x:v>Высокая</x:v>
      </x:c>
      <x:c r="O287" s="89" t="str">
        <x:v>Тёплое окружение отражается коричневато-серыми средними тонами; яркие белые блики всё равно определяют металл.</x:v>
      </x:c>
      <x:c r="P287" s="89" t="str">
        <x:v>Продвинутая техника — тест</x:v>
      </x:c>
      <x:c r="Q287" s="89" t="str">
        <x:v>NMM требует теста расположения отражений на конкретной форме. Цвета и значения построены только из красок коллекции.</x:v>
      </x:c>
    </x:row>
    <x:row r="288">
      <x:c r="A288" s="90" t="n">
        <x:v>284</x:v>
      </x:c>
      <x:c r="B288" s="471" t="str">
        <x:v>NMM</x:v>
      </x:c>
      <x:c r="C288" s="471" t="str">
        <x:v>Золото NMM</x:v>
      </x:c>
      <x:c r="D288" s="89" t="str">
        <x:v>Коричневый → охра → жёлтый → белый</x:v>
      </x:c>
      <x:c r="E288" s="89" t="str">
        <x:v>Black Primer</x:v>
      </x:c>
      <x:c r="F288" s="89" t="str">
        <x:v>AK Deep Brown</x:v>
      </x:c>
      <x:c r="G288" s="89" t="str">
        <x:v>AK Orange Brown</x:v>
      </x:c>
      <x:c r="H288" s="89" t="str">
        <x:v>Zamesi Desert</x:v>
      </x:c>
      <x:c r="I288" s="89" t="str">
        <x:v>AK Yellow</x:v>
      </x:c>
      <x:c r="J288" s="89" t="str">
        <x:v>Pale Sand</x:v>
      </x:c>
      <x:c r="K288" s="89" t="str">
        <x:v>White очень узкой линией</x:v>
      </x:c>
      <x:c r="L288" s="89" t="str">
        <x:v>Seraphim Sepia 1:12 с Lahmian Medium в средние переходы</x:v>
      </x:c>
      <x:c r="M288" s="89" t="str">
        <x:v>Matt Varnish</x:v>
      </x:c>
      <x:c r="N288" s="90" t="str">
        <x:v>Высокая</x:v>
      </x:c>
      <x:c r="O288" s="89" t="str">
        <x:v>Официальный AK NMM Gold использует четыре комбинируемых тона; здесь цепочка собрана из Deep Brown, Orange Brown, Yellow и Pale Sand/White.</x:v>
      </x:c>
      <x:c r="P288" s="89" t="str">
        <x:v>Внешний референс — адаптировано</x:v>
      </x:c>
      <x:c r="Q288" s="89" t="str">
        <x:v>Официальный Warhammer/AK источник подтверждает базовую технику или цветовую логику; конкретная цепочка адаптирована под коллекцию.</x:v>
      </x:c>
    </x:row>
    <x:row r="289">
      <x:c r="A289" s="90" t="n">
        <x:v>285</x:v>
      </x:c>
      <x:c r="B289" s="471" t="str">
        <x:v>NMM</x:v>
      </x:c>
      <x:c r="C289" s="471" t="str">
        <x:v>Старое золото NMM</x:v>
      </x:c>
      <x:c r="D289" s="89" t="str">
        <x:v>Приглушённые охристые отражения</x:v>
      </x:c>
      <x:c r="E289" s="89" t="str">
        <x:v>Black Primer</x:v>
      </x:c>
      <x:c r="F289" s="89" t="str">
        <x:v>Rhinox Hide</x:v>
      </x:c>
      <x:c r="G289" s="89" t="str">
        <x:v>Gorthor Brown</x:v>
      </x:c>
      <x:c r="H289" s="89" t="str">
        <x:v>Zamesi Desert</x:v>
      </x:c>
      <x:c r="I289" s="89" t="str">
        <x:v>Baneblade Brown + AK Yellow 1:1</x:v>
      </x:c>
      <x:c r="J289" s="89" t="str">
        <x:v>Pale Sand</x:v>
      </x:c>
      <x:c r="K289" s="89" t="str">
        <x:v>White точечно</x:v>
      </x:c>
      <x:c r="L289" s="89" t="str">
        <x:v>Agrax Earthshade 1:10 с Lahmian Medium для загрязнения переходов</x:v>
      </x:c>
      <x:c r="M289" s="89" t="str">
        <x:v>Matt Varnish</x:v>
      </x:c>
      <x:c r="N289" s="90" t="str">
        <x:v>Высокая</x:v>
      </x:c>
      <x:c r="O289" s="89" t="str">
        <x:v>В отличие от яркого NMM gold, старое золото использует менее насыщенные жёлтые и больше серо-коричневых средних тонов.</x:v>
      </x:c>
      <x:c r="P289" s="89" t="str">
        <x:v>Продвинутая техника — тест</x:v>
      </x:c>
      <x:c r="Q289" s="89" t="str">
        <x:v>NMM требует теста расположения отражений на конкретной форме. Цвета и значения построены только из красок коллекции.</x:v>
      </x:c>
    </x:row>
    <x:row r="290">
      <x:c r="A290" s="90" t="n">
        <x:v>286</x:v>
      </x:c>
      <x:c r="B290" s="471" t="str">
        <x:v>NMM</x:v>
      </x:c>
      <x:c r="C290" s="471" t="str">
        <x:v>Бронза NMM</x:v>
      </x:c>
      <x:c r="D290" s="89" t="str">
        <x:v>Коричневые и бежевые отражения</x:v>
      </x:c>
      <x:c r="E290" s="89" t="str">
        <x:v>Black Primer</x:v>
      </x:c>
      <x:c r="F290" s="89" t="str">
        <x:v>AK Deep Brown</x:v>
      </x:c>
      <x:c r="G290" s="89" t="str">
        <x:v>Rhinox Hide</x:v>
      </x:c>
      <x:c r="H290" s="89" t="str">
        <x:v>Gorthor Brown</x:v>
      </x:c>
      <x:c r="I290" s="89" t="str">
        <x:v>Baneblade Brown</x:v>
      </x:c>
      <x:c r="J290" s="89" t="str">
        <x:v>Karak Stone</x:v>
      </x:c>
      <x:c r="K290" s="89" t="str">
        <x:v>Pale Sand узкой линией</x:v>
      </x:c>
      <x:c r="L290" s="89" t="str">
        <x:v>Seraphim Sepia 1:10 с Lahmian Medium</x:v>
      </x:c>
      <x:c r="M290" s="89" t="str">
        <x:v>Matt Varnish</x:v>
      </x:c>
      <x:c r="N290" s="90" t="str">
        <x:v>Высокая</x:v>
      </x:c>
      <x:c r="O290" s="89" t="str">
        <x:v>Бронза NMM темнее золота и содержит меньше чистого жёлтого; основные света бежево-коричневые.</x:v>
      </x:c>
      <x:c r="P290" s="89" t="str">
        <x:v>Продвинутая техника — тест</x:v>
      </x:c>
      <x:c r="Q290" s="89" t="str">
        <x:v>NMM требует теста расположения отражений на конкретной форме. Цвета и значения построены только из красок коллекции.</x:v>
      </x:c>
    </x:row>
    <x:row r="291">
      <x:c r="A291" s="90" t="n">
        <x:v>287</x:v>
      </x:c>
      <x:c r="B291" s="471" t="str">
        <x:v>NMM</x:v>
      </x:c>
      <x:c r="C291" s="471" t="str">
        <x:v>Медь NMM</x:v>
      </x:c>
      <x:c r="D291" s="89" t="str">
        <x:v>Красно-коричневый → оранжевый → бежевый</x:v>
      </x:c>
      <x:c r="E291" s="89" t="str">
        <x:v>Black Primer</x:v>
      </x:c>
      <x:c r="F291" s="89" t="str">
        <x:v>Gal Vorbak Red + AK Deep Brown 1:1</x:v>
      </x:c>
      <x:c r="G291" s="89" t="str">
        <x:v>AK Deep Brown</x:v>
      </x:c>
      <x:c r="H291" s="89" t="str">
        <x:v>AK Orange Brown</x:v>
      </x:c>
      <x:c r="I291" s="89" t="str">
        <x:v>Fire Dragon Bright</x:v>
      </x:c>
      <x:c r="J291" s="89" t="str">
        <x:v>Pale Sand</x:v>
      </x:c>
      <x:c r="K291" s="89" t="str">
        <x:v>White точечно</x:v>
      </x:c>
      <x:c r="L291" s="89" t="str">
        <x:v>Red Ink 1:15 с Lahmian Medium в средние зоны</x:v>
      </x:c>
      <x:c r="M291" s="89" t="str">
        <x:v>Matt Varnish</x:v>
      </x:c>
      <x:c r="N291" s="90" t="str">
        <x:v>Высокая</x:v>
      </x:c>
      <x:c r="O291" s="89" t="str">
        <x:v>Медь NMM требует красного андертона и оранжевого среднего отражения; Pale Sand/White используются очень ограниченно.</x:v>
      </x:c>
      <x:c r="P291" s="89" t="str">
        <x:v>Продвинутая техника — тест</x:v>
      </x:c>
      <x:c r="Q291" s="89" t="str">
        <x:v>NMM требует теста расположения отражений на конкретной форме. Цвета и значения построены только из красок коллекции.</x:v>
      </x:c>
    </x:row>
    <x:row r="292">
      <x:c r="A292" s="90" t="n">
        <x:v>288</x:v>
      </x:c>
      <x:c r="B292" s="471" t="str">
        <x:v>NMM</x:v>
      </x:c>
      <x:c r="C292" s="471" t="str">
        <x:v>Чёрный металл NMM</x:v>
      </x:c>
      <x:c r="D292" s="89" t="str">
        <x:v>Чёрная масса + редкие холодные блики</x:v>
      </x:c>
      <x:c r="E292" s="89" t="str">
        <x:v>Black Primer</x:v>
      </x:c>
      <x:c r="F292" s="89" t="str">
        <x:v>AK Black</x:v>
      </x:c>
      <x:c r="G292" s="89" t="str">
        <x:v>Corvus Black</x:v>
      </x:c>
      <x:c r="H292" s="89" t="str">
        <x:v>Eshin Grey</x:v>
      </x:c>
      <x:c r="I292" s="89" t="str">
        <x:v>Fenrisian Grey</x:v>
      </x:c>
      <x:c r="J292" s="89" t="str">
        <x:v>White Grey</x:v>
      </x:c>
      <x:c r="K292" s="89" t="str">
        <x:v>White микроточками</x:v>
      </x:c>
      <x:c r="L292" s="89" t="str">
        <x:v>Black Lotus + Xpress Medium 1:8 как холодно-фиолетовый фильтр</x:v>
      </x:c>
      <x:c r="M292" s="89" t="str">
        <x:v>Matt Varnish</x:v>
      </x:c>
      <x:c r="N292" s="90" t="str">
        <x:v>Высокая</x:v>
      </x:c>
      <x:c r="O292" s="89" t="str">
        <x:v>Большая часть площади остаётся чёрной. Металлический характер создают резкие почти белые блики, а не большое количество серого.</x:v>
      </x:c>
      <x:c r="P292" s="89" t="str">
        <x:v>Продвинутая техника — тест</x:v>
      </x:c>
      <x:c r="Q292" s="89" t="str">
        <x:v>NMM требует теста расположения отражений на конкретной форме. Цвета и значения построены только из красок коллекции.</x:v>
      </x:c>
    </x:row>
    <x:row r="293">
      <x:c r="A293" s="90" t="n">
        <x:v>289</x:v>
      </x:c>
      <x:c r="B293" s="471" t="str">
        <x:v>NMM</x:v>
      </x:c>
      <x:c r="C293" s="471" t="str">
        <x:v>Хромированный клинок SENMM</x:v>
      </x:c>
      <x:c r="D293" s="89" t="str">
        <x:v>Небо и земля в отражении</x:v>
      </x:c>
      <x:c r="E293" s="89" t="str">
        <x:v>Black Primer</x:v>
      </x:c>
      <x:c r="F293" s="89" t="str">
        <x:v>AK Black</x:v>
      </x:c>
      <x:c r="G293" s="89" t="str">
        <x:v>AK Dark Prussian Blue на верхнем отражении</x:v>
      </x:c>
      <x:c r="H293" s="89" t="str">
        <x:v>Lothern Blue</x:v>
      </x:c>
      <x:c r="I293" s="89" t="str">
        <x:v>White центральной разделительной линией</x:v>
      </x:c>
      <x:c r="J293" s="89" t="str">
        <x:v>Gorthor Brown на нижнем отражении</x:v>
      </x:c>
      <x:c r="K293" s="89" t="str">
        <x:v>Pale Sand узко у линии горизонта</x:v>
      </x:c>
      <x:c r="L293" s="89" t="str">
        <x:v>Blue Ink и Умбра жжёная отдельными очень тонкими glaze</x:v>
      </x:c>
      <x:c r="M293" s="89" t="str">
        <x:v>Matt Varnish</x:v>
      </x:c>
      <x:c r="N293" s="90" t="str">
        <x:v>Очень высокая</x:v>
      </x:c>
      <x:c r="O293" s="89" t="str">
        <x:v>Sky-Earth NMM делит клинок на холодное небо и тёплую землю, разделённые резкой светлой линией горизонта.</x:v>
      </x:c>
      <x:c r="P293" s="89" t="str">
        <x:v>Продвинутая техника — тест</x:v>
      </x:c>
      <x:c r="Q293" s="89" t="str">
        <x:v>NMM требует теста расположения отражений на конкретной форме. Цвета и значения построены только из красок коллекции.</x:v>
      </x:c>
    </x:row>
    <x:row r="294">
      <x:c r="A294" s="90" t="n">
        <x:v>290</x:v>
      </x:c>
      <x:c r="B294" s="471" t="str">
        <x:v>NMM</x:v>
      </x:c>
      <x:c r="C294" s="471" t="str">
        <x:v>Хромированная круглая поверхность</x:v>
      </x:c>
      <x:c r="D294" s="89" t="str">
        <x:v>Отражённые полосы по форме цилиндра</x:v>
      </x:c>
      <x:c r="E294" s="89" t="str">
        <x:v>Black Primer</x:v>
      </x:c>
      <x:c r="F294" s="89" t="str">
        <x:v>AK Black</x:v>
      </x:c>
      <x:c r="G294" s="89" t="str">
        <x:v>White Grey широкими вертикальными полосами</x:v>
      </x:c>
      <x:c r="H294" s="89" t="str">
        <x:v>AK Dark Prussian Blue рядом с верхними белыми полосами</x:v>
      </x:c>
      <x:c r="I294" s="89" t="str">
        <x:v>Gorthor Brown рядом с нижними полосами</x:v>
      </x:c>
      <x:c r="J294" s="89" t="str">
        <x:v>White более узкими линиями</x:v>
      </x:c>
      <x:c r="K294" s="89" t="str">
        <x:v>White точками на максимальных изгибах</x:v>
      </x:c>
      <x:c r="L294" s="89" t="str">
        <x:v>Blue Ink/Brown Rose раздельными сверхтонкими glaze</x:v>
      </x:c>
      <x:c r="M294" s="89" t="str">
        <x:v>Matt Varnish</x:v>
      </x:c>
      <x:c r="N294" s="90" t="str">
        <x:v>Очень высокая</x:v>
      </x:c>
      <x:c r="O294" s="89" t="str">
        <x:v>Отражённые полосы должны огибать цилиндр или сферу. Прямые плоские полосы разрушат ощущение объёма.</x:v>
      </x:c>
      <x:c r="P294" s="89" t="str">
        <x:v>Продвинутая техника — тест</x:v>
      </x:c>
      <x:c r="Q294" s="89" t="str">
        <x:v>NMM требует теста расположения отражений на конкретной форме. Цвета и значения построены только из красок коллекции.</x:v>
      </x:c>
    </x:row>
    <x:row r="295">
      <x:c r="A295" s="90" t="n">
        <x:v>291</x:v>
      </x:c>
      <x:c r="B295" s="472" t="str">
        <x:v>Ткань</x:v>
      </x:c>
      <x:c r="C295" s="472" t="str">
        <x:v>Красный шёлк</x:v>
      </x:c>
      <x:c r="D295" s="89" t="str">
        <x:v>Плавная модуляция + резкие отражения</x:v>
      </x:c>
      <x:c r="E295" s="89" t="str">
        <x:v>Black Primer</x:v>
      </x:c>
      <x:c r="F295" s="89" t="str">
        <x:v>Gal Vorbak Red</x:v>
      </x:c>
      <x:c r="G295" s="89" t="str">
        <x:v>Word Bearers Red</x:v>
      </x:c>
      <x:c r="H295" s="89" t="str">
        <x:v>AK Blood Red</x:v>
      </x:c>
      <x:c r="I295" s="89" t="str">
        <x:v>AK Cadmium Red</x:v>
      </x:c>
      <x:c r="J295" s="89" t="str">
        <x:v>Wild Rider Red</x:v>
      </x:c>
      <x:c r="K295" s="89" t="str">
        <x:v>Pale Sand + Wild Rider Red 1:1 узкой линией</x:v>
      </x:c>
      <x:c r="L295" s="89" t="str">
        <x:v>Baal Red 1:8 с Contrast Medium как glaze</x:v>
      </x:c>
      <x:c r="M295" s="89" t="str">
        <x:v>Satin Varnish</x:v>
      </x:c>
      <x:c r="N295" s="90" t="str">
        <x:v>Высокая</x:v>
      </x:c>
      <x:c r="O295" s="89" t="str">
        <x:v>Шёлк отличается от матовой ткани более узкими и яркими отражениями, но не получает полный зеркальный Gloss.</x:v>
      </x:c>
      <x:c r="P295" s="89" t="str">
        <x:v>Проверено — рабочая техника</x:v>
      </x:c>
      <x:c r="Q295" s="89" t="str">
        <x:v>Рецепт использует реальные материалы коллекции и устойчивую логику поверхности, фактуры или финиша.</x:v>
      </x:c>
    </x:row>
    <x:row r="296">
      <x:c r="A296" s="90" t="n">
        <x:v>292</x:v>
      </x:c>
      <x:c r="B296" s="472" t="str">
        <x:v>Ткань</x:v>
      </x:c>
      <x:c r="C296" s="472" t="str">
        <x:v>Белый шёлк</x:v>
      </x:c>
      <x:c r="D296" s="89" t="str">
        <x:v>Холодные тени + узкие белые отражения</x:v>
      </x:c>
      <x:c r="E296" s="89" t="str">
        <x:v>Black Primer</x:v>
      </x:c>
      <x:c r="F296" s="89" t="str">
        <x:v>Dark Reaper</x:v>
      </x:c>
      <x:c r="G296" s="89" t="str">
        <x:v>Sea Grey</x:v>
      </x:c>
      <x:c r="H296" s="89" t="str">
        <x:v>Ulthuan Grey</x:v>
      </x:c>
      <x:c r="I296" s="89" t="str">
        <x:v>White Grey</x:v>
      </x:c>
      <x:c r="J296" s="89" t="str">
        <x:v>White</x:v>
      </x:c>
      <x:c r="K296" s="89" t="str">
        <x:v>White плотной узкой полосой</x:v>
      </x:c>
      <x:c r="L296" s="89" t="str">
        <x:v>Apothecary White 1:6 с Contrast Medium для объединения</x:v>
      </x:c>
      <x:c r="M296" s="89" t="str">
        <x:v>Satin Varnish</x:v>
      </x:c>
      <x:c r="N296" s="90" t="str">
        <x:v>Высокая</x:v>
      </x:c>
      <x:c r="O296" s="89" t="str">
        <x:v>У белого шёлка контраст сильнее обычной белой ткани: тени заметно холоднее, а белые отражения уже и ярче.</x:v>
      </x:c>
      <x:c r="P296" s="89" t="str">
        <x:v>Проверено — рабочая техника</x:v>
      </x:c>
      <x:c r="Q296" s="89" t="str">
        <x:v>Рецепт использует реальные материалы коллекции и устойчивую логику поверхности, фактуры или финиша.</x:v>
      </x:c>
    </x:row>
    <x:row r="297">
      <x:c r="A297" s="90" t="n">
        <x:v>293</x:v>
      </x:c>
      <x:c r="B297" s="472" t="str">
        <x:v>Ткань</x:v>
      </x:c>
      <x:c r="C297" s="472" t="str">
        <x:v>Чёрный бархат</x:v>
      </x:c>
      <x:c r="D297" s="89" t="str">
        <x:v>Насыщенные цветные отражения</x:v>
      </x:c>
      <x:c r="E297" s="89" t="str">
        <x:v>Black Primer</x:v>
      </x:c>
      <x:c r="F297" s="89" t="str">
        <x:v>Black Lotus + Xpress Medium 1:1</x:v>
      </x:c>
      <x:c r="G297" s="89" t="str">
        <x:v>AK Black в глубокие складки</x:v>
      </x:c>
      <x:c r="H297" s="89" t="str">
        <x:v>Phoenician Purple</x:v>
      </x:c>
      <x:c r="I297" s="89" t="str">
        <x:v>Genestealer Purple</x:v>
      </x:c>
      <x:c r="J297" s="89" t="str">
        <x:v>Warpfiend Grey</x:v>
      </x:c>
      <x:c r="K297" s="89" t="str">
        <x:v>Slaanesh Grey точечно</x:v>
      </x:c>
      <x:c r="L297" s="89" t="str">
        <x:v>Black Lotus + Xpress Medium 1:6</x:v>
      </x:c>
      <x:c r="M297" s="89" t="str">
        <x:v>Matt Varnish</x:v>
      </x:c>
      <x:c r="N297" s="90" t="str">
        <x:v>Высокая</x:v>
      </x:c>
      <x:c r="O297" s="89" t="str">
        <x:v>Бархат поглощает большую часть света, но даёт насыщенные цветные отражения на изгибах. Серый используется только в минимальных точках.</x:v>
      </x:c>
      <x:c r="P297" s="89" t="str">
        <x:v>Проверено — рабочая техника</x:v>
      </x:c>
      <x:c r="Q297" s="89" t="str">
        <x:v>Рецепт использует реальные материалы коллекции и устойчивую логику поверхности, фактуры или финиша.</x:v>
      </x:c>
    </x:row>
    <x:row r="298">
      <x:c r="A298" s="90" t="n">
        <x:v>294</x:v>
      </x:c>
      <x:c r="B298" s="473" t="str">
        <x:v>Прозрачные материалы</x:v>
      </x:c>
      <x:c r="C298" s="473" t="str">
        <x:v>Голубое полупрозрачное крыло</x:v>
      </x:c>
      <x:c r="D298" s="89" t="str">
        <x:v>Светлая мембрана + цвет по краям</x:v>
      </x:c>
      <x:c r="E298" s="89" t="str">
        <x:v>White Primer</x:v>
      </x:c>
      <x:c r="F298" s="89" t="str">
        <x:v>White Grey</x:v>
      </x:c>
      <x:c r="G298" s="89" t="str">
        <x:v>Frostheart + Contrast Medium 1:2 по краям и жилкам</x:v>
      </x:c>
      <x:c r="H298" s="89" t="str">
        <x:v>Baharroth Blue</x:v>
      </x:c>
      <x:c r="I298" s="89" t="str">
        <x:v>White Grey вернуть в центре мембраны</x:v>
      </x:c>
      <x:c r="J298" s="89" t="str">
        <x:v>White на верхних жилках</x:v>
      </x:c>
      <x:c r="K298" s="89" t="str">
        <x:v>White точечно</x:v>
      </x:c>
      <x:c r="L298" s="89" t="str">
        <x:v>Blue Ink 1:20 с Lahmian Medium в отдельных сегментах</x:v>
      </x:c>
      <x:c r="M298" s="89" t="str">
        <x:v>Satin Varnish</x:v>
      </x:c>
      <x:c r="N298" s="90" t="str">
        <x:v>Высокая</x:v>
      </x:c>
      <x:c r="O298" s="89" t="str">
        <x:v>Центр мембраны остаётся светлее и почти бесцветным, а насыщенность концентрируется на жилках и внешней кромке.</x:v>
      </x:c>
      <x:c r="P298" s="89" t="str">
        <x:v>Прозрачность — тест</x:v>
      </x:c>
      <x:c r="Q298" s="89" t="str">
        <x:v>Светлый центр и прозрачные цветные края требуют нескольких тонких глазурей; насыщенность проверить на тестовой детали.</x:v>
      </x:c>
    </x:row>
    <x:row r="299">
      <x:c r="A299" s="90" t="n">
        <x:v>295</x:v>
      </x:c>
      <x:c r="B299" s="473" t="str">
        <x:v>Прозрачные материалы</x:v>
      </x:c>
      <x:c r="C299" s="473" t="str">
        <x:v>Розово-фиолетовое полупрозрачное крыло</x:v>
      </x:c>
      <x:c r="D299" s="89" t="str">
        <x:v>Светлая мембрана + две прозрачные температуры</x:v>
      </x:c>
      <x:c r="E299" s="89" t="str">
        <x:v>White Primer</x:v>
      </x:c>
      <x:c r="F299" s="89" t="str">
        <x:v>White Grey</x:v>
      </x:c>
      <x:c r="G299" s="89" t="str">
        <x:v>Dreadful Visage + Contrast Medium 1:2</x:v>
      </x:c>
      <x:c r="H299" s="89" t="str">
        <x:v>Magos Purple по внешней кромке</x:v>
      </x:c>
      <x:c r="I299" s="89" t="str">
        <x:v>Fulgrim Pink по отдельным жилкам</x:v>
      </x:c>
      <x:c r="J299" s="89" t="str">
        <x:v>White Grey вернуть в центрах</x:v>
      </x:c>
      <x:c r="K299" s="89" t="str">
        <x:v>White точечно</x:v>
      </x:c>
      <x:c r="L299" s="89" t="str">
        <x:v>Magenta Fluorescent очень тонко на светло-розовых краях</x:v>
      </x:c>
      <x:c r="M299" s="89" t="str">
        <x:v>Satin Varnish</x:v>
      </x:c>
      <x:c r="N299" s="90" t="str">
        <x:v>Высокая</x:v>
      </x:c>
      <x:c r="O299" s="89" t="str">
        <x:v>Dreadful Visage создаёт холодную прозрачность, Magos Purple — насыщенную кромку, а Fulgrim Pink — тёплые внутренние жилки.</x:v>
      </x:c>
      <x:c r="P299" s="89" t="str">
        <x:v>Прозрачность — тест</x:v>
      </x:c>
      <x:c r="Q299" s="89" t="str">
        <x:v>Светлый центр и прозрачные цветные края требуют нескольких тонких глазурей; насыщенность проверить на тестовой детали.</x:v>
      </x:c>
    </x:row>
    <x:row r="300">
      <x:c r="A300" s="90" t="n">
        <x:v>296</x:v>
      </x:c>
      <x:c r="B300" s="474" t="str">
        <x:v>Лак и керамика</x:v>
      </x:c>
      <x:c r="C300" s="474" t="str">
        <x:v>Перламутровая раковина</x:v>
      </x:c>
      <x:c r="D300" s="89" t="str">
        <x:v>Холодные и тёплые переливы по белому</x:v>
      </x:c>
      <x:c r="E300" s="89" t="str">
        <x:v>White Primer</x:v>
      </x:c>
      <x:c r="F300" s="89" t="str">
        <x:v>White Grey</x:v>
      </x:c>
      <x:c r="G300" s="89" t="str">
        <x:v>Dreadful Visage 1:5 с Contrast Medium в тени</x:v>
      </x:c>
      <x:c r="H300" s="89" t="str">
        <x:v>Frostheart 1:8 с Contrast Medium на одной стороне</x:v>
      </x:c>
      <x:c r="I300" s="89" t="str">
        <x:v>Volupus Pink 1:10 с Contrast Medium на другой</x:v>
      </x:c>
      <x:c r="J300" s="89" t="str">
        <x:v>White</x:v>
      </x:c>
      <x:c r="K300" s="89" t="str">
        <x:v>White точечно</x:v>
      </x:c>
      <x:c r="L300" s="89" t="str">
        <x:v>Magenta Fluorescent или Blue Ink сверхтонко на отдельных переливах</x:v>
      </x:c>
      <x:c r="M300" s="89" t="str">
        <x:v>Satin или Gloss Varnish</x:v>
      </x:c>
      <x:c r="N300" s="90" t="str">
        <x:v>Очень высокая</x:v>
      </x:c>
      <x:c r="O300" s="89" t="str">
        <x:v>Перламутр остаётся почти белым; цветные переливы очень прозрачны и занимают разные зоны отражения.</x:v>
      </x:c>
      <x:c r="P300" s="89" t="str">
        <x:v>Прозрачность — тест</x:v>
      </x:c>
      <x:c r="Q300" s="89" t="str">
        <x:v>Светлый центр и прозрачные цветные края требуют нескольких тонких глазурей; насыщенность проверить на тестовой детали.</x:v>
      </x:c>
    </x:row>
    <x:row r="301">
      <x:c r="A301" s="90" t="n">
        <x:v>297</x:v>
      </x:c>
      <x:c r="B301" s="469" t="str">
        <x:v>Лёд и кристаллы</x:v>
      </x:c>
      <x:c r="C301" s="469" t="str">
        <x:v>Янтарный кристалл</x:v>
      </x:c>
      <x:c r="D301" s="89" t="str">
        <x:v>Тёмный внешний край + светлый внутренний центр</x:v>
      </x:c>
      <x:c r="E301" s="89" t="str">
        <x:v>Black Primer</x:v>
      </x:c>
      <x:c r="F301" s="89" t="str">
        <x:v>AK Deep Brown по внешним граням</x:v>
      </x:c>
      <x:c r="G301" s="89" t="str">
        <x:v>AK Orange Brown</x:v>
      </x:c>
      <x:c r="H301" s="89" t="str">
        <x:v>Iyanden Yellow</x:v>
      </x:c>
      <x:c r="I301" s="89" t="str">
        <x:v>AK Yellow</x:v>
      </x:c>
      <x:c r="J301" s="89" t="str">
        <x:v>Pale Sand</x:v>
      </x:c>
      <x:c r="K301" s="89" t="str">
        <x:v>White внутри и точкой</x:v>
      </x:c>
      <x:c r="L301" s="89" t="str">
        <x:v>Yellow Ink 1:12 с Lahmian Medium для объединения</x:v>
      </x:c>
      <x:c r="M301" s="89" t="str">
        <x:v>Gloss Varnish</x:v>
      </x:c>
      <x:c r="N301" s="90" t="str">
        <x:v>Высокая</x:v>
      </x:c>
      <x:c r="O301" s="89" t="str">
        <x:v>У прозрачного янтаря светлый центр может находиться внутри формы, а внешние края оставаться тёмно-коричневыми.</x:v>
      </x:c>
      <x:c r="P301" s="89" t="str">
        <x:v>Прозрачность — тест</x:v>
      </x:c>
      <x:c r="Q301" s="89" t="str">
        <x:v>Светлый центр и прозрачные цветные края требуют нескольких тонких глазурей; насыщенность проверить на тестовой детали.</x:v>
      </x:c>
    </x:row>
    <x:row r="302">
      <x:c r="A302" s="90" t="n">
        <x:v>298</x:v>
      </x:c>
      <x:c r="B302" s="469" t="str">
        <x:v>Лёд и кристаллы</x:v>
      </x:c>
      <x:c r="C302" s="469" t="str">
        <x:v>Аметистовый кристалл</x:v>
      </x:c>
      <x:c r="D302" s="89" t="str">
        <x:v>Фиолетовый край + светлый центр</x:v>
      </x:c>
      <x:c r="E302" s="89" t="str">
        <x:v>Black Primer</x:v>
      </x:c>
      <x:c r="F302" s="89" t="str">
        <x:v>Shyish Purple на внешних гранях</x:v>
      </x:c>
      <x:c r="G302" s="89" t="str">
        <x:v>Phoenician Purple</x:v>
      </x:c>
      <x:c r="H302" s="89" t="str">
        <x:v>Genestealer Purple</x:v>
      </x:c>
      <x:c r="I302" s="89" t="str">
        <x:v>Fulgrim Pink</x:v>
      </x:c>
      <x:c r="J302" s="89" t="str">
        <x:v>White Grey</x:v>
      </x:c>
      <x:c r="K302" s="89" t="str">
        <x:v>White внутри и точкой</x:v>
      </x:c>
      <x:c r="L302" s="89" t="str">
        <x:v>Violet Ink 1:12 с Lahmian Medium</x:v>
      </x:c>
      <x:c r="M302" s="89" t="str">
        <x:v>Gloss Varnish</x:v>
      </x:c>
      <x:c r="N302" s="90" t="str">
        <x:v>Высокая</x:v>
      </x:c>
      <x:c r="O302" s="89" t="str">
        <x:v>Тёмные грани и светлый внутренний объём создают впечатление прозрачного кристалла, а не непрозрачного фиолетового камня.</x:v>
      </x:c>
      <x:c r="P302" s="89" t="str">
        <x:v>Прозрачность — тест</x:v>
      </x:c>
      <x:c r="Q302" s="89" t="str">
        <x:v>Светлый центр и прозрачные цветные края требуют нескольких тонких глазурей; насыщенность проверить на тестовой детали.</x:v>
      </x:c>
    </x:row>
    <x:row r="303">
      <x:c r="A303" s="90" t="n">
        <x:v>299</x:v>
      </x:c>
      <x:c r="B303" s="475" t="str">
        <x:v>Эффекты</x:v>
      </x:c>
      <x:c r="C303" s="475" t="str">
        <x:v>NMM-клинок с голубым внутренним свечением</x:v>
      </x:c>
      <x:c r="D303" s="89" t="str">
        <x:v>NMM + OSL без металлика</x:v>
      </x:c>
      <x:c r="E303" s="89" t="str">
        <x:v>Black Primer</x:v>
      </x:c>
      <x:c r="F303" s="89" t="str">
        <x:v>AK Black</x:v>
      </x:c>
      <x:c r="G303" s="89" t="str">
        <x:v>AK German Grey Uniform</x:v>
      </x:c>
      <x:c r="H303" s="89" t="str">
        <x:v>Sea Grey</x:v>
      </x:c>
      <x:c r="I303" s="89" t="str">
        <x:v>White Grey по внешним отражениям</x:v>
      </x:c>
      <x:c r="J303" s="89" t="str">
        <x:v>White центральной линией</x:v>
      </x:c>
      <x:c r="K303" s="89" t="str">
        <x:v>Baharroth Blue рядом с центром</x:v>
      </x:c>
      <x:c r="L303" s="89" t="str">
        <x:v>Frostheart + Contrast Medium 1:5 как голубая glaze</x:v>
      </x:c>
      <x:c r="M303" s="89" t="str">
        <x:v>Matt или Satin Varnish</x:v>
      </x:c>
      <x:c r="N303" s="90" t="str">
        <x:v>Очень высокая</x:v>
      </x:c>
      <x:c r="O303" s="89" t="str">
        <x:v>Сначала клинок должен читаться как NMM, затем цветное свечение добавляется прозрачной глазурью, не уничтожая чёрно-белые отражения.</x:v>
      </x:c>
      <x:c r="P303" s="89" t="str">
        <x:v>Продвинутая техника — тест</x:v>
      </x:c>
      <x:c r="Q303" s="89" t="str">
        <x:v>NMM требует теста расположения отражений на конкретной форме. Цвета и значения построены только из красок коллекции.</x:v>
      </x:c>
    </x:row>
    <x:row r="304">
      <x:c r="A304" s="90" t="n">
        <x:v>300</x:v>
      </x:c>
      <x:c r="B304" s="475" t="str">
        <x:v>Эффекты</x:v>
      </x:c>
      <x:c r="C304" s="475" t="str">
        <x:v>NMM-золото с зелёным магическим отражением</x:v>
      </x:c>
      <x:c r="D304" s="89" t="str">
        <x:v>Золото NMM + отражённый цвет</x:v>
      </x:c>
      <x:c r="E304" s="89" t="str">
        <x:v>Black Primer</x:v>
      </x:c>
      <x:c r="F304" s="89" t="str">
        <x:v>AK Deep Brown</x:v>
      </x:c>
      <x:c r="G304" s="89" t="str">
        <x:v>AK Orange Brown</x:v>
      </x:c>
      <x:c r="H304" s="89" t="str">
        <x:v>Zamesi Desert</x:v>
      </x:c>
      <x:c r="I304" s="89" t="str">
        <x:v>AK Yellow</x:v>
      </x:c>
      <x:c r="J304" s="89" t="str">
        <x:v>Pale Sand</x:v>
      </x:c>
      <x:c r="K304" s="89" t="str">
        <x:v>White узкой линией</x:v>
      </x:c>
      <x:c r="L304" s="89" t="str">
        <x:v>Warp Lightning + Contrast Medium 1:8 только на стороне источника</x:v>
      </x:c>
      <x:c r="M304" s="89" t="str">
        <x:v>Matt Varnish</x:v>
      </x:c>
      <x:c r="N304" s="90" t="str">
        <x:v>Очень высокая</x:v>
      </x:c>
      <x:c r="O304" s="89" t="str">
        <x:v>Зелёная глазурь окрашивает только часть уже законченного NMM-золота. Белые блики сохраняются, поскольку отражение меняет цвет, а не значение света.</x:v>
      </x:c>
      <x:c r="P304" s="89" t="str">
        <x:v>Продвинутая техника — тест</x:v>
      </x:c>
      <x:c r="Q304" s="89" t="str">
        <x:v>NMM требует теста расположения отражений на конкретной форме. Цвета и значения построены только из красок коллекции.</x:v>
      </x:c>
    </x:row>
    <x:row r="305">
      <x:c r="A305" s="90" t="n">
        <x:v>301</x:v>
      </x:c>
      <x:c r="B305" s="494" t="str">
        <x:v>Кровь и gore</x:v>
      </x:c>
      <x:c r="C305" s="494" t="str">
        <x:v>Свежие кровавые брызги</x:v>
      </x:c>
      <x:c r="D305" s="89" t="str">
        <x:v>Контролируемый spatter</x:v>
      </x:c>
      <x:c r="E305" s="89" t="str">
        <x:v>Полностью окрашенная и защищённая поверхность</x:v>
      </x:c>
      <x:c r="F305" s="89" t="str">
        <x:v>Gory Red крупными редкими брызгами</x:v>
      </x:c>
      <x:c r="G305" s="89" t="str">
        <x:v>AK Blood Red более мелкими брызгами</x:v>
      </x:c>
      <x:c r="H305" s="89" t="str">
        <x:v>Blood for the Blood God выборочно поверх части капель</x:v>
      </x:c>
      <x:c r="I305" s="89" t="str">
        <x:v>White микроточкой только в крупнейших мокрых каплях</x:v>
      </x:c>
      <x:c r="J305" s="89" t="str">
        <x:v>—</x:v>
      </x:c>
      <x:c r="K305" s="89" t="str">
        <x:v>—</x:v>
      </x:c>
      <x:c r="L305" s="89" t="str">
        <x:v>Blood for the Blood God неравномерно усилить центры</x:v>
      </x:c>
      <x:c r="M305" s="89" t="str">
        <x:v>Общий Matt до эффекта; кровь оставить глянцевой</x:v>
      </x:c>
      <x:c r="N305" s="90" t="str">
        <x:v>Средняя</x:v>
      </x:c>
      <x:c r="O305" s="89" t="str">
        <x:v>Warhammer рекомендует Blood for the Blood God flick/splatter, но подчёркивает, что эффект особенно выразителен на холодной бледной схеме и не должен покрывать всё равномерно.</x:v>
      </x:c>
      <x:c r="P305" s="89" t="str">
        <x:v>Внешний референс — адаптировано</x:v>
      </x:c>
      <x:c r="Q305" s="89" t="str">
        <x:v>Официальный Warhammer источник подтверждает технику blood splatter, pools, skin cloak или camo concept; конкретные цвета адаптированы под коллекцию.</x:v>
      </x:c>
    </x:row>
    <x:row r="306">
      <x:c r="A306" s="90" t="n">
        <x:v>302</x:v>
      </x:c>
      <x:c r="B306" s="494" t="str">
        <x:v>Кровь и gore</x:v>
      </x:c>
      <x:c r="C306" s="494" t="str">
        <x:v>Артериальный направленный спрей</x:v>
      </x:c>
      <x:c r="D306" s="89" t="str">
        <x:v>Линия движения + спatter</x:v>
      </x:c>
      <x:c r="E306" s="89" t="str">
        <x:v>Полностью окрашенная поверхность</x:v>
      </x:c>
      <x:c r="F306" s="89" t="str">
        <x:v>Gory Red тонкой направляющей дугой</x:v>
      </x:c>
      <x:c r="G306" s="89" t="str">
        <x:v>AK Blood Red прерывистыми точками вдоль дуги</x:v>
      </x:c>
      <x:c r="H306" s="89" t="str">
        <x:v>Blood for the Blood God мелкими брызгами по направлению</x:v>
      </x:c>
      <x:c r="I306" s="89" t="str">
        <x:v>—</x:v>
      </x:c>
      <x:c r="J306" s="89" t="str">
        <x:v>—</x:v>
      </x:c>
      <x:c r="K306" s="89" t="str">
        <x:v>—</x:v>
      </x:c>
      <x:c r="L306" s="89" t="str">
        <x:v>Carroburg Crimson 1:10 с Lahmian Medium вокруг отдельных свежих капель</x:v>
      </x:c>
      <x:c r="M306" s="89" t="str">
        <x:v>Matt до эффекта; локальный Gloss</x:v>
      </x:c>
      <x:c r="N306" s="90" t="str">
        <x:v>Высокая</x:v>
      </x:c>
      <x:c r="O306" s="89" t="str">
        <x:v>Брызги должны иметь направление и источник. Начало плотнее, затем капли становятся мельче и реже.</x:v>
      </x:c>
      <x:c r="P306" s="89" t="str">
        <x:v>Проверено — рабочая техника</x:v>
      </x:c>
      <x:c r="Q306" s="89" t="str">
        <x:v>Рецепт использует материалы коллекции и контролируемую логику крови, органики или направленного эффекта.</x:v>
      </x:c>
    </x:row>
    <x:row r="307">
      <x:c r="A307" s="90" t="n">
        <x:v>303</x:v>
      </x:c>
      <x:c r="B307" s="494" t="str">
        <x:v>Кровь и gore</x:v>
      </x:c>
      <x:c r="C307" s="494" t="str">
        <x:v>Подсохшая кровь на ткани</x:v>
      </x:c>
      <x:c r="D307" s="89" t="str">
        <x:v>Матовый коричнево-красный stain</x:v>
      </x:c>
      <x:c r="E307" s="89" t="str">
        <x:v>Завершённая матовая ткань</x:v>
      </x:c>
      <x:c r="F307" s="89" t="str">
        <x:v>AK Deep Brown неровными пятнами</x:v>
      </x:c>
      <x:c r="G307" s="89" t="str">
        <x:v>AK Burnt Umber по старым краям</x:v>
      </x:c>
      <x:c r="H307" s="89" t="str">
        <x:v>Gory Red внутри части пятен</x:v>
      </x:c>
      <x:c r="I307" s="89" t="str">
        <x:v>AK Blood Red очень локально</x:v>
      </x:c>
      <x:c r="J307" s="89" t="str">
        <x:v>—</x:v>
      </x:c>
      <x:c r="K307" s="89" t="str">
        <x:v>—</x:v>
      </x:c>
      <x:c r="L307" s="89" t="str">
        <x:v>Carroburg Crimson 1:12 с Lahmian Medium для полупрозрачного растекания</x:v>
      </x:c>
      <x:c r="M307" s="89" t="str">
        <x:v>Matt Varnish</x:v>
      </x:c>
      <x:c r="N307" s="90" t="str">
        <x:v>Средняя</x:v>
      </x:c>
      <x:c r="O307" s="89" t="str">
        <x:v>На впитывающей ткани кровь в основном матовая, с размытыми коричневыми краями. Blood for the Blood God здесь почти не нужен.</x:v>
      </x:c>
      <x:c r="P307" s="89" t="str">
        <x:v>Проверено — рабочая техника</x:v>
      </x:c>
      <x:c r="Q307" s="89" t="str">
        <x:v>Рецепт использует материалы коллекции и контролируемую логику крови, органики или направленного эффекта.</x:v>
      </x:c>
    </x:row>
    <x:row r="308">
      <x:c r="A308" s="90" t="n">
        <x:v>304</x:v>
      </x:c>
      <x:c r="B308" s="494" t="str">
        <x:v>Кровь и gore</x:v>
      </x:c>
      <x:c r="C308" s="494" t="str">
        <x:v>Кровь на металлическом оружии</x:v>
      </x:c>
      <x:c r="D308" s="89" t="str">
        <x:v>Направленное размазывание</x:v>
      </x:c>
      <x:c r="E308" s="89" t="str">
        <x:v>Полностью окрашенный металл</x:v>
      </x:c>
      <x:c r="F308" s="89" t="str">
        <x:v>Gory Red у режущей кромки</x:v>
      </x:c>
      <x:c r="G308" s="89" t="str">
        <x:v>AK Deep Brown в старых засохших зонах</x:v>
      </x:c>
      <x:c r="H308" s="89" t="str">
        <x:v>AK Blood Red полосами по направлению удара</x:v>
      </x:c>
      <x:c r="I308" s="89" t="str">
        <x:v>Blood for the Blood God на свежей части</x:v>
      </x:c>
      <x:c r="J308" s="89" t="str">
        <x:v>Vallejo Silver вернуть на чистые выступы</x:v>
      </x:c>
      <x:c r="K308" s="89" t="str">
        <x:v>—</x:v>
      </x:c>
      <x:c r="L308" s="89" t="str">
        <x:v>Сажа газовая или Умбра жжёная только в старые загрязнения по лаку</x:v>
      </x:c>
      <x:c r="M308" s="89" t="str">
        <x:v>Metal Varnish до крови; кровь оставить Gloss</x:v>
      </x:c>
      <x:c r="N308" s="90" t="str">
        <x:v>Средняя</x:v>
      </x:c>
      <x:c r="O308" s="89" t="str">
        <x:v>Кровь не должна равномерно покрывать весь клинок: больше эффекта у зубьев, выемок и направления движения оружия.</x:v>
      </x:c>
      <x:c r="P308" s="89" t="str">
        <x:v>Проверено — рабочая техника</x:v>
      </x:c>
      <x:c r="Q308" s="89" t="str">
        <x:v>Рецепт использует материалы коллекции и контролируемую логику крови, органики или направленного эффекта.</x:v>
      </x:c>
    </x:row>
    <x:row r="309">
      <x:c r="A309" s="90" t="n">
        <x:v>305</x:v>
      </x:c>
      <x:c r="B309" s="494" t="str">
        <x:v>Кровь и gore</x:v>
      </x:c>
      <x:c r="C309" s="494" t="str">
        <x:v>Кровавые следы на снегу</x:v>
      </x:c>
      <x:c r="D309" s="89" t="str">
        <x:v>Чистый снег + впитывающиеся края</x:v>
      </x:c>
      <x:c r="E309" s="89" t="str">
        <x:v>Готовый снег по рецепту 268/269</x:v>
      </x:c>
      <x:c r="F309" s="89" t="str">
        <x:v>Carroburg Crimson 1:10 с Lahmian Medium широким бледным пятном</x:v>
      </x:c>
      <x:c r="G309" s="89" t="str">
        <x:v>Gory Red меньшей зоной</x:v>
      </x:c>
      <x:c r="H309" s="89" t="str">
        <x:v>AK Blood Red в центре</x:v>
      </x:c>
      <x:c r="I309" s="89" t="str">
        <x:v>Blood for the Blood God точечно</x:v>
      </x:c>
      <x:c r="J309" s="89" t="str">
        <x:v>White вернуть на отдельные снежные комья</x:v>
      </x:c>
      <x:c r="K309" s="89" t="str">
        <x:v>—</x:v>
      </x:c>
      <x:c r="L309" s="89" t="str">
        <x:v>Agrax Earthshade Gloss у грязного талого края</x:v>
      </x:c>
      <x:c r="M309" s="89" t="str">
        <x:v>Matt снег; кровь/вода локально Gloss</x:v>
      </x:c>
      <x:c r="N309" s="90" t="str">
        <x:v>Высокая</x:v>
      </x:c>
      <x:c r="O309" s="89" t="str">
        <x:v>Снег вокруг крови становится розово-серым и влажным; чистый белый сохраняется только на выступающих свежих комьях.</x:v>
      </x:c>
      <x:c r="P309" s="89" t="str">
        <x:v>Проверено — рабочая техника</x:v>
      </x:c>
      <x:c r="Q309" s="89" t="str">
        <x:v>Рецепт использует материалы коллекции и контролируемую логику крови, органики или направленного эффекта.</x:v>
      </x:c>
    </x:row>
    <x:row r="310">
      <x:c r="A310" s="90" t="n">
        <x:v>306</x:v>
      </x:c>
      <x:c r="B310" s="494" t="str">
        <x:v>Кровь и gore</x:v>
      </x:c>
      <x:c r="C310" s="494" t="str">
        <x:v>Кровавая лужа на камне</x:v>
      </x:c>
      <x:c r="D310" s="89" t="str">
        <x:v>Прозрачные края + тёмный центр</x:v>
      </x:c>
      <x:c r="E310" s="89" t="str">
        <x:v>Готовый каменный пол</x:v>
      </x:c>
      <x:c r="F310" s="89" t="str">
        <x:v>Carroburg Crimson 1:8 с Lahmian Medium широким краем</x:v>
      </x:c>
      <x:c r="G310" s="89" t="str">
        <x:v>Gory Red</x:v>
      </x:c>
      <x:c r="H310" s="89" t="str">
        <x:v>AK Deep Brown в глубоком центре</x:v>
      </x:c>
      <x:c r="I310" s="89" t="str">
        <x:v>AK Blood Red</x:v>
      </x:c>
      <x:c r="J310" s="89" t="str">
        <x:v>Blood for the Blood God</x:v>
      </x:c>
      <x:c r="K310" s="89" t="str">
        <x:v>White микроточками в наиболее мокрой зоне</x:v>
      </x:c>
      <x:c r="L310" s="89" t="str">
        <x:v>Agrax Earthshade Gloss смешать локально у грязных краёв</x:v>
      </x:c>
      <x:c r="M310" s="89" t="str">
        <x:v>Matt камень; Gloss лужа</x:v>
      </x:c>
      <x:c r="N310" s="90" t="str">
        <x:v>Высокая</x:v>
      </x:c>
      <x:c r="O310" s="89" t="str">
        <x:v>Официальный scenery guide использует Blood for the Blood God для небольших pools и splashes и отдельно подчёркивает правило less is more.</x:v>
      </x:c>
      <x:c r="P310" s="89" t="str">
        <x:v>Внешний референс — адаптировано</x:v>
      </x:c>
      <x:c r="Q310" s="89" t="str">
        <x:v>Официальный Warhammer источник подтверждает технику blood splatter, pools, skin cloak или camo concept; конкретные цвета адаптированы под коллекцию.</x:v>
      </x:c>
    </x:row>
    <x:row r="311">
      <x:c r="A311" s="90" t="n">
        <x:v>307</x:v>
      </x:c>
      <x:c r="B311" s="494" t="str">
        <x:v>Кровь и gore</x:v>
      </x:c>
      <x:c r="C311" s="494" t="str">
        <x:v>Плащ из свежесодранной кожи</x:v>
      </x:c>
      <x:c r="D311" s="89" t="str">
        <x:v>Кожа + воспалённые края + локальная кровь</x:v>
      </x:c>
      <x:c r="E311" s="89" t="str">
        <x:v>Настоящий грунт → Grey Seer</x:v>
      </x:c>
      <x:c r="F311" s="89" t="str">
        <x:v>Rakarth Flesh + AK Sickly Pink 2:1</x:v>
      </x:c>
      <x:c r="G311" s="89" t="str">
        <x:v>Reikland Fleshshade</x:v>
      </x:c>
      <x:c r="H311" s="89" t="str">
        <x:v>Cadian Fleshtone</x:v>
      </x:c>
      <x:c r="I311" s="89" t="str">
        <x:v>Flayed One Flesh</x:v>
      </x:c>
      <x:c r="J311" s="89" t="str">
        <x:v>Pallid Wych Flesh</x:v>
      </x:c>
      <x:c r="K311" s="89" t="str">
        <x:v>White точечно на влажных складках</x:v>
      </x:c>
      <x:c r="L311" s="89" t="str">
        <x:v>Carroburg Crimson по швам; Blood for the Blood God только на свежих краях</x:v>
      </x:c>
      <x:c r="M311" s="89" t="str">
        <x:v>Matt кожа; локальный Gloss на свежих участках</x:v>
      </x:c>
      <x:c r="N311" s="90" t="str">
        <x:v>Высокая</x:v>
      </x:c>
      <x:c r="O311" s="89" t="str">
        <x:v>Официальный Warhammer guide посвящён именно skin cloaks: тканевую форму нужно сохранить, но материал передать телесными оттенками, швами и локальной влажностью.</x:v>
      </x:c>
      <x:c r="P311" s="89" t="str">
        <x:v>Внешний референс — адаптировано</x:v>
      </x:c>
      <x:c r="Q311" s="89" t="str">
        <x:v>Официальный Warhammer источник подтверждает технику blood splatter, pools, skin cloak или camo concept; конкретные цвета адаптированы под коллекцию.</x:v>
      </x:c>
    </x:row>
    <x:row r="312">
      <x:c r="A312" s="90" t="n">
        <x:v>308</x:v>
      </x:c>
      <x:c r="B312" s="494" t="str">
        <x:v>Кровь и gore</x:v>
      </x:c>
      <x:c r="C312" s="494" t="str">
        <x:v>Старый высохший плащ из кожи</x:v>
      </x:c>
      <x:c r="D312" s="89" t="str">
        <x:v>Бледная кожа + холодные пятна</x:v>
      </x:c>
      <x:c r="E312" s="89" t="str">
        <x:v>Настоящий грунт → Grey Seer</x:v>
      </x:c>
      <x:c r="F312" s="89" t="str">
        <x:v>Rakarth Flesh</x:v>
      </x:c>
      <x:c r="G312" s="89" t="str">
        <x:v>Targor Rageshade</x:v>
      </x:c>
      <x:c r="H312" s="89" t="str">
        <x:v>Deepkin Flesh</x:v>
      </x:c>
      <x:c r="I312" s="89" t="str">
        <x:v>Flayed One Flesh</x:v>
      </x:c>
      <x:c r="J312" s="89" t="str">
        <x:v>Pallid Wych Flesh</x:v>
      </x:c>
      <x:c r="K312" s="89" t="str">
        <x:v>White Grey точечно</x:v>
      </x:c>
      <x:c r="L312" s="89" t="str">
        <x:v>Dreadful Visage 1:8 с Contrast Medium в пятна и швы</x:v>
      </x:c>
      <x:c r="M312" s="89" t="str">
        <x:v>Matt Varnish</x:v>
      </x:c>
      <x:c r="N312" s="90" t="str">
        <x:v>Средняя</x:v>
      </x:c>
      <x:c r="O312" s="89" t="str">
        <x:v>Старая содранная кожа матовая, сухая и менее красная. Холодные лилово-серые пятна отличают её от обычной бежевой ткани.</x:v>
      </x:c>
      <x:c r="P312" s="89" t="str">
        <x:v>Проверено — рабочая техника</x:v>
      </x:c>
      <x:c r="Q312" s="89" t="str">
        <x:v>Рецепт использует материалы коллекции и контролируемую логику крови, органики или направленного эффекта.</x:v>
      </x:c>
    </x:row>
    <x:row r="313">
      <x:c r="A313" s="90" t="n">
        <x:v>309</x:v>
      </x:c>
      <x:c r="B313" s="494" t="str">
        <x:v>Кровь и gore</x:v>
      </x:c>
      <x:c r="C313" s="494" t="str">
        <x:v>Сшитый плащ из разных лоскутов кожи</x:v>
      </x:c>
      <x:c r="D313" s="89" t="str">
        <x:v>Разные андертоны + общий glaze</x:v>
      </x:c>
      <x:c r="E313" s="89" t="str">
        <x:v>Настоящий грунт → Grey Seer</x:v>
      </x:c>
      <x:c r="F313" s="89" t="str">
        <x:v>Чередовать Heavy Skintone, Rakarth Flesh и Heavy Warmgrey</x:v>
      </x:c>
      <x:c r="G313" s="89" t="str">
        <x:v>Reikland / Targor / Dreadful Visage по разным лоскутам</x:v>
      </x:c>
      <x:c r="H313" s="89" t="str">
        <x:v>Cadian / Deepkin вернуть локально</x:v>
      </x:c>
      <x:c r="I313" s="89" t="str">
        <x:v>Flayed One Flesh</x:v>
      </x:c>
      <x:c r="J313" s="89" t="str">
        <x:v>Pallid Wych Flesh по общему свету</x:v>
      </x:c>
      <x:c r="K313" s="89" t="str">
        <x:v>White точечно</x:v>
      </x:c>
      <x:c r="L313" s="89" t="str">
        <x:v>Guilliman Flesh 1:12 с Contrast Medium очень тонко по всей поверхности</x:v>
      </x:c>
      <x:c r="M313" s="89" t="str">
        <x:v>Matt Varnish</x:v>
      </x:c>
      <x:c r="N313" s="90" t="str">
        <x:v>Высокая</x:v>
      </x:c>
      <x:c r="O313" s="89" t="str">
        <x:v>Лоскуты различаются температурой, но объединяются одинаковым направлением света и общим тонким телесным фильтром.</x:v>
      </x:c>
      <x:c r="P313" s="89" t="str">
        <x:v>Проверено — рабочая техника</x:v>
      </x:c>
      <x:c r="Q313" s="89" t="str">
        <x:v>Рецепт использует материалы коллекции и контролируемую логику крови, органики или направленного эффекта.</x:v>
      </x:c>
    </x:row>
    <x:row r="314">
      <x:c r="A314" s="90" t="n">
        <x:v>310</x:v>
      </x:c>
      <x:c r="B314" s="494" t="str">
        <x:v>Кровь и gore</x:v>
      </x:c>
      <x:c r="C314" s="494" t="str">
        <x:v>Обнажённая красная мускулатура</x:v>
      </x:c>
      <x:c r="D314" s="89" t="str">
        <x:v>Тёмные борозды + продольные волокна</x:v>
      </x:c>
      <x:c r="E314" s="89" t="str">
        <x:v>Black Primer</x:v>
      </x:c>
      <x:c r="F314" s="89" t="str">
        <x:v>Gory Red</x:v>
      </x:c>
      <x:c r="G314" s="89" t="str">
        <x:v>Berserker Bloodshade</x:v>
      </x:c>
      <x:c r="H314" s="89" t="str">
        <x:v>AK Blood Red продольными мышечными волокнами</x:v>
      </x:c>
      <x:c r="I314" s="89" t="str">
        <x:v>Wazdakka Red</x:v>
      </x:c>
      <x:c r="J314" s="89" t="str">
        <x:v>Pink Horror</x:v>
      </x:c>
      <x:c r="K314" s="89" t="str">
        <x:v>Pale Flesh тончайшими линиями</x:v>
      </x:c>
      <x:c r="L314" s="89" t="str">
        <x:v>Blood for the Blood God только на разорванных влажных местах</x:v>
      </x:c>
      <x:c r="M314" s="89" t="str">
        <x:v>Matt мышцы; локальный Gloss</x:v>
      </x:c>
      <x:c r="N314" s="90" t="str">
        <x:v>Высокая</x:v>
      </x:c>
      <x:c r="O314" s="89" t="str">
        <x:v>Волокна следуют анатомии, а не образуют равномерную красную штриховку. Матовая мышца и мокрые разрывы получают разные финиши.</x:v>
      </x:c>
      <x:c r="P314" s="89" t="str">
        <x:v>Проверено — рабочая техника</x:v>
      </x:c>
      <x:c r="Q314" s="89" t="str">
        <x:v>Рецепт использует материалы коллекции и контролируемую логику крови, органики или направленного эффекта.</x:v>
      </x:c>
    </x:row>
    <x:row r="315">
      <x:c r="A315" s="90" t="n">
        <x:v>311</x:v>
      </x:c>
      <x:c r="B315" s="495" t="str">
        <x:v>Масла</x:v>
      </x:c>
      <x:c r="C315" s="495" t="str">
        <x:v>Тёплый pin-wash Умброй жжёной</x:v>
      </x:c>
      <x:c r="D315" s="89" t="str">
        <x:v>Капиллярная масляная проливка</x:v>
      </x:c>
      <x:c r="E315" s="89" t="str">
        <x:v>Полностью окрашенная поверхность → Gloss Varnish</x:v>
      </x:c>
      <x:c r="F315" s="89" t="str">
        <x:v>Умбра жжёная сильно разбавленная</x:v>
      </x:c>
      <x:c r="G315" s="89" t="str">
        <x:v>Точечно касаться стыков и заклёпок</x:v>
      </x:c>
      <x:c r="H315" s="89" t="str">
        <x:v>Дать капиллярно растечься</x:v>
      </x:c>
      <x:c r="I315" s="89" t="str">
        <x:v>Снять излишек чистой слегка смоченной кистью</x:v>
      </x:c>
      <x:c r="J315" s="89" t="str">
        <x:v>—</x:v>
      </x:c>
      <x:c r="K315" s="89" t="str">
        <x:v>—</x:v>
      </x:c>
      <x:c r="L315" s="89" t="str">
        <x:v>Вернуть акриловые блики после высыхания</x:v>
      </x:c>
      <x:c r="M315" s="89" t="str">
        <x:v>Matt/Satin после полного высыхания масла</x:v>
      </x:c>
      <x:c r="N315" s="90" t="str">
        <x:v>Низкая</x:v>
      </x:c>
      <x:c r="O315" s="89" t="str">
        <x:v>Лучший вариант для золота, красной, жёлтой, коричневой и тёплой брони. Gloss помогает маслу течь по швам, а не окрашивать всю панель.</x:v>
      </x:c>
      <x:c r="P315" s="89" t="str">
        <x:v>Масляная техника — тест</x:v>
      </x:c>
      <x:c r="Q315" s="89" t="str">
        <x:v>Техника использует только три имеющихся масла. Время схватывания, количество разбавителя и совместимость с лаком проверить на тестовой детали.</x:v>
      </x:c>
    </x:row>
    <x:row r="316">
      <x:c r="A316" s="90" t="n">
        <x:v>312</x:v>
      </x:c>
      <x:c r="B316" s="495" t="str">
        <x:v>Масла</x:v>
      </x:c>
      <x:c r="C316" s="495" t="str">
        <x:v>Холодный pin-wash Серой Пейна</x:v>
      </x:c>
      <x:c r="D316" s="89" t="str">
        <x:v>Капиллярная масляная проливка</x:v>
      </x:c>
      <x:c r="E316" s="89" t="str">
        <x:v>Полностью окрашенная поверхность → Gloss Varnish</x:v>
      </x:c>
      <x:c r="F316" s="89" t="str">
        <x:v>Серая Пейна сильно разбавленная</x:v>
      </x:c>
      <x:c r="G316" s="89" t="str">
        <x:v>Точечно в панельные линии</x:v>
      </x:c>
      <x:c r="H316" s="89" t="str">
        <x:v>Растянуть по холодным теням</x:v>
      </x:c>
      <x:c r="I316" s="89" t="str">
        <x:v>Снять излишек</x:v>
      </x:c>
      <x:c r="J316" s="89" t="str">
        <x:v>—</x:v>
      </x:c>
      <x:c r="K316" s="89" t="str">
        <x:v>—</x:v>
      </x:c>
      <x:c r="L316" s="89" t="str">
        <x:v>Вернуть White Grey/metal highlights</x:v>
      </x:c>
      <x:c r="M316" s="89" t="str">
        <x:v>Matt/Satin после полного высыхания</x:v>
      </x:c>
      <x:c r="N316" s="90" t="str">
        <x:v>Низкая</x:v>
      </x:c>
      <x:c r="O316" s="89" t="str">
        <x:v>Подходит для белой, синей, бирюзовой, серой и серебряной брони. На жёлтом и золоте может выглядеть слишком грязно-холодной.</x:v>
      </x:c>
      <x:c r="P316" s="89" t="str">
        <x:v>Масляная техника — тест</x:v>
      </x:c>
      <x:c r="Q316" s="89" t="str">
        <x:v>Техника использует только три имеющихся масла. Время схватывания, количество разбавителя и совместимость с лаком проверить на тестовой детали.</x:v>
      </x:c>
    </x:row>
    <x:row r="317">
      <x:c r="A317" s="90" t="n">
        <x:v>313</x:v>
      </x:c>
      <x:c r="B317" s="495" t="str">
        <x:v>Масла</x:v>
      </x:c>
      <x:c r="C317" s="495" t="str">
        <x:v>Чёрный pin-wash Сажей газовой</x:v>
      </x:c>
      <x:c r="D317" s="89" t="str">
        <x:v>Максимально глубокая локальная тень</x:v>
      </x:c>
      <x:c r="E317" s="89" t="str">
        <x:v>Полностью окрашенная поверхность → Gloss Varnish</x:v>
      </x:c>
      <x:c r="F317" s="89" t="str">
        <x:v>Сажа газовая сильно разбавленная</x:v>
      </x:c>
      <x:c r="G317" s="89" t="str">
        <x:v>Только самые глубокие механические швы</x:v>
      </x:c>
      <x:c r="H317" s="89" t="str">
        <x:v>Не растягивать на широкие панели</x:v>
      </x:c>
      <x:c r="I317" s="89" t="str">
        <x:v>Снять излишек с кромок</x:v>
      </x:c>
      <x:c r="J317" s="89" t="str">
        <x:v>—</x:v>
      </x:c>
      <x:c r="K317" s="89" t="str">
        <x:v>—</x:v>
      </x:c>
      <x:c r="L317" s="89" t="str">
        <x:v>Вернуть исходный Base и metal edge</x:v>
      </x:c>
      <x:c r="M317" s="89" t="str">
        <x:v>Matt/Satin после полного высыхания</x:v>
      </x:c>
      <x:c r="N317" s="90" t="str">
        <x:v>Средняя</x:v>
      </x:c>
      <x:c r="O317" s="89" t="str">
        <x:v>Чёрный wash использовать значительно реже коричневого или Payne Grey: он быстро создаёт графическую, искусственно жёсткую окантовку.</x:v>
      </x:c>
      <x:c r="P317" s="89" t="str">
        <x:v>Масляная техника — тест</x:v>
      </x:c>
      <x:c r="Q317" s="89" t="str">
        <x:v>Техника использует только три имеющихся масла. Время схватывания, количество разбавителя и совместимость с лаком проверить на тестовой детали.</x:v>
      </x:c>
    </x:row>
    <x:row r="318">
      <x:c r="A318" s="90" t="n">
        <x:v>314</x:v>
      </x:c>
      <x:c r="B318" s="495" t="str">
        <x:v>Масла</x:v>
      </x:c>
      <x:c r="C318" s="495" t="str">
        <x:v>Трёхмасляная карта большой панели</x:v>
      </x:c>
      <x:c r="D318" s="89" t="str">
        <x:v>Тёплая земля + холодная тень + сажа</x:v>
      </x:c>
      <x:c r="E318" s="89" t="str">
        <x:v>Готовая аэрографная модуляция → Satin Varnish</x:v>
      </x:c>
      <x:c r="F318" s="89" t="str">
        <x:v>Умбра жжёная точками в нижней тёплой зоне</x:v>
      </x:c>
      <x:c r="G318" s="89" t="str">
        <x:v>Серая Пейна точками в холодной теневой стороне</x:v>
      </x:c>
      <x:c r="H318" s="89" t="str">
        <x:v>Сажа газовая только у выхлопов и щелей</x:v>
      </x:c>
      <x:c r="I318" s="89" t="str">
        <x:v>Чистой мягкой кистью растянуть каждый цвет отдельно</x:v>
      </x:c>
      <x:c r="J318" s="89" t="str">
        <x:v>Снять масло с света</x:v>
      </x:c>
      <x:c r="K318" s="89" t="str">
        <x:v>Вернуть акриловый edge</x:v>
      </x:c>
      <x:c r="L318" s="89" t="str">
        <x:v>Локальные streaks после частичного схватывания</x:v>
      </x:c>
      <x:c r="M318" s="89" t="str">
        <x:v>Matt/Satin после высыхания</x:v>
      </x:c>
      <x:c r="N318" s="90" t="str">
        <x:v>Высокая</x:v>
      </x:c>
      <x:c r="O318" s="89" t="str">
        <x:v>Три масла не смешиваются в серо-коричневую массу: каждое отвечает за собственную физическую зону загрязнения.</x:v>
      </x:c>
      <x:c r="P318" s="89" t="str">
        <x:v>Масляная техника — тест</x:v>
      </x:c>
      <x:c r="Q318" s="89" t="str">
        <x:v>Техника использует только три имеющихся масла. Время схватывания, количество разбавителя и совместимость с лаком проверить на тестовой детали.</x:v>
      </x:c>
    </x:row>
    <x:row r="319">
      <x:c r="A319" s="90" t="n">
        <x:v>315</x:v>
      </x:c>
      <x:c r="B319" s="495" t="str">
        <x:v>Масла</x:v>
      </x:c>
      <x:c r="C319" s="495" t="str">
        <x:v>Масляное смягчение аэрографного градиента</x:v>
      </x:c>
      <x:c r="D319" s="89" t="str">
        <x:v>Oil blending поверх Satin</x:v>
      </x:c>
      <x:c r="E319" s="89" t="str">
        <x:v>Готовая аэрографная модуляция → Satin Varnish</x:v>
      </x:c>
      <x:c r="F319" s="89" t="str">
        <x:v>Очень малые точки Умбры в тени</x:v>
      </x:c>
      <x:c r="G319" s="89" t="str">
        <x:v>Очень малые точки Серой Пейна в холодном переходе</x:v>
      </x:c>
      <x:c r="H319" s="89" t="str">
        <x:v>Мягкой сухой кистью растянуть по форме</x:v>
      </x:c>
      <x:c r="I319" s="89" t="str">
        <x:v>Снять всё масло с ярких зон</x:v>
      </x:c>
      <x:c r="J319" s="89" t="str">
        <x:v>—</x:v>
      </x:c>
      <x:c r="K319" s="89" t="str">
        <x:v>—</x:v>
      </x:c>
      <x:c r="L319" s="89" t="str">
        <x:v>Вернуть крайние акриловые света</x:v>
      </x:c>
      <x:c r="M319" s="89" t="str">
        <x:v>Matt/Satin после полного высыхания</x:v>
      </x:c>
      <x:c r="N319" s="90" t="str">
        <x:v>Высокая</x:v>
      </x:c>
      <x:c r="O319" s="89" t="str">
        <x:v>Масло не заменяет аэрографный градиент, а устраняет отдельные резкие переходы и меняет температуру теней.</x:v>
      </x:c>
      <x:c r="P319" s="89" t="str">
        <x:v>Масляная техника — тест</x:v>
      </x:c>
      <x:c r="Q319" s="89" t="str">
        <x:v>Техника использует только три имеющихся масла. Время схватывания, количество разбавителя и совместимость с лаком проверить на тестовой детали.</x:v>
      </x:c>
    </x:row>
    <x:row r="320">
      <x:c r="A320" s="90" t="n">
        <x:v>316</x:v>
      </x:c>
      <x:c r="B320" s="495" t="str">
        <x:v>Масла</x:v>
      </x:c>
      <x:c r="C320" s="495" t="str">
        <x:v>Масляные вертикальные streaks</x:v>
      </x:c>
      <x:c r="D320" s="89" t="str">
        <x:v>Полусхватившиеся линии + растяжка</x:v>
      </x:c>
      <x:c r="E320" s="89" t="str">
        <x:v>Окрашенная поверхность → Satin/Gloss Varnish</x:v>
      </x:c>
      <x:c r="F320" s="89" t="str">
        <x:v>Умбра жжёная тонкими линиями от заклёпок</x:v>
      </x:c>
      <x:c r="G320" s="89" t="str">
        <x:v>Серая Пейна в отдельных холодных дорожках</x:v>
      </x:c>
      <x:c r="H320" s="89" t="str">
        <x:v>Дать немного схватиться</x:v>
      </x:c>
      <x:c r="I320" s="89" t="str">
        <x:v>Кистью с разбавителем растянуть строго вниз</x:v>
      </x:c>
      <x:c r="J320" s="89" t="str">
        <x:v>Повторить начало потёка</x:v>
      </x:c>
      <x:c r="K320" s="89" t="str">
        <x:v>—</x:v>
      </x:c>
      <x:c r="L320" s="89" t="str">
        <x:v>Сажа газовая только от выхлопов</x:v>
      </x:c>
      <x:c r="M320" s="89" t="str">
        <x:v>Matt Varnish после высыхания</x:v>
      </x:c>
      <x:c r="N320" s="90" t="str">
        <x:v>Средняя</x:v>
      </x:c>
      <x:c r="O320" s="89" t="str">
        <x:v>Линия насыщеннее у источника и постепенно исчезает вниз. Вертикаль определяется положением модели, а не направлением мазка художника.</x:v>
      </x:c>
      <x:c r="P320" s="89" t="str">
        <x:v>Масляная техника — тест</x:v>
      </x:c>
      <x:c r="Q320" s="89" t="str">
        <x:v>Техника использует только три имеющихся масла. Время схватывания, количество разбавителя и совместимость с лаком проверить на тестовой детали.</x:v>
      </x:c>
    </x:row>
    <x:row r="321">
      <x:c r="A321" s="90" t="n">
        <x:v>317</x:v>
      </x:c>
      <x:c r="B321" s="495" t="str">
        <x:v>Масла</x:v>
      </x:c>
      <x:c r="C321" s="495" t="str">
        <x:v>Масляная грязь вокруг заклёпок</x:v>
      </x:c>
      <x:c r="D321" s="89" t="str">
        <x:v>Точка + радиальная растушёвка</x:v>
      </x:c>
      <x:c r="E321" s="89" t="str">
        <x:v>Готовая техника → Satin Varnish</x:v>
      </x:c>
      <x:c r="F321" s="89" t="str">
        <x:v>Умбра жжёная точкой вокруг части заклёпок</x:v>
      </x:c>
      <x:c r="G321" s="89" t="str">
        <x:v>Серая Пейна на холодных или серебряных панелях</x:v>
      </x:c>
      <x:c r="H321" s="89" t="str">
        <x:v>Растушевать коротким радиальным движением</x:v>
      </x:c>
      <x:c r="I321" s="89" t="str">
        <x:v>Оставить тёмный центр</x:v>
      </x:c>
      <x:c r="J321" s="89" t="str">
        <x:v>—</x:v>
      </x:c>
      <x:c r="K321" s="89" t="str">
        <x:v>—</x:v>
      </x:c>
      <x:c r="L321" s="89" t="str">
        <x:v>Акрилом вернуть верх заклёпки</x:v>
      </x:c>
      <x:c r="M321" s="89" t="str">
        <x:v>Matt/Satin после высыхания</x:v>
      </x:c>
      <x:c r="N321" s="90" t="str">
        <x:v>Низкая</x:v>
      </x:c>
      <x:c r="O321" s="89" t="str">
        <x:v>Не обрабатывать каждый заклёпочный ряд одинаково. Загрязнение концентрируется у нижних и защищённых креплений.</x:v>
      </x:c>
      <x:c r="P321" s="89" t="str">
        <x:v>Масляная техника — тест</x:v>
      </x:c>
      <x:c r="Q321" s="89" t="str">
        <x:v>Техника использует только три имеющихся масла. Время схватывания, количество разбавителя и совместимость с лаком проверить на тестовой детали.</x:v>
      </x:c>
    </x:row>
    <x:row r="322">
      <x:c r="A322" s="90" t="n">
        <x:v>318</x:v>
      </x:c>
      <x:c r="B322" s="495" t="str">
        <x:v>Масла</x:v>
      </x:c>
      <x:c r="C322" s="495" t="str">
        <x:v>Сажа вокруг выхлопа маслом</x:v>
      </x:c>
      <x:c r="D322" s="89" t="str">
        <x:v>Чёрный центр + серый мягкий край</x:v>
      </x:c>
      <x:c r="E322" s="89" t="str">
        <x:v>Готовая поверхность → Satin Varnish</x:v>
      </x:c>
      <x:c r="F322" s="89" t="str">
        <x:v>Сажа газовая у отверстия</x:v>
      </x:c>
      <x:c r="G322" s="89" t="str">
        <x:v>Серая Пейна по внешнему краю</x:v>
      </x:c>
      <x:c r="H322" s="89" t="str">
        <x:v>Мягкой кистью растянуть по потоку</x:v>
      </x:c>
      <x:c r="I322" s="89" t="str">
        <x:v>Снять масло с металлической кромки</x:v>
      </x:c>
      <x:c r="J322" s="89" t="str">
        <x:v>—</x:v>
      </x:c>
      <x:c r="K322" s="89" t="str">
        <x:v>—</x:v>
      </x:c>
      <x:c r="L322" s="89" t="str">
        <x:v>Vallejo Silver вернуть на чистую кромку</x:v>
      </x:c>
      <x:c r="M322" s="89" t="str">
        <x:v>Matt на саже; Metal/Satin на металле</x:v>
      </x:c>
      <x:c r="N322" s="90" t="str">
        <x:v>Средняя</x:v>
      </x:c>
      <x:c r="O322" s="89" t="str">
        <x:v>Сажа должна становиться шире и прозрачнее по мере удаления от отверстия, сохраняя направление воздушного потока.</x:v>
      </x:c>
      <x:c r="P322" s="89" t="str">
        <x:v>Масляная техника — тест</x:v>
      </x:c>
      <x:c r="Q322" s="89" t="str">
        <x:v>Техника использует только три имеющихся масла. Время схватывания, количество разбавителя и совместимость с лаком проверить на тестовой детали.</x:v>
      </x:c>
    </x:row>
    <x:row r="323">
      <x:c r="A323" s="90" t="n">
        <x:v>319</x:v>
      </x:c>
      <x:c r="B323" s="495" t="str">
        <x:v>Масла</x:v>
      </x:c>
      <x:c r="C323" s="495" t="str">
        <x:v>Масляная тень на большой органической форме</x:v>
      </x:c>
      <x:c r="D323" s="89" t="str">
        <x:v>Съёмная цветовая тень</x:v>
      </x:c>
      <x:c r="E323" s="89" t="str">
        <x:v>Законченная акриловая кожа/демон → Satin Varnish</x:v>
      </x:c>
      <x:c r="F323" s="89" t="str">
        <x:v>Умбра жжёная в тёплые складки</x:v>
      </x:c>
      <x:c r="G323" s="89" t="str">
        <x:v>Серая Пейна в холодную теневую сторону</x:v>
      </x:c>
      <x:c r="H323" s="89" t="str">
        <x:v>Сухой мягкой кистью растянуть</x:v>
      </x:c>
      <x:c r="I323" s="89" t="str">
        <x:v>Снять масло с верхних мышц</x:v>
      </x:c>
      <x:c r="J323" s="89" t="str">
        <x:v>Вернуть акриловый skin highlight</x:v>
      </x:c>
      <x:c r="K323" s="89" t="str">
        <x:v>—</x:v>
      </x:c>
      <x:c r="L323" s="89" t="str">
        <x:v>Локальные Carroburg/Plaguebearer glaze после высыхания</x:v>
      </x:c>
      <x:c r="M323" s="89" t="str">
        <x:v>Matt Varnish</x:v>
      </x:c>
      <x:c r="N323" s="90" t="str">
        <x:v>Высокая</x:v>
      </x:c>
      <x:c r="O323" s="89" t="str">
        <x:v>Полезно для крупных демонов и монстров, где акриловая тень может быть слишком резкой. На малом лице масло сложнее контролировать.</x:v>
      </x:c>
      <x:c r="P323" s="89" t="str">
        <x:v>Масляная техника — тест</x:v>
      </x:c>
      <x:c r="Q323" s="89" t="str">
        <x:v>Техника использует только три имеющихся масла. Время схватывания, количество разбавителя и совместимость с лаком проверить на тестовой детали.</x:v>
      </x:c>
    </x:row>
    <x:row r="324">
      <x:c r="A324" s="90" t="n">
        <x:v>320</x:v>
      </x:c>
      <x:c r="B324" s="495" t="str">
        <x:v>Масла</x:v>
      </x:c>
      <x:c r="C324" s="495" t="str">
        <x:v>Масляная интеграция модели и подставки</x:v>
      </x:c>
      <x:c r="D324" s="89" t="str">
        <x:v>Общий нижний загрязняющий цвет</x:v>
      </x:c>
      <x:c r="E324" s="89" t="str">
        <x:v>Завершённая модель и база → Satin Varnish</x:v>
      </x:c>
      <x:c r="F324" s="89" t="str">
        <x:v>Умбра жжёная на ступни, низ плаща и землю</x:v>
      </x:c>
      <x:c r="G324" s="89" t="str">
        <x:v>Серая Пейна на холодный камень/пепел</x:v>
      </x:c>
      <x:c r="H324" s="89" t="str">
        <x:v>Растянуть один цвет через границу модель–база</x:v>
      </x:c>
      <x:c r="I324" s="89" t="str">
        <x:v>Снять с верхних выступов</x:v>
      </x:c>
      <x:c r="J324" s="89" t="str">
        <x:v>—</x:v>
      </x:c>
      <x:c r="K324" s="89" t="str">
        <x:v>—</x:v>
      </x:c>
      <x:c r="L324" s="89" t="str">
        <x:v>Вернуть акриловую пыль/металл точечно</x:v>
      </x:c>
      <x:c r="M324" s="89" t="str">
        <x:v>Matt Varnish после высыхания</x:v>
      </x:c>
      <x:c r="N324" s="90" t="str">
        <x:v>Средняя</x:v>
      </x:c>
      <x:c r="O324" s="89" t="str">
        <x:v>Общий масляный цвет визуально связывает ноги с грунтом. Загрязнение быстро ослабевает выше колен и нижнего края плаща.</x:v>
      </x:c>
      <x:c r="P324" s="89" t="str">
        <x:v>Масляная техника — тест</x:v>
      </x:c>
      <x:c r="Q324" s="89" t="str">
        <x:v>Техника использует только три имеющихся масла. Время схватывания, количество разбавителя и совместимость с лаком проверить на тестовой детали.</x:v>
      </x:c>
    </x:row>
    <x:row r="325">
      <x:c r="A325" s="90" t="n">
        <x:v>321</x:v>
      </x:c>
      <x:c r="B325" s="496" t="str">
        <x:v>Камуфляж</x:v>
      </x:c>
      <x:c r="C325" s="496" t="str">
        <x:v>Городской цифровой камуфляж</x:v>
      </x:c>
      <x:c r="D325" s="89" t="str">
        <x:v>Мелкие прямоугольные маски</x:v>
      </x:c>
      <x:c r="E325" s="89" t="str">
        <x:v>Black Primer</x:v>
      </x:c>
      <x:c r="F325" s="89" t="str">
        <x:v>AK German Grey Uniform</x:v>
      </x:c>
      <x:c r="G325" s="89" t="str">
        <x:v>AK Medium Grey прямоугольными блоками</x:v>
      </x:c>
      <x:c r="H325" s="89" t="str">
        <x:v>Sea Grey меньшими блоками</x:v>
      </x:c>
      <x:c r="I325" s="89" t="str">
        <x:v>AK Black отдельными блоками</x:v>
      </x:c>
      <x:c r="J325" s="89" t="str">
        <x:v>White Grey редкими верхними блоками</x:v>
      </x:c>
      <x:c r="K325" s="89" t="str">
        <x:v>—</x:v>
      </x:c>
      <x:c r="L325" s="89" t="str">
        <x:v>Basilicanum Grey 1:8 с Contrast Medium для общего объединения</x:v>
      </x:c>
      <x:c r="M325" s="89" t="str">
        <x:v>Matt Varnish</x:v>
      </x:c>
      <x:c r="N325" s="90" t="str">
        <x:v>Высокая</x:v>
      </x:c>
      <x:c r="O325" s="89" t="str">
        <x:v>Цифровой узор строится кластерами прямоугольников разного размера, а не равномерной шахматной сеткой.</x:v>
      </x:c>
      <x:c r="P325" s="89" t="str">
        <x:v>Аэрограф/маска — тест</x:v>
      </x:c>
      <x:c r="Q325" s="89" t="str">
        <x:v>Камуфляж требует проверки масштаба пятен, липкости маски и ширины overspray на отдельной панели.</x:v>
      </x:c>
    </x:row>
    <x:row r="326">
      <x:c r="A326" s="90" t="n">
        <x:v>322</x:v>
      </x:c>
      <x:c r="B326" s="496" t="str">
        <x:v>Камуфляж</x:v>
      </x:c>
      <x:c r="C326" s="496" t="str">
        <x:v>Зимний изношенный whitewash</x:v>
      </x:c>
      <x:c r="D326" s="89" t="str">
        <x:v>Chipping Medium + белый верхний слой</x:v>
      </x:c>
      <x:c r="E326" s="89" t="str">
        <x:v>Завершённая тёмная броня</x:v>
      </x:c>
      <x:c r="F326" s="89" t="str">
        <x:v>Chipping Medium</x:v>
      </x:c>
      <x:c r="G326" s="89" t="str">
        <x:v>White Grey аэрографом тонкими неравномерными слоями</x:v>
      </x:c>
      <x:c r="H326" s="89" t="str">
        <x:v>White локально сверху</x:v>
      </x:c>
      <x:c r="I326" s="89" t="str">
        <x:v>Смочить водой и скалывать кистью</x:v>
      </x:c>
      <x:c r="J326" s="89" t="str">
        <x:v>Sea Grey губкой по части краёв</x:v>
      </x:c>
      <x:c r="K326" s="89" t="str">
        <x:v>AK Deep Brown в глубокие повреждения</x:v>
      </x:c>
      <x:c r="L326" s="89" t="str">
        <x:v>Agrax Earthshade Gloss в талую грязь</x:v>
      </x:c>
      <x:c r="M326" s="89" t="str">
        <x:v>Matt; локальный Satin/Gloss в грязи</x:v>
      </x:c>
      <x:c r="N326" s="90" t="str">
        <x:v>Высокая</x:v>
      </x:c>
      <x:c r="O326" s="89" t="str">
        <x:v>Whitewash должен выглядеть нанесённым поверх старой брони и стираться на выступах, люках и местах контакта.</x:v>
      </x:c>
      <x:c r="P326" s="89" t="str">
        <x:v>Аэрограф/маска — тест</x:v>
      </x:c>
      <x:c r="Q326" s="89" t="str">
        <x:v>Камуфляж требует проверки масштаба пятен, липкости маски и ширины overspray на отдельной панели.</x:v>
      </x:c>
    </x:row>
    <x:row r="327">
      <x:c r="A327" s="90" t="n">
        <x:v>323</x:v>
      </x:c>
      <x:c r="B327" s="496" t="str">
        <x:v>Камуфляж</x:v>
      </x:c>
      <x:c r="C327" s="496" t="str">
        <x:v>Пустынный трёхцветный disruptive camo</x:v>
      </x:c>
      <x:c r="D327" s="89" t="str">
        <x:v>Маска + аэрограф</x:v>
      </x:c>
      <x:c r="E327" s="89" t="str">
        <x:v>Black Primer</x:v>
      </x:c>
      <x:c r="F327" s="89" t="str">
        <x:v>AK Dark Sand</x:v>
      </x:c>
      <x:c r="G327" s="89" t="str">
        <x:v>Death Guard Green крупными пятнами</x:v>
      </x:c>
      <x:c r="H327" s="89" t="str">
        <x:v>AK Deep Brown меньшими пятнами</x:v>
      </x:c>
      <x:c r="I327" s="89" t="str">
        <x:v>Pale Sand локально сверху</x:v>
      </x:c>
      <x:c r="J327" s="89" t="str">
        <x:v>Karak Stone по верхним кромкам</x:v>
      </x:c>
      <x:c r="K327" s="89" t="str">
        <x:v>—</x:v>
      </x:c>
      <x:c r="L327" s="89" t="str">
        <x:v>Seraphim Sepia 1:10 с Lahmian Medium как общий фильтр</x:v>
      </x:c>
      <x:c r="M327" s="89" t="str">
        <x:v>Matt Varnish</x:v>
      </x:c>
      <x:c r="N327" s="90" t="str">
        <x:v>Средняя</x:v>
      </x:c>
      <x:c r="O327" s="89" t="str">
        <x:v>Пятна различаются размером и не повторяют форму каждой панели. Pale Sand используется как свет, а не четвёртый равноправный цвет.</x:v>
      </x:c>
      <x:c r="P327" s="89" t="str">
        <x:v>Аэрограф/маска — тест</x:v>
      </x:c>
      <x:c r="Q327" s="89" t="str">
        <x:v>Камуфляж требует проверки масштаба пятен, липкости маски и ширины overspray на отдельной панели.</x:v>
      </x:c>
    </x:row>
    <x:row r="328">
      <x:c r="A328" s="90" t="n">
        <x:v>324</x:v>
      </x:c>
      <x:c r="B328" s="496" t="str">
        <x:v>Камуфляж</x:v>
      </x:c>
      <x:c r="C328" s="496" t="str">
        <x:v>Лесной пятнистый камуфляж</x:v>
      </x:c>
      <x:c r="D328" s="89" t="str">
        <x:v>Свободная аэрография + stippling</x:v>
      </x:c>
      <x:c r="E328" s="89" t="str">
        <x:v>Black Primer</x:v>
      </x:c>
      <x:c r="F328" s="89" t="str">
        <x:v>Death Guard Green</x:v>
      </x:c>
      <x:c r="G328" s="89" t="str">
        <x:v>AK Deep Brown нерегулярными пятнами</x:v>
      </x:c>
      <x:c r="H328" s="89" t="str">
        <x:v>AK Dark Sand меньшими пятнами</x:v>
      </x:c>
      <x:c r="I328" s="89" t="str">
        <x:v>Militarum Green прозрачным фильтром</x:v>
      </x:c>
      <x:c r="J328" s="89" t="str">
        <x:v>Karak Stone редкими точками</x:v>
      </x:c>
      <x:c r="K328" s="89" t="str">
        <x:v>—</x:v>
      </x:c>
      <x:c r="L328" s="89" t="str">
        <x:v>Garaghak's Sewer + Contrast Medium 1:10 в загрязнённые тени</x:v>
      </x:c>
      <x:c r="M328" s="89" t="str">
        <x:v>Matt Varnish</x:v>
      </x:c>
      <x:c r="N328" s="90" t="str">
        <x:v>Средняя</x:v>
      </x:c>
      <x:c r="O328" s="89" t="str">
        <x:v>Мягкие пятна аэрографа дополняются резкими точками кистью; сочетание разных краёв делает узор натуральнее.</x:v>
      </x:c>
      <x:c r="P328" s="89" t="str">
        <x:v>Аэрограф/маска — тест</x:v>
      </x:c>
      <x:c r="Q328" s="89" t="str">
        <x:v>Камуфляж требует проверки масштаба пятен, липкости маски и ширины overspray на отдельной панели.</x:v>
      </x:c>
    </x:row>
    <x:row r="329">
      <x:c r="A329" s="90" t="n">
        <x:v>325</x:v>
      </x:c>
      <x:c r="B329" s="496" t="str">
        <x:v>Камуфляж</x:v>
      </x:c>
      <x:c r="C329" s="496" t="str">
        <x:v>Холодный сине-серый stealth camo</x:v>
      </x:c>
      <x:c r="D329" s="89" t="str">
        <x:v>Мягкие угловатые поля</x:v>
      </x:c>
      <x:c r="E329" s="89" t="str">
        <x:v>Black Primer</x:v>
      </x:c>
      <x:c r="F329" s="89" t="str">
        <x:v>AK Dark Prussian Blue</x:v>
      </x:c>
      <x:c r="G329" s="89" t="str">
        <x:v>The Fang угловатыми полями</x:v>
      </x:c>
      <x:c r="H329" s="89" t="str">
        <x:v>Sea Grey меньшими полями</x:v>
      </x:c>
      <x:c r="I329" s="89" t="str">
        <x:v>AK Medium Grey сверху</x:v>
      </x:c>
      <x:c r="J329" s="89" t="str">
        <x:v>White Grey редкими кромками</x:v>
      </x:c>
      <x:c r="K329" s="89" t="str">
        <x:v>—</x:v>
      </x:c>
      <x:c r="L329" s="89" t="str">
        <x:v>Mystic Blue + Xpress Medium 1:8 как общий фильтр</x:v>
      </x:c>
      <x:c r="M329" s="89" t="str">
        <x:v>Matt Varnish</x:v>
      </x:c>
      <x:c r="N329" s="90" t="str">
        <x:v>Средняя</x:v>
      </x:c>
      <x:c r="O329" s="89" t="str">
        <x:v>Камуфляж остаётся низкоконтрастным. Белый используется только на ограниченных верхних кромках, иначе схема теряет stealth-характер.</x:v>
      </x:c>
      <x:c r="P329" s="89" t="str">
        <x:v>Аэрограф/маска — тест</x:v>
      </x:c>
      <x:c r="Q329" s="89" t="str">
        <x:v>Камуфляж требует проверки масштаба пятен, липкости маски и ширины overspray на отдельной панели.</x:v>
      </x:c>
    </x:row>
    <x:row r="330">
      <x:c r="A330" s="90" t="n">
        <x:v>326</x:v>
      </x:c>
      <x:c r="B330" s="496" t="str">
        <x:v>Камуфляж</x:v>
      </x:c>
      <x:c r="C330" s="496" t="str">
        <x:v>Высококонтрастный dazzle-camo</x:v>
      </x:c>
      <x:c r="D330" s="89" t="str">
        <x:v>Геометрические полосы через маску</x:v>
      </x:c>
      <x:c r="E330" s="89" t="str">
        <x:v>White Primer</x:v>
      </x:c>
      <x:c r="F330" s="89" t="str">
        <x:v>White Grey</x:v>
      </x:c>
      <x:c r="G330" s="89" t="str">
        <x:v>AK Black широкими диагональными полосами</x:v>
      </x:c>
      <x:c r="H330" s="89" t="str">
        <x:v>AK Dark Prussian Blue дополнительными полосами</x:v>
      </x:c>
      <x:c r="I330" s="89" t="str">
        <x:v>White восстановить часть светлых зон</x:v>
      </x:c>
      <x:c r="J330" s="89" t="str">
        <x:v>Lothern Blue узко на синих полях</x:v>
      </x:c>
      <x:c r="K330" s="89" t="str">
        <x:v>—</x:v>
      </x:c>
      <x:c r="L330" s="89" t="str">
        <x:v>Basilicanum Grey 1:12 с Contrast Medium при необходимости приглушить</x:v>
      </x:c>
      <x:c r="M330" s="89" t="str">
        <x:v>Matt или Satin Varnish</x:v>
      </x:c>
      <x:c r="N330" s="90" t="str">
        <x:v>Высокая</x:v>
      </x:c>
      <x:c r="O330" s="89" t="str">
        <x:v>Dazzle-camo намеренно ломает силуэт и перспективу; полосы могут пересекать панели и не обязаны повторять геометрию брони.</x:v>
      </x:c>
      <x:c r="P330" s="89" t="str">
        <x:v>Аэрограф/маска — тест</x:v>
      </x:c>
      <x:c r="Q330" s="89" t="str">
        <x:v>Камуфляж требует проверки масштаба пятен, липкости маски и ширины overspray на отдельной панели.</x:v>
      </x:c>
    </x:row>
    <x:row r="331">
      <x:c r="A331" s="90" t="n">
        <x:v>327</x:v>
      </x:c>
      <x:c r="B331" s="496" t="str">
        <x:v>Камуфляж</x:v>
      </x:c>
      <x:c r="C331" s="496" t="str">
        <x:v>Точечный камуфляж плаща разведчика</x:v>
      </x:c>
      <x:c r="D331" s="89" t="str">
        <x:v>Stippling кластерами</x:v>
      </x:c>
      <x:c r="E331" s="89" t="str">
        <x:v>Black Primer</x:v>
      </x:c>
      <x:c r="F331" s="89" t="str">
        <x:v>Stormvermin Fur</x:v>
      </x:c>
      <x:c r="G331" s="89" t="str">
        <x:v>Death Guard Green крупными кластерами точек</x:v>
      </x:c>
      <x:c r="H331" s="89" t="str">
        <x:v>AK Dark Sand меньшими кластерами</x:v>
      </x:c>
      <x:c r="I331" s="89" t="str">
        <x:v>AK Deep Brown отдельными точками</x:v>
      </x:c>
      <x:c r="J331" s="89" t="str">
        <x:v>Pale Sand редкими верхними точками</x:v>
      </x:c>
      <x:c r="K331" s="89" t="str">
        <x:v>—</x:v>
      </x:c>
      <x:c r="L331" s="89" t="str">
        <x:v>Garaghak's Sewer 1:12 с Contrast Medium для загрязнения нижней части</x:v>
      </x:c>
      <x:c r="M331" s="89" t="str">
        <x:v>Matt Varnish</x:v>
      </x:c>
      <x:c r="N331" s="90" t="str">
        <x:v>Средняя</x:v>
      </x:c>
      <x:c r="O331" s="89" t="str">
        <x:v>Официальные Spectre Squad examples показывают широкий диапазон camo patterns; для ткани точечный узор лучше повторять кластерами, а не одиночным конфетти.</x:v>
      </x:c>
      <x:c r="P331" s="89" t="str">
        <x:v>Внешний референс — адаптировано</x:v>
      </x:c>
      <x:c r="Q331" s="89" t="str">
        <x:v>Официальный Warhammer источник подтверждает технику blood splatter, pools, skin cloak или camo concept; конкретные цвета адаптированы под коллекцию.</x:v>
      </x:c>
    </x:row>
    <x:row r="332">
      <x:c r="A332" s="90" t="n">
        <x:v>328</x:v>
      </x:c>
      <x:c r="B332" s="496" t="str">
        <x:v>Камуфляж</x:v>
      </x:c>
      <x:c r="C332" s="496" t="str">
        <x:v>Переход активного stealth-поля</x:v>
      </x:c>
      <x:c r="D332" s="89" t="str">
        <x:v>Обычная схема → светящаяся граница → исчезновение</x:v>
      </x:c>
      <x:c r="E332" s="89" t="str">
        <x:v>Полностью окрашенная модель</x:v>
      </x:c>
      <x:c r="F332" s="89" t="str">
        <x:v>Выбранный обычный камуфляж на одной стороне</x:v>
      </x:c>
      <x:c r="G332" s="89" t="str">
        <x:v>White Grey тонкой рваной границей</x:v>
      </x:c>
      <x:c r="H332" s="89" t="str">
        <x:v>Frostheart + Contrast Medium 1:3 вокруг границы</x:v>
      </x:c>
      <x:c r="I332" s="89" t="str">
        <x:v>Baharroth Blue</x:v>
      </x:c>
      <x:c r="J332" s="89" t="str">
        <x:v>White в узловых точках</x:v>
      </x:c>
      <x:c r="K332" s="89" t="str">
        <x:v>На исчезающей стороне оставить Black/White zenithal или чистый базовый цвет</x:v>
      </x:c>
      <x:c r="L332" s="89" t="str">
        <x:v>Blue Ink 1:12 для внешнего ореола</x:v>
      </x:c>
      <x:c r="M332" s="89" t="str">
        <x:v>Matt обычная сторона; Satin граница</x:v>
      </x:c>
      <x:c r="N332" s="90" t="str">
        <x:v>Очень высокая</x:v>
      </x:c>
      <x:c r="O332" s="89" t="str">
        <x:v>Граница эффекта должна пересекать панели, оружие и ткань как единое энергетическое поле, а не останавливаться на каждой детали.</x:v>
      </x:c>
      <x:c r="P332" s="89" t="str">
        <x:v>Аэрограф/маска — тест</x:v>
      </x:c>
      <x:c r="Q332" s="89" t="str">
        <x:v>Камуфляж требует проверки масштаба пятен, липкости маски и ширины overspray на отдельной панели.</x:v>
      </x:c>
    </x:row>
    <x:row r="333">
      <x:c r="A333" s="90" t="n">
        <x:v>329</x:v>
      </x:c>
      <x:c r="B333" s="497" t="str">
        <x:v>Финиш</x:v>
      </x:c>
      <x:c r="C333" s="497" t="str">
        <x:v>Карта финишей сложной модели</x:v>
      </x:c>
      <x:c r="D333" s="89" t="str">
        <x:v>Общий Matt + локальное восстановление</x:v>
      </x:c>
      <x:c r="E333" s="89" t="str">
        <x:v>Полностью законченная окраска</x:v>
      </x:c>
      <x:c r="F333" s="89" t="str">
        <x:v>AK Matt Varnish по всей модели</x:v>
      </x:c>
      <x:c r="G333" s="89" t="str">
        <x:v>Metal Varnish на золоте и серебре</x:v>
      </x:c>
      <x:c r="H333" s="89" t="str">
        <x:v>Satin Varnish на коже и шёлке</x:v>
      </x:c>
      <x:c r="I333" s="89" t="str">
        <x:v>Gloss Varnish на камнях, линзах, крови и лужах</x:v>
      </x:c>
      <x:c r="J333" s="89" t="str">
        <x:v>—</x:v>
      </x:c>
      <x:c r="K333" s="89" t="str">
        <x:v>—</x:v>
      </x:c>
      <x:c r="L333" s="89" t="str">
        <x:v>Technical Blood/Nurgle/Viscera наносить после общего Matt</x:v>
      </x:c>
      <x:c r="M333" s="89" t="str">
        <x:v>Разделённый локальный финиш</x:v>
      </x:c>
      <x:c r="N333" s="90" t="str">
        <x:v>Средняя</x:v>
      </x:c>
      <x:c r="O333" s="89" t="str">
        <x:v>Одинаковый лак уничтожает различие материалов. Локальные финиши наносятся тонко и не должны образовывать заметную границу по панели.</x:v>
      </x:c>
      <x:c r="P333" s="89" t="str">
        <x:v>Финиш — проверено</x:v>
      </x:c>
      <x:c r="Q333" s="89" t="str">
        <x:v>Разделение Matt/Satin/Gloss/Metal Varnish следует физике материала и использует лаки текущей коллекции.</x:v>
      </x:c>
    </x:row>
    <x:row r="334">
      <x:c r="A334" s="90" t="n">
        <x:v>330</x:v>
      </x:c>
      <x:c r="B334" s="497" t="str">
        <x:v>Финиш</x:v>
      </x:c>
      <x:c r="C334" s="497" t="str">
        <x:v>Восстановление модели после слишком матового лака</x:v>
      </x:c>
      <x:c r="D334" s="89" t="str">
        <x:v>Локальный возврат света и блеска</x:v>
      </x:c>
      <x:c r="E334" s="89" t="str">
        <x:v>Полностью высохший слишком матовый финиш</x:v>
      </x:c>
      <x:c r="F334" s="89" t="str">
        <x:v>Satin Varnish очень тонко на коже и цветной броне</x:v>
      </x:c>
      <x:c r="G334" s="89" t="str">
        <x:v>Metal Varnish на металлических областях</x:v>
      </x:c>
      <x:c r="H334" s="89" t="str">
        <x:v>Gloss Varnish на камнях/крови/жидкостях</x:v>
      </x:c>
      <x:c r="I334" s="89" t="str">
        <x:v>Вернуть Runefang/Vallejo Silver на самые яркие кромки</x:v>
      </x:c>
      <x:c r="J334" s="89" t="str">
        <x:v>Вернуть White glints</x:v>
      </x:c>
      <x:c r="K334" s="89" t="str">
        <x:v>—</x:v>
      </x:c>
      <x:c r="L334" s="89" t="str">
        <x:v>При необходимости очень тонкая цветная glaze после лака</x:v>
      </x:c>
      <x:c r="M334" s="89" t="str">
        <x:v>Смешанный локальный финиш</x:v>
      </x:c>
      <x:c r="N334" s="90" t="str">
        <x:v>Средняя</x:v>
      </x:c>
      <x:c r="O334" s="89" t="str">
        <x:v>Не перекрывать всю модель новым мокрым Gloss. Восстановление проводится по материалам и завершается повторным микровысветлением.</x:v>
      </x:c>
      <x:c r="P334" s="89" t="str">
        <x:v>Финиш — проверено</x:v>
      </x:c>
      <x:c r="Q334" s="89" t="str">
        <x:v>Разделение Matt/Satin/Gloss/Metal Varnish следует физике материала и использует лаки текущей коллекции.</x:v>
      </x:c>
    </x:row>
    <x:row r="335">
      <x:c r="A335" s="90" t="n">
        <x:v>331</x:v>
      </x:c>
      <x:c r="B335" s="516" t="str">
        <x:v>Композиция и свет</x:v>
      </x:c>
      <x:c r="C335" s="516" t="str">
        <x:v>Зенитальная карта перед цветом</x:v>
      </x:c>
      <x:c r="D335" s="89" t="str">
        <x:v>Чёрно-белое планирование света</x:v>
      </x:c>
      <x:c r="E335" s="89" t="str">
        <x:v>Black Primer</x:v>
      </x:c>
      <x:c r="F335" s="89" t="str">
        <x:v>AK German Grey Uniform под углом 30–45°</x:v>
      </x:c>
      <x:c r="G335" s="89" t="str">
        <x:v>AK Medium Grey под углом 45°</x:v>
      </x:c>
      <x:c r="H335" s="89" t="str">
        <x:v>Grey Seer сверху</x:v>
      </x:c>
      <x:c r="I335" s="89" t="str">
        <x:v>White Grey на лице, оружии и верхних панелях</x:v>
      </x:c>
      <x:c r="J335" s="89" t="str">
        <x:v>White на главной фокусной зоне</x:v>
      </x:c>
      <x:c r="K335" s="89" t="str">
        <x:v>—</x:v>
      </x:c>
      <x:c r="L335" s="89" t="str">
        <x:v>Выбранный Contrast/Xpress/Ink или прозрачный аэрографный цвет</x:v>
      </x:c>
      <x:c r="M335" s="89" t="str">
        <x:v>Финиш по материалу</x:v>
      </x:c>
      <x:c r="N335" s="90" t="str">
        <x:v>Низкая</x:v>
      </x:c>
      <x:c r="O335" s="89" t="str">
        <x:v>До цвета проверить модель в монохроме: лицо и главное оружие должны быть наиболее контрастными, а низ модели оставаться темнее.</x:v>
      </x:c>
      <x:c r="P335" s="89" t="str">
        <x:v>Композиционная техника — рабочая</x:v>
      </x:c>
      <x:c r="Q335" s="89" t="str">
        <x:v>Метод использует имеющуюся палитру и управляет направлением света, фокусом или иерархией деталей.</x:v>
      </x:c>
    </x:row>
    <x:row r="336">
      <x:c r="A336" s="90" t="n">
        <x:v>332</x:v>
      </x:c>
      <x:c r="B336" s="516" t="str">
        <x:v>Композиция и свет</x:v>
      </x:c>
      <x:c r="C336" s="516" t="str">
        <x:v>Направленный ключевой свет под 45°</x:v>
      </x:c>
      <x:c r="D336" s="89" t="str">
        <x:v>Односторонняя аэрографная модуляция</x:v>
      </x:c>
      <x:c r="E336" s="89" t="str">
        <x:v>Black Primer</x:v>
      </x:c>
      <x:c r="F336" s="89" t="str">
        <x:v>Основной тёмный цвет по всей модели</x:v>
      </x:c>
      <x:c r="G336" s="89" t="str">
        <x:v>Исходный цвет оставить на теневой стороне</x:v>
      </x:c>
      <x:c r="H336" s="89" t="str">
        <x:v>Средний тон распылить только со стороны источника</x:v>
      </x:c>
      <x:c r="I336" s="89" t="str">
        <x:v>Светлый тон меньшей зоной</x:v>
      </x:c>
      <x:c r="J336" s="89" t="str">
        <x:v>Pale Sand или White Grey на обращённых к свету кромках</x:v>
      </x:c>
      <x:c r="K336" s="89" t="str">
        <x:v>White только в одной фокусной точке</x:v>
      </x:c>
      <x:c r="L336" s="89" t="str">
        <x:v>Прозрачная glaze основного цвета для объединения</x:v>
      </x:c>
      <x:c r="M336" s="89" t="str">
        <x:v>Matt/Satin</x:v>
      </x:c>
      <x:c r="N336" s="90" t="str">
        <x:v>Средняя</x:v>
      </x:c>
      <x:c r="O336" s="89" t="str">
        <x:v>Не вращать модель во время световых проходов. Все материалы должны подчиняться одному направлению источника.</x:v>
      </x:c>
      <x:c r="P336" s="89" t="str">
        <x:v>Композиционная техника — рабочая</x:v>
      </x:c>
      <x:c r="Q336" s="89" t="str">
        <x:v>Метод использует имеющуюся палитру и управляет направлением света, фокусом или иерархией деталей.</x:v>
      </x:c>
    </x:row>
    <x:row r="337">
      <x:c r="A337" s="90" t="n">
        <x:v>333</x:v>
      </x:c>
      <x:c r="B337" s="516" t="str">
        <x:v>Композиция и свет</x:v>
      </x:c>
      <x:c r="C337" s="516" t="str">
        <x:v>Тёплый ключевой свет и холодная тень</x:v>
      </x:c>
      <x:c r="D337" s="89" t="str">
        <x:v>Двухтемпературная модуляция</x:v>
      </x:c>
      <x:c r="E337" s="89" t="str">
        <x:v>Black Primer</x:v>
      </x:c>
      <x:c r="F337" s="89" t="str">
        <x:v>AK Dark Prussian Blue очень тонко на теневой стороне</x:v>
      </x:c>
      <x:c r="G337" s="89" t="str">
        <x:v>Основной базовый цвет</x:v>
      </x:c>
      <x:c r="H337" s="89" t="str">
        <x:v>Fire Dragon Bright + Pale Sand 2:1 тонкой glaze со стороны света</x:v>
      </x:c>
      <x:c r="I337" s="89" t="str">
        <x:v>AK Yellow + Pale Sand 1:2 только ближе к источнику</x:v>
      </x:c>
      <x:c r="J337" s="89" t="str">
        <x:v>Pale Sand</x:v>
      </x:c>
      <x:c r="K337" s="89" t="str">
        <x:v>White точечно</x:v>
      </x:c>
      <x:c r="L337" s="89" t="str">
        <x:v>Blue Ink 1:15 в холодные тени; Yellow Ink 1:15 на свет</x:v>
      </x:c>
      <x:c r="M337" s="89" t="str">
        <x:v>Финиш по материалу</x:v>
      </x:c>
      <x:c r="N337" s="90" t="str">
        <x:v>Высокая</x:v>
      </x:c>
      <x:c r="O337" s="89" t="str">
        <x:v>Тёплый и холодный фильтры меняют температуру, но не должны перекрашивать поверхность в чистый оранжевый и синий.</x:v>
      </x:c>
      <x:c r="P337" s="89" t="str">
        <x:v>Композиционная техника — рабочая</x:v>
      </x:c>
      <x:c r="Q337" s="89" t="str">
        <x:v>Метод использует имеющуюся палитру и управляет направлением света, фокусом или иерархией деталей.</x:v>
      </x:c>
    </x:row>
    <x:row r="338">
      <x:c r="A338" s="90" t="n">
        <x:v>334</x:v>
      </x:c>
      <x:c r="B338" s="516" t="str">
        <x:v>Композиция и свет</x:v>
      </x:c>
      <x:c r="C338" s="516" t="str">
        <x:v>Холодный ключевой свет и тёплая тень</x:v>
      </x:c>
      <x:c r="D338" s="89" t="str">
        <x:v>Обратная двухтемпературная модуляция</x:v>
      </x:c>
      <x:c r="E338" s="89" t="str">
        <x:v>Black Primer</x:v>
      </x:c>
      <x:c r="F338" s="89" t="str">
        <x:v>AK Deep Brown или Умбра жжёная в тёплой теневой стороне</x:v>
      </x:c>
      <x:c r="G338" s="89" t="str">
        <x:v>Основной цвет</x:v>
      </x:c>
      <x:c r="H338" s="89" t="str">
        <x:v>Lothern Blue или Fenrisian Grey со стороны света</x:v>
      </x:c>
      <x:c r="I338" s="89" t="str">
        <x:v>Baharroth Blue меньшей зоной</x:v>
      </x:c>
      <x:c r="J338" s="89" t="str">
        <x:v>White Grey</x:v>
      </x:c>
      <x:c r="K338" s="89" t="str">
        <x:v>White точечно</x:v>
      </x:c>
      <x:c r="L338" s="89" t="str">
        <x:v>Blue Ink 1:15 на свет; Seraphim Sepia 1:15 в тени</x:v>
      </x:c>
      <x:c r="M338" s="89" t="str">
        <x:v>Финиш по материалу</x:v>
      </x:c>
      <x:c r="N338" s="90" t="str">
        <x:v>Высокая</x:v>
      </x:c>
      <x:c r="O338" s="89" t="str">
        <x:v>Холодный свет особенно хорошо работает на красной, золотой и телесной поверхности. Тёплая тень сохраняется только в нижней стороне.</x:v>
      </x:c>
      <x:c r="P338" s="89" t="str">
        <x:v>Композиционная техника — рабочая</x:v>
      </x:c>
      <x:c r="Q338" s="89" t="str">
        <x:v>Метод использует имеющуюся палитру и управляет направлением света, фокусом или иерархией деталей.</x:v>
      </x:c>
    </x:row>
    <x:row r="339">
      <x:c r="A339" s="90" t="n">
        <x:v>335</x:v>
      </x:c>
      <x:c r="B339" s="516" t="str">
        <x:v>Композиция и свет</x:v>
      </x:c>
      <x:c r="C339" s="516" t="str">
        <x:v>Холодный контровой свет</x:v>
      </x:c>
      <x:c r="D339" s="89" t="str">
        <x:v>Узкий rim light</x:v>
      </x:c>
      <x:c r="E339" s="89" t="str">
        <x:v>Полностью окрашенная модель</x:v>
      </x:c>
      <x:c r="F339" s="89" t="str">
        <x:v>The Fang тонкой линией по противоположному от ключевого света силуэту</x:v>
      </x:c>
      <x:c r="G339" s="89" t="str">
        <x:v>Fenrisian Grey меньшей линией</x:v>
      </x:c>
      <x:c r="H339" s="89" t="str">
        <x:v>Baharroth Blue на наиболее открытых участках</x:v>
      </x:c>
      <x:c r="I339" s="89" t="str">
        <x:v>White Grey точечно</x:v>
      </x:c>
      <x:c r="J339" s="89" t="str">
        <x:v>White в двух-трёх узлах</x:v>
      </x:c>
      <x:c r="K339" s="89" t="str">
        <x:v>—</x:v>
      </x:c>
      <x:c r="L339" s="89" t="str">
        <x:v>Frostheart 1:8 с Contrast Medium как слабый ореол</x:v>
      </x:c>
      <x:c r="M339" s="89" t="str">
        <x:v>Matt/Satin</x:v>
      </x:c>
      <x:c r="N339" s="90" t="str">
        <x:v>Высокая</x:v>
      </x:c>
      <x:c r="O339" s="89" t="str">
        <x:v>Контровой свет идёт только по видимому силуэту со стороны источника и не повторяет обычный edge highlight по всей модели.</x:v>
      </x:c>
      <x:c r="P339" s="89" t="str">
        <x:v>Композиционная техника — рабочая</x:v>
      </x:c>
      <x:c r="Q339" s="89" t="str">
        <x:v>Метод использует имеющуюся палитру и управляет направлением света, фокусом или иерархией деталей.</x:v>
      </x:c>
    </x:row>
    <x:row r="340">
      <x:c r="A340" s="90" t="n">
        <x:v>336</x:v>
      </x:c>
      <x:c r="B340" s="516" t="str">
        <x:v>Композиция и свет</x:v>
      </x:c>
      <x:c r="C340" s="516" t="str">
        <x:v>Тёплый контровой свет</x:v>
      </x:c>
      <x:c r="D340" s="89" t="str">
        <x:v>Узкий оранжевый rim light</x:v>
      </x:c>
      <x:c r="E340" s="89" t="str">
        <x:v>Полностью окрашенная модель</x:v>
      </x:c>
      <x:c r="F340" s="89" t="str">
        <x:v>AK Dirty Red по теневому силуэту</x:v>
      </x:c>
      <x:c r="G340" s="89" t="str">
        <x:v>Vallejo Orange Fire меньшей линией</x:v>
      </x:c>
      <x:c r="H340" s="89" t="str">
        <x:v>Fire Dragon Bright</x:v>
      </x:c>
      <x:c r="I340" s="89" t="str">
        <x:v>AK Yellow + Fire Dragon 1:1</x:v>
      </x:c>
      <x:c r="J340" s="89" t="str">
        <x:v>Pale Sand точечно</x:v>
      </x:c>
      <x:c r="K340" s="89" t="str">
        <x:v>White только рядом с очень ярким источником</x:v>
      </x:c>
      <x:c r="L340" s="89" t="str">
        <x:v>Orange Fluorescent 1:8 как локальная glaze</x:v>
      </x:c>
      <x:c r="M340" s="89" t="str">
        <x:v>Matt/Satin</x:v>
      </x:c>
      <x:c r="N340" s="90" t="str">
        <x:v>Высокая</x:v>
      </x:c>
      <x:c r="O340" s="89" t="str">
        <x:v>Тёплый rim не должен появляться на поверхностях, закрытых геометрией модели от источника.</x:v>
      </x:c>
      <x:c r="P340" s="89" t="str">
        <x:v>Композиционная техника — рабочая</x:v>
      </x:c>
      <x:c r="Q340" s="89" t="str">
        <x:v>Метод использует имеющуюся палитру и управляет направлением света, фокусом или иерархией деталей.</x:v>
      </x:c>
    </x:row>
    <x:row r="341">
      <x:c r="A341" s="90" t="n">
        <x:v>337</x:v>
      </x:c>
      <x:c r="B341" s="516" t="str">
        <x:v>Композиция и свет</x:v>
      </x:c>
      <x:c r="C341" s="516" t="str">
        <x:v>Красно-синий свет от двух источников</x:v>
      </x:c>
      <x:c r="D341" s="89" t="str">
        <x:v>Разделённый аэрографный OSL</x:v>
      </x:c>
      <x:c r="E341" s="89" t="str">
        <x:v>Готовая тёмная модель</x:v>
      </x:c>
      <x:c r="F341" s="89" t="str">
        <x:v>Talassar Blue + Contrast Medium 1:2 с одной стороны</x:v>
      </x:c>
      <x:c r="G341" s="89" t="str">
        <x:v>AK Blood Red + thinner 1:3 с противоположной стороны</x:v>
      </x:c>
      <x:c r="H341" s="89" t="str">
        <x:v>Lothern Blue и Evil Sunz Scarlet ближе к источникам</x:v>
      </x:c>
      <x:c r="I341" s="89" t="str">
        <x:v>Baharroth Blue и Fire Dragon Bright</x:v>
      </x:c>
      <x:c r="J341" s="89" t="str">
        <x:v>White Grey в синих/тёплых максимумах</x:v>
      </x:c>
      <x:c r="K341" s="89" t="str">
        <x:v>White только на самих источниках</x:v>
      </x:c>
      <x:c r="L341" s="89" t="str">
        <x:v>Blue/Red Ink сверхтонко для объединения</x:v>
      </x:c>
      <x:c r="M341" s="89" t="str">
        <x:v>Matt/Satin; источники Gloss</x:v>
      </x:c>
      <x:c r="N341" s="90" t="str">
        <x:v>Очень высокая</x:v>
      </x:c>
      <x:c r="O341" s="89" t="str">
        <x:v>Два света не смешивать в равномерный фиолетовый центр. Между ними должна сохраняться нейтральная или тёмная зона.</x:v>
      </x:c>
      <x:c r="P341" s="89" t="str">
        <x:v>Продвинутая техника — тест</x:v>
      </x:c>
      <x:c r="Q341" s="89" t="str">
        <x:v>Двойное освещение или гибрид TMM/NMM требуют теста расположения отражений на конкретной форме.</x:v>
      </x:c>
    </x:row>
    <x:row r="342">
      <x:c r="A342" s="90" t="n">
        <x:v>338</x:v>
      </x:c>
      <x:c r="B342" s="516" t="str">
        <x:v>Композиция и свет</x:v>
      </x:c>
      <x:c r="C342" s="516" t="str">
        <x:v>Отражённый свет от лавовой подставки</x:v>
      </x:c>
      <x:c r="D342" s="89" t="str">
        <x:v>Нижний тёплый bounce light</x:v>
      </x:c>
      <x:c r="E342" s="89" t="str">
        <x:v>Готовая модель и лавовая база</x:v>
      </x:c>
      <x:c r="F342" s="89" t="str">
        <x:v>AK Dirty Red очень тонко снизу</x:v>
      </x:c>
      <x:c r="G342" s="89" t="str">
        <x:v>Vallejo Orange Fire меньшей зоной</x:v>
      </x:c>
      <x:c r="H342" s="89" t="str">
        <x:v>Fire Dragon Bright на нижних кромках</x:v>
      </x:c>
      <x:c r="I342" s="89" t="str">
        <x:v>AK Yellow ближе к трещинам</x:v>
      </x:c>
      <x:c r="J342" s="89" t="str">
        <x:v>Pale Sand точечно</x:v>
      </x:c>
      <x:c r="K342" s="89" t="str">
        <x:v>White только на самой лаве</x:v>
      </x:c>
      <x:c r="L342" s="89" t="str">
        <x:v>Orange Fluorescent сверхтонко снизу</x:v>
      </x:c>
      <x:c r="M342" s="89" t="str">
        <x:v>Matt модель; Gloss/Satin лава</x:v>
      </x:c>
      <x:c r="N342" s="90" t="str">
        <x:v>Высокая</x:v>
      </x:c>
      <x:c r="O342" s="89" t="str">
        <x:v>Отражённый свет снизу слабее лавы и быстро исчезает выше колен/нижнего края плаща.</x:v>
      </x:c>
      <x:c r="P342" s="89" t="str">
        <x:v>Композиционная техника — рабочая</x:v>
      </x:c>
      <x:c r="Q342" s="89" t="str">
        <x:v>Метод использует имеющуюся палитру и управляет направлением света, фокусом или иерархией деталей.</x:v>
      </x:c>
    </x:row>
    <x:row r="343">
      <x:c r="A343" s="90" t="n">
        <x:v>339</x:v>
      </x:c>
      <x:c r="B343" s="516" t="str">
        <x:v>Композиция и свет</x:v>
      </x:c>
      <x:c r="C343" s="516" t="str">
        <x:v>Отражённый свет от снега</x:v>
      </x:c>
      <x:c r="D343" s="89" t="str">
        <x:v>Нижний холодный bounce light</x:v>
      </x:c>
      <x:c r="E343" s="89" t="str">
        <x:v>Готовая модель и снежная база</x:v>
      </x:c>
      <x:c r="F343" s="89" t="str">
        <x:v>The Fang очень тонко на нижних поверхностях</x:v>
      </x:c>
      <x:c r="G343" s="89" t="str">
        <x:v>Fenrisian Grey</x:v>
      </x:c>
      <x:c r="H343" s="89" t="str">
        <x:v>Ulthuan Grey на нижних кромках</x:v>
      </x:c>
      <x:c r="I343" s="89" t="str">
        <x:v>White Grey точечно</x:v>
      </x:c>
      <x:c r="J343" s="89" t="str">
        <x:v>—</x:v>
      </x:c>
      <x:c r="K343" s="89" t="str">
        <x:v>—</x:v>
      </x:c>
      <x:c r="L343" s="89" t="str">
        <x:v>Frostheart 1:12 с Contrast Medium как общий нижний фильтр</x:v>
      </x:c>
      <x:c r="M343" s="89" t="str">
        <x:v>Matt/Satin</x:v>
      </x:c>
      <x:c r="N343" s="90" t="str">
        <x:v>Средняя</x:v>
      </x:c>
      <x:c r="O343" s="89" t="str">
        <x:v>Снежный bounce холодный и мягкий. Он не должен быть ярче верхнего ключевого света.</x:v>
      </x:c>
      <x:c r="P343" s="89" t="str">
        <x:v>Композиционная техника — рабочая</x:v>
      </x:c>
      <x:c r="Q343" s="89" t="str">
        <x:v>Метод использует имеющуюся палитру и управляет направлением света, фокусом или иерархией деталей.</x:v>
      </x:c>
    </x:row>
    <x:row r="344">
      <x:c r="A344" s="90" t="n">
        <x:v>340</x:v>
      </x:c>
      <x:c r="B344" s="516" t="str">
        <x:v>Композиция и свет</x:v>
      </x:c>
      <x:c r="C344" s="516" t="str">
        <x:v>Фокус на лице</x:v>
      </x:c>
      <x:c r="D344" s="89" t="str">
        <x:v>Локальное усиление контраста и температуры</x:v>
      </x:c>
      <x:c r="E344" s="89" t="str">
        <x:v>Полностью окрашенная модель</x:v>
      </x:c>
      <x:c r="F344" s="89" t="str">
        <x:v>Углубить глазницы Targor Rageshade или Dreadful Visage</x:v>
      </x:c>
      <x:c r="G344" s="89" t="str">
        <x:v>Вернуть основной skin tone</x:v>
      </x:c>
      <x:c r="H344" s="89" t="str">
        <x:v>Flayed One Flesh</x:v>
      </x:c>
      <x:c r="I344" s="89" t="str">
        <x:v>Pale Flesh</x:v>
      </x:c>
      <x:c r="J344" s="89" t="str">
        <x:v>Pallid Wych Flesh</x:v>
      </x:c>
      <x:c r="K344" s="89" t="str">
        <x:v>White микроточкой в глазу/на носу</x:v>
      </x:c>
      <x:c r="L344" s="89" t="str">
        <x:v>Carroburg Crimson 1:12 на щёки и губу</x:v>
      </x:c>
      <x:c r="M344" s="89" t="str">
        <x:v>Matt; глаза локально Satin</x:v>
      </x:c>
      <x:c r="N344" s="90" t="str">
        <x:v>Средняя</x:v>
      </x:c>
      <x:c r="O344" s="89" t="str">
        <x:v>Лицо получает на один уровень больше света и цветовой температуры, чем соседние детали, но не превращается в отдельную светящуюся маску.</x:v>
      </x:c>
      <x:c r="P344" s="89" t="str">
        <x:v>Композиционная техника — рабочая</x:v>
      </x:c>
      <x:c r="Q344" s="89" t="str">
        <x:v>Метод использует имеющуюся палитру и управляет направлением света, фокусом или иерархией деталей.</x:v>
      </x:c>
    </x:row>
    <x:row r="345">
      <x:c r="A345" s="90" t="n">
        <x:v>341</x:v>
      </x:c>
      <x:c r="B345" s="516" t="str">
        <x:v>Композиция и свет</x:v>
      </x:c>
      <x:c r="C345" s="516" t="str">
        <x:v>Фокус на оружии</x:v>
      </x:c>
      <x:c r="D345" s="89" t="str">
        <x:v>Локальный максимум контраста</x:v>
      </x:c>
      <x:c r="E345" s="89" t="str">
        <x:v>Полностью окрашенная модель</x:v>
      </x:c>
      <x:c r="F345" s="89" t="str">
        <x:v>Углубить тени оружия Black/Deep Brown</x:v>
      </x:c>
      <x:c r="G345" s="89" t="str">
        <x:v>Вернуть основной цвет</x:v>
      </x:c>
      <x:c r="H345" s="89" t="str">
        <x:v>Добавить один дополнительный светлый переход</x:v>
      </x:c>
      <x:c r="I345" s="89" t="str">
        <x:v>White Grey или Pale Sand на ключевой кромке</x:v>
      </x:c>
      <x:c r="J345" s="89" t="str">
        <x:v>White точкой</x:v>
      </x:c>
      <x:c r="K345" s="89" t="str">
        <x:v>—</x:v>
      </x:c>
      <x:c r="L345" s="89" t="str">
        <x:v>Цветной Ink/Contrast filter по необходимости</x:v>
      </x:c>
      <x:c r="M345" s="89" t="str">
        <x:v>Финиш по материалу</x:v>
      </x:c>
      <x:c r="N345" s="90" t="str">
        <x:v>Средняя</x:v>
      </x:c>
      <x:c r="O345" s="89" t="str">
        <x:v>Главное оружие получает чистые кромки и максимальный контраст, вторичное оружие и подсумки остаются проще.</x:v>
      </x:c>
      <x:c r="P345" s="89" t="str">
        <x:v>Композиционная техника — рабочая</x:v>
      </x:c>
      <x:c r="Q345" s="89" t="str">
        <x:v>Метод использует имеющуюся палитру и управляет направлением света, фокусом или иерархией деталей.</x:v>
      </x:c>
    </x:row>
    <x:row r="346">
      <x:c r="A346" s="90" t="n">
        <x:v>342</x:v>
      </x:c>
      <x:c r="B346" s="516" t="str">
        <x:v>Композиция и свет</x:v>
      </x:c>
      <x:c r="C346" s="516" t="str">
        <x:v>Снижение фокуса нижней части модели</x:v>
      </x:c>
      <x:c r="D346" s="89" t="str">
        <x:v>Десатурация и затемнение</x:v>
      </x:c>
      <x:c r="E346" s="89" t="str">
        <x:v>Готовая модель</x:v>
      </x:c>
      <x:c r="F346" s="89" t="str">
        <x:v>Basilicanum Grey + Contrast Medium 1:10 на нижнюю часть</x:v>
      </x:c>
      <x:c r="G346" s="89" t="str">
        <x:v>AK Deep Brown или Garaghak's Sewer 1:12 на грязные зоны</x:v>
      </x:c>
      <x:c r="H346" s="89" t="str">
        <x:v>Исходный цвет вернуть на отдельные выступы</x:v>
      </x:c>
      <x:c r="I346" s="89" t="str">
        <x:v>Не добавлять новый максимальный свет</x:v>
      </x:c>
      <x:c r="J346" s="89" t="str">
        <x:v>—</x:v>
      </x:c>
      <x:c r="K346" s="89" t="str">
        <x:v>—</x:v>
      </x:c>
      <x:c r="L346" s="89" t="str">
        <x:v>Умбра жжёная по Satin Varnish в самом низу</x:v>
      </x:c>
      <x:c r="M346" s="89" t="str">
        <x:v>Matt Varnish</x:v>
      </x:c>
      <x:c r="N346" s="90" t="str">
        <x:v>Средняя</x:v>
      </x:c>
      <x:c r="O346" s="89" t="str">
        <x:v>Низ должен оставаться читаемым, но не конкурировать с лицом и оружием. Фильтр наносится очень постепенно.</x:v>
      </x:c>
      <x:c r="P346" s="89" t="str">
        <x:v>Композиционная техника — рабочая</x:v>
      </x:c>
      <x:c r="Q346" s="89" t="str">
        <x:v>Метод использует имеющуюся палитру и управляет направлением света, фокусом или иерархией деталей.</x:v>
      </x:c>
    </x:row>
    <x:row r="347">
      <x:c r="A347" s="90" t="n">
        <x:v>343</x:v>
      </x:c>
      <x:c r="B347" s="516" t="str">
        <x:v>Композиция и свет</x:v>
      </x:c>
      <x:c r="C347" s="516" t="str">
        <x:v>Объединяющий цветовой фильтр отряда</x:v>
      </x:c>
      <x:c r="D347" s="89" t="str">
        <x:v>Сверхтонкая общая glaze</x:v>
      </x:c>
      <x:c r="E347" s="89" t="str">
        <x:v>Полностью окрашенные модели отряда</x:v>
      </x:c>
      <x:c r="F347" s="89" t="str">
        <x:v>Выбранный Ink/Contrast + Medium 1:12–1:20</x:v>
      </x:c>
      <x:c r="G347" s="89" t="str">
        <x:v>Нанести одинаково на средние тона всех моделей</x:v>
      </x:c>
      <x:c r="H347" s="89" t="str">
        <x:v>Сохранить максимальные блики чистыми</x:v>
      </x:c>
      <x:c r="I347" s="89" t="str">
        <x:v>Вернуть один цвет фракции на фокусных деталях</x:v>
      </x:c>
      <x:c r="J347" s="89" t="str">
        <x:v>—</x:v>
      </x:c>
      <x:c r="K347" s="89" t="str">
        <x:v>—</x:v>
      </x:c>
      <x:c r="L347" s="89" t="str">
        <x:v>Фильтр выбрать по армии: Sepia для Custodes, Blue Ink для Thousand Sons, Violet/Green для демонов</x:v>
      </x:c>
      <x:c r="M347" s="89" t="str">
        <x:v>Финиш по материалу</x:v>
      </x:c>
      <x:c r="N347" s="90" t="str">
        <x:v>Средняя</x:v>
      </x:c>
      <x:c r="O347" s="89" t="str">
        <x:v>Фильтр должен едва менять общую температуру. Один видимый цветной слой уничтожит различие материалов.</x:v>
      </x:c>
      <x:c r="P347" s="89" t="str">
        <x:v>Композиционная техника — рабочая</x:v>
      </x:c>
      <x:c r="Q347" s="89" t="str">
        <x:v>Метод использует имеющуюся палитру и управляет направлением света, фокусом или иерархией деталей.</x:v>
      </x:c>
    </x:row>
    <x:row r="348">
      <x:c r="A348" s="90" t="n">
        <x:v>344</x:v>
      </x:c>
      <x:c r="B348" s="516" t="str">
        <x:v>Композиция и свет</x:v>
      </x:c>
      <x:c r="C348" s="516" t="str">
        <x:v>Контролируемая вариативность отряда</x:v>
      </x:c>
      <x:c r="D348" s="89" t="str">
        <x:v>Одна схема, разные вторичные акценты</x:v>
      </x:c>
      <x:c r="E348" s="89" t="str">
        <x:v>Единый грунт и основной цвет</x:v>
      </x:c>
      <x:c r="F348" s="89" t="str">
        <x:v>Одинаковые тени и света на всей группе</x:v>
      </x:c>
      <x:c r="G348" s="89" t="str">
        <x:v>Менять только один вторичный цвет: ткань, камень, линза или оружие</x:v>
      </x:c>
      <x:c r="H348" s="89" t="str">
        <x:v>Сохранять одинаковый уровень яркости</x:v>
      </x:c>
      <x:c r="I348" s="89" t="str">
        <x:v>Повторить главный цвет фракции на каждой модели</x:v>
      </x:c>
      <x:c r="J348" s="89" t="str">
        <x:v>—</x:v>
      </x:c>
      <x:c r="K348" s="89" t="str">
        <x:v>—</x:v>
      </x:c>
      <x:c r="L348" s="89" t="str">
        <x:v>Общий фильтр по рецепту 343</x:v>
      </x:c>
      <x:c r="M348" s="89" t="str">
        <x:v>Единый финиш по материалам</x:v>
      </x:c>
      <x:c r="N348" s="90" t="str">
        <x:v>Низкая</x:v>
      </x:c>
      <x:c r="O348" s="89" t="str">
        <x:v>Не менять одновременно базу, свет, финиш и вторичные цвета: отряд перестанет выглядеть связанным.</x:v>
      </x:c>
      <x:c r="P348" s="89" t="str">
        <x:v>Композиционная техника — рабочая</x:v>
      </x:c>
      <x:c r="Q348" s="89" t="str">
        <x:v>Метод использует имеющуюся палитру и управляет направлением света, фокусом или иерархией деталей.</x:v>
      </x:c>
    </x:row>
    <x:row r="349">
      <x:c r="A349" s="90" t="n">
        <x:v>345</x:v>
      </x:c>
      <x:c r="B349" s="516" t="str">
        <x:v>Композиция и свет</x:v>
      </x:c>
      <x:c r="C349" s="516" t="str">
        <x:v>Селективный edge highlight</x:v>
      </x:c>
      <x:c r="D349" s="89" t="str">
        <x:v>Иерархия кромок</x:v>
      </x:c>
      <x:c r="E349" s="89" t="str">
        <x:v>Готовая объёмная окраска</x:v>
      </x:c>
      <x:c r="F349" s="89" t="str">
        <x:v>Средний edge на верхней трети модели</x:v>
      </x:c>
      <x:c r="G349" s="89" t="str">
        <x:v>Светлый edge только на обращённых к свету кромках</x:v>
      </x:c>
      <x:c r="H349" s="89" t="str">
        <x:v>Максимальный edge на лице, оружии и плечах</x:v>
      </x:c>
      <x:c r="I349" s="89" t="str">
        <x:v>Не высветлять нижние и закрытые кромки</x:v>
      </x:c>
      <x:c r="J349" s="89" t="str">
        <x:v>White/Pale Sand только точечно</x:v>
      </x:c>
      <x:c r="K349" s="89" t="str">
        <x:v>—</x:v>
      </x:c>
      <x:c r="L349" s="89" t="str">
        <x:v>Прозрачный фильтр при чрезмерно резких линиях</x:v>
      </x:c>
      <x:c r="M349" s="89" t="str">
        <x:v>Финиш по материалу</x:v>
      </x:c>
      <x:c r="N349" s="90" t="str">
        <x:v>Средняя</x:v>
      </x:c>
      <x:c r="O349" s="89" t="str">
        <x:v>Селективная обводка сохраняет объём аэрографа и выглядит естественнее одинаковой линии вокруг каждой панели.</x:v>
      </x:c>
      <x:c r="P349" s="89" t="str">
        <x:v>Композиционная техника — рабочая</x:v>
      </x:c>
      <x:c r="Q349" s="89" t="str">
        <x:v>Метод использует имеющуюся палитру и управляет направлением света, фокусом или иерархией деталей.</x:v>
      </x:c>
    </x:row>
    <x:row r="350">
      <x:c r="A350" s="90" t="n">
        <x:v>346</x:v>
      </x:c>
      <x:c r="B350" s="516" t="str">
        <x:v>Композиция и свет</x:v>
      </x:c>
      <x:c r="C350" s="516" t="str">
        <x:v>Чёрная цветовая окантовка</x:v>
      </x:c>
      <x:c r="D350" s="89" t="str">
        <x:v>Разделение соседних материалов</x:v>
      </x:c>
      <x:c r="E350" s="89" t="str">
        <x:v>Готовые базовые цвета</x:v>
      </x:c>
      <x:c r="F350" s="89" t="str">
        <x:v>AK Black или Black Legion тонкой линией только в глубоких границах</x:v>
      </x:c>
      <x:c r="G350" s="89" t="str">
        <x:v>Corvus Black на менее глубоких разделениях</x:v>
      </x:c>
      <x:c r="H350" s="89" t="str">
        <x:v>Вернуть соседние Base-цвета</x:v>
      </x:c>
      <x:c r="I350" s="89" t="str">
        <x:v>—</x:v>
      </x:c>
      <x:c r="J350" s="89" t="str">
        <x:v>—</x:v>
      </x:c>
      <x:c r="K350" s="89" t="str">
        <x:v>—</x:v>
      </x:c>
      <x:c r="L350" s="89" t="str">
        <x:v>Nuln Oil точечно там, где линия может растечься по рельефу</x:v>
      </x:c>
      <x:c r="M350" s="89" t="str">
        <x:v>Финиш по материалу</x:v>
      </x:c>
      <x:c r="N350" s="90" t="str">
        <x:v>Средняя</x:v>
      </x:c>
      <x:c r="O350" s="89" t="str">
        <x:v>Blacklining нужен между разными деталями и материалами, но не должен превращаться в комиксную обводку каждой складки.</x:v>
      </x:c>
      <x:c r="P350" s="89" t="str">
        <x:v>Композиционная техника — рабочая</x:v>
      </x:c>
      <x:c r="Q350" s="89" t="str">
        <x:v>Метод использует имеющуюся палитру и управляет направлением света, фокусом или иерархией деталей.</x:v>
      </x:c>
    </x:row>
    <x:row r="351">
      <x:c r="A351" s="90" t="n">
        <x:v>347</x:v>
      </x:c>
      <x:c r="B351" s="516" t="str">
        <x:v>Композиция и свет</x:v>
      </x:c>
      <x:c r="C351" s="516" t="str">
        <x:v>Цветная окантовка вместо чёрной</x:v>
      </x:c>
      <x:c r="D351" s="89" t="str">
        <x:v>Глубокая насыщенная граница</x:v>
      </x:c>
      <x:c r="E351" s="89" t="str">
        <x:v>Готовые базовые цвета</x:v>
      </x:c>
      <x:c r="F351" s="89" t="str">
        <x:v>Dark Prussian Blue между холодными синими/серебряными деталями</x:v>
      </x:c>
      <x:c r="G351" s="89" t="str">
        <x:v>Gal Vorbak или Deep Brown между красными/золотыми</x:v>
      </x:c>
      <x:c r="H351" s="89" t="str">
        <x:v>Phoenician Purple между розовыми/фиолетовыми</x:v>
      </x:c>
      <x:c r="I351" s="89" t="str">
        <x:v>Вернуть Base по сторонам</x:v>
      </x:c>
      <x:c r="J351" s="89" t="str">
        <x:v>—</x:v>
      </x:c>
      <x:c r="K351" s="89" t="str">
        <x:v>—</x:v>
      </x:c>
      <x:c r="L351" s="89" t="str">
        <x:v>Соответствующий Ink 1:15 при необходимости</x:v>
      </x:c>
      <x:c r="M351" s="89" t="str">
        <x:v>Финиш по материалу</x:v>
      </x:c>
      <x:c r="N351" s="90" t="str">
        <x:v>Высокая</x:v>
      </x:c>
      <x:c r="O351" s="89" t="str">
        <x:v>Цветная линия сохраняет насыщенность схемы и используется там, где чистый чёрный выглядит слишком жёстко.</x:v>
      </x:c>
      <x:c r="P351" s="89" t="str">
        <x:v>Композиционная техника — рабочая</x:v>
      </x:c>
      <x:c r="Q351" s="89" t="str">
        <x:v>Метод использует имеющуюся палитру и управляет направлением света, фокусом или иерархией деталей.</x:v>
      </x:c>
    </x:row>
    <x:row r="352">
      <x:c r="A352" s="90" t="n">
        <x:v>348</x:v>
      </x:c>
      <x:c r="B352" s="516" t="str">
        <x:v>Композиция и свет</x:v>
      </x:c>
      <x:c r="C352" s="516" t="str">
        <x:v>Гибрид TMM и NMM на золоте</x:v>
      </x:c>
      <x:c r="D352" s="89" t="str">
        <x:v>Настоящий металлик + нарисованные отражения</x:v>
      </x:c>
      <x:c r="E352" s="89" t="str">
        <x:v>Black Primer</x:v>
      </x:c>
      <x:c r="F352" s="89" t="str">
        <x:v>Warplock Bronze</x:v>
      </x:c>
      <x:c r="G352" s="89" t="str">
        <x:v>Retributor Armour или Old Gold</x:v>
      </x:c>
      <x:c r="H352" s="89" t="str">
        <x:v>Liberator Gold широкими блоками света</x:v>
      </x:c>
      <x:c r="I352" s="89" t="str">
        <x:v>Canoptek Alloy узкими отражениями</x:v>
      </x:c>
      <x:c r="J352" s="89" t="str">
        <x:v>Vallejo Silver точечно</x:v>
      </x:c>
      <x:c r="K352" s="89" t="str">
        <x:v>AK Deep Brown очень резкой соседней тенью</x:v>
      </x:c>
      <x:c r="L352" s="89" t="str">
        <x:v>Seraphim Sepia тонко объединить</x:v>
      </x:c>
      <x:c r="M352" s="89" t="str">
        <x:v>Metal Varnish</x:v>
      </x:c>
      <x:c r="N352" s="90" t="str">
        <x:v>Высокая</x:v>
      </x:c>
      <x:c r="O352" s="89" t="str">
        <x:v>Настоящий блеск металлика сохраняется, а NMM-логика усиливает крупные отражённые блоки. Не покрывать всё серебряным edge.</x:v>
      </x:c>
      <x:c r="P352" s="89" t="str">
        <x:v>Продвинутая техника — тест</x:v>
      </x:c>
      <x:c r="Q352" s="89" t="str">
        <x:v>Двойное освещение или гибрид TMM/NMM требуют теста расположения отражений на конкретной форме.</x:v>
      </x:c>
    </x:row>
    <x:row r="353">
      <x:c r="A353" s="90" t="n">
        <x:v>349</x:v>
      </x:c>
      <x:c r="B353" s="516" t="str">
        <x:v>Композиция и свет</x:v>
      </x:c>
      <x:c r="C353" s="516" t="str">
        <x:v>Гибрид TMM и NMM на стали</x:v>
      </x:c>
      <x:c r="D353" s="89" t="str">
        <x:v>Металлик + контролируемая карта отражений</x:v>
      </x:c>
      <x:c r="E353" s="89" t="str">
        <x:v>Black Primer</x:v>
      </x:c>
      <x:c r="F353" s="89" t="str">
        <x:v>Iron Warriors</x:v>
      </x:c>
      <x:c r="G353" s="89" t="str">
        <x:v>Nuln Oil</x:v>
      </x:c>
      <x:c r="H353" s="89" t="str">
        <x:v>Ironbreaker широкими световыми блоками</x:v>
      </x:c>
      <x:c r="I353" s="89" t="str">
        <x:v>Runefang Steel узкими линиями</x:v>
      </x:c>
      <x:c r="J353" s="89" t="str">
        <x:v>Vallejo Silver точечно</x:v>
      </x:c>
      <x:c r="K353" s="89" t="str">
        <x:v>AK Black вернуть рядом с максимальным светом</x:v>
      </x:c>
      <x:c r="L353" s="89" t="str">
        <x:v>Tyran Blue или Blue Ink очень тонко в тень</x:v>
      </x:c>
      <x:c r="M353" s="89" t="str">
        <x:v>Metal Varnish</x:v>
      </x:c>
      <x:c r="N353" s="90" t="str">
        <x:v>Высокая</x:v>
      </x:c>
      <x:c r="O353" s="89" t="str">
        <x:v>Чередование почти чёрной тени и яркого серебра усиливает читаемость стали сильнее равномерного металлического drybrush.</x:v>
      </x:c>
      <x:c r="P353" s="89" t="str">
        <x:v>Продвинутая техника — тест</x:v>
      </x:c>
      <x:c r="Q353" s="89" t="str">
        <x:v>Двойное освещение или гибрид TMM/NMM требуют теста расположения отражений на конкретной форме.</x:v>
      </x:c>
    </x:row>
    <x:row r="354">
      <x:c r="A354" s="90" t="n">
        <x:v>350</x:v>
      </x:c>
      <x:c r="B354" s="516" t="str">
        <x:v>Композиция и свет</x:v>
      </x:c>
      <x:c r="C354" s="516" t="str">
        <x:v>Три уровня боевого износа</x:v>
      </x:c>
      <x:c r="D354" s="89" t="str">
        <x:v>Единая шкала weathering</x:v>
      </x:c>
      <x:c r="E354" s="89" t="str">
        <x:v>Полностью окрашенная модель</x:v>
      </x:c>
      <x:c r="F354" s="89" t="str">
        <x:v>Лёгкий уровень: 5–10 сколов только на контакте</x:v>
      </x:c>
      <x:c r="G354" s="89" t="str">
        <x:v>Средний: добавить streaks, dust и 10–20 сколов</x:v>
      </x:c>
      <x:c r="H354" s="89" t="str">
        <x:v>Тяжёлый: добавить ржавчину, копоть и крупные повреждения</x:v>
      </x:c>
      <x:c r="I354" s="89" t="str">
        <x:v>Сохранять чистыми лицо, символы и ключевое оружие</x:v>
      </x:c>
      <x:c r="J354" s="89" t="str">
        <x:v>—</x:v>
      </x:c>
      <x:c r="K354" s="89" t="str">
        <x:v>—</x:v>
      </x:c>
      <x:c r="L354" s="89" t="str">
        <x:v>Финиш разделить: старое Matt, свежее metal/Gloss</x:v>
      </x:c>
      <x:c r="M354" s="89" t="str">
        <x:v>Финиш по уровню</x:v>
      </x:c>
      <x:c r="N354" s="90" t="str">
        <x:v>Низкая</x:v>
      </x:c>
      <x:c r="O354" s="89" t="str">
        <x:v>Уровень износа выбирается для всей модели заранее. Несвязанные тяжёлые эффекты на чистой броне выглядят случайно.</x:v>
      </x:c>
      <x:c r="P354" s="89" t="str">
        <x:v>Композиционная техника — рабочая</x:v>
      </x:c>
      <x:c r="Q354" s="89" t="str">
        <x:v>Метод использует имеющуюся палитру и управляет направлением света, фокусом или иерархией деталей.</x:v>
      </x:c>
    </x:row>
    <x:row r="355">
      <x:c r="A355" s="90" t="n">
        <x:v>351</x:v>
      </x:c>
      <x:c r="B355" s="517" t="str">
        <x:v>Армейский пайплайн</x:v>
      </x:c>
      <x:c r="C355" s="517" t="str">
        <x:v>Custodian Guard — серийный игровой уровень</x:v>
      </x:c>
      <x:c r="D355" s="89" t="str">
        <x:v>Полный процесс модели</x:v>
      </x:c>
      <x:c r="E355" s="89" t="str">
        <x:v>Black Primer</x:v>
      </x:c>
      <x:c r="F355" s="89" t="str">
        <x:v>Рецепт 137: золото аэрографом</x:v>
      </x:c>
      <x:c r="G355" s="89" t="str">
        <x:v>Умбра жжёная pin-wash по Gloss — рецепт 311</x:v>
      </x:c>
      <x:c r="H355" s="89" t="str">
        <x:v>Красные наплечники — рецепт 121</x:v>
      </x:c>
      <x:c r="I355" s="89" t="str">
        <x:v>Бордовая ткань — рецепт 131</x:v>
      </x:c>
      <x:c r="J355" s="89" t="str">
        <x:v>Бирюзовые камни — рецепт 111 или 248</x:v>
      </x:c>
      <x:c r="K355" s="89" t="str">
        <x:v>Сталь оружия — рецепт 138</x:v>
      </x:c>
      <x:c r="L355" s="89" t="str">
        <x:v>Селективные кромки — рецепт 345</x:v>
      </x:c>
      <x:c r="M355" s="89" t="str">
        <x:v>Matt на ткань; Metal Varnish на металл; Gloss на камни</x:v>
      </x:c>
      <x:c r="N355" s="90" t="str">
        <x:v>Средняя</x:v>
      </x:c>
      <x:c r="O355" s="89" t="str">
        <x:v>Работать блоками по 5 моделям: золото всей группы → красный → ткань → сталь → детали → масла → лаки.</x:v>
      </x:c>
      <x:c r="P355" s="89" t="str">
        <x:v>Пайплайн коллекции — готов</x:v>
      </x:c>
      <x:c r="Q355" s="89" t="str">
        <x:v>Полный процесс собран из уже проверенных рецептов базы и материалов текущей инвентаризации.</x:v>
      </x:c>
    </x:row>
    <x:row r="356">
      <x:c r="A356" s="90" t="n">
        <x:v>352</x:v>
      </x:c>
      <x:c r="B356" s="517" t="str">
        <x:v>Армейский пайплайн</x:v>
      </x:c>
      <x:c r="C356" s="517" t="str">
        <x:v>Custodes — персонаж дисплейного уровня</x:v>
      </x:c>
      <x:c r="D356" s="89" t="str">
        <x:v>Направленный свет + гибридный металл</x:v>
      </x:c>
      <x:c r="E356" s="89" t="str">
        <x:v>Black Primer → рецепт 332</x:v>
      </x:c>
      <x:c r="F356" s="89" t="str">
        <x:v>Гибридное золото — рецепт 348</x:v>
      </x:c>
      <x:c r="G356" s="89" t="str">
        <x:v>Холодные тени Серой Пейна локально</x:v>
      </x:c>
      <x:c r="H356" s="89" t="str">
        <x:v>Красный лак — рецепт 187</x:v>
      </x:c>
      <x:c r="I356" s="89" t="str">
        <x:v>Бордовый шёлк — рецепт 291 или 131</x:v>
      </x:c>
      <x:c r="J356" s="89" t="str">
        <x:v>Изумрудные камни — рецепт 111</x:v>
      </x:c>
      <x:c r="K356" s="89" t="str">
        <x:v>Лицо — рецепты 116–119 и 340</x:v>
      </x:c>
      <x:c r="L356" s="89" t="str">
        <x:v>Холодный rim — рецепт 335</x:v>
      </x:c>
      <x:c r="M356" s="89" t="str">
        <x:v>Разделённый финиш — рецепт 329</x:v>
      </x:c>
      <x:c r="N356" s="90" t="str">
        <x:v>Очень высокая</x:v>
      </x:c>
      <x:c r="O356" s="89" t="str">
        <x:v>Персонаж получает один главный источник, один слабый rim и на один дополнительный уровень света больше, чем рядовые Custodes.</x:v>
      </x:c>
      <x:c r="P356" s="89" t="str">
        <x:v>Пайплайн коллекции — готов</x:v>
      </x:c>
      <x:c r="Q356" s="89" t="str">
        <x:v>Полный процесс собран из уже проверенных рецептов базы и материалов текущей инвентаризации.</x:v>
      </x:c>
    </x:row>
    <x:row r="357">
      <x:c r="A357" s="90" t="n">
        <x:v>353</x:v>
      </x:c>
      <x:c r="B357" s="517" t="str">
        <x:v>Армейский пайплайн</x:v>
      </x:c>
      <x:c r="C357" s="517" t="str">
        <x:v>Rubric Marine — серийный игровой уровень</x:v>
      </x:c>
      <x:c r="D357" s="89" t="str">
        <x:v>Аэрограф + серийные детали</x:v>
      </x:c>
      <x:c r="E357" s="89" t="str">
        <x:v>Black Primer</x:v>
      </x:c>
      <x:c r="F357" s="89" t="str">
        <x:v>Синяя броня — рецепт 241 или 122</x:v>
      </x:c>
      <x:c r="G357" s="89" t="str">
        <x:v>Золото — рецепт 137</x:v>
      </x:c>
      <x:c r="H357" s="89" t="str">
        <x:v>Basilicanum/Payne Grey в стыки</x:v>
      </x:c>
      <x:c r="I357" s="89" t="str">
        <x:v>Жёлтые полосы — рецепт 222 или 249</x:v>
      </x:c>
      <x:c r="J357" s="89" t="str">
        <x:v>Ткань — рецепт 251</x:v>
      </x:c>
      <x:c r="K357" s="89" t="str">
        <x:v>Глаза/линзы — рецепт 106 или 248</x:v>
      </x:c>
      <x:c r="L357" s="89" t="str">
        <x:v>Селективный edge — рецепт 345</x:v>
      </x:c>
      <x:c r="M357" s="89" t="str">
        <x:v>Matt на броню/ткань; Metal Varnish на золото; Gloss на линзы</x:v>
      </x:c>
      <x:c r="N357" s="90" t="str">
        <x:v>Средняя</x:v>
      </x:c>
      <x:c r="O357" s="89" t="str">
        <x:v>Сначала полностью закончить синие и золотые массы всей группы, затем переходить к полосам и мелким деталям.</x:v>
      </x:c>
      <x:c r="P357" s="89" t="str">
        <x:v>Пайплайн коллекции — готов</x:v>
      </x:c>
      <x:c r="Q357" s="89" t="str">
        <x:v>Полный процесс собран из уже проверенных рецептов базы и материалов текущей инвентаризации.</x:v>
      </x:c>
    </x:row>
    <x:row r="358">
      <x:c r="A358" s="90" t="n">
        <x:v>354</x:v>
      </x:c>
      <x:c r="B358" s="517" t="str">
        <x:v>Армейский пайплайн</x:v>
      </x:c>
      <x:c r="C358" s="517" t="str">
        <x:v>Thousand Sons Sorcerer — дисплейный уровень</x:v>
      </x:c>
      <x:c r="D358" s="89" t="str">
        <x:v>Магический свет + сложные материалы</x:v>
      </x:c>
      <x:c r="E358" s="89" t="str">
        <x:v>Black Primer → рецепт 333 или 334</x:v>
      </x:c>
      <x:c r="F358" s="89" t="str">
        <x:v>Бирюзовая броня — рецепт 241</x:v>
      </x:c>
      <x:c r="G358" s="89" t="str">
        <x:v>Гибридное золото — рецепт 348</x:v>
      </x:c>
      <x:c r="H358" s="89" t="str">
        <x:v>Фиолетовая ткань — рецепт 243/251</x:v>
      </x:c>
      <x:c r="I358" s="89" t="str">
        <x:v>Магический дым — рецепт 193 или 195</x:v>
      </x:c>
      <x:c r="J358" s="89" t="str">
        <x:v>Зелёные/синие руны — рецепт 226</x:v>
      </x:c>
      <x:c r="K358" s="89" t="str">
        <x:v>Лицо — рецепт 129/340</x:v>
      </x:c>
      <x:c r="L358" s="89" t="str">
        <x:v>OSL — рецепты 139–143</x:v>
      </x:c>
      <x:c r="M358" s="89" t="str">
        <x:v>Разделённый финиш — рецепт 329</x:v>
      </x:c>
      <x:c r="N358" s="90" t="str">
        <x:v>Очень высокая</x:v>
      </x:c>
      <x:c r="O358" s="89" t="str">
        <x:v>Магическое свечение подчиняется общей композиции и не должно быть ярче лица и главного заклинательного источника одновременно.</x:v>
      </x:c>
      <x:c r="P358" s="89" t="str">
        <x:v>Пайплайн коллекции — готов</x:v>
      </x:c>
      <x:c r="Q358" s="89" t="str">
        <x:v>Полный процесс собран из уже проверенных рецептов базы и материалов текущей инвентаризации.</x:v>
      </x:c>
    </x:row>
    <x:row r="359">
      <x:c r="A359" s="90" t="n">
        <x:v>355</x:v>
      </x:c>
      <x:c r="B359" s="517" t="str">
        <x:v>Армейский пайплайн</x:v>
      </x:c>
      <x:c r="C359" s="517" t="str">
        <x:v>Демон — тёплая органическая схема</x:v>
      </x:c>
      <x:c r="D359" s="89" t="str">
        <x:v>Аэрографная кожа + фактура</x:v>
      </x:c>
      <x:c r="E359" s="89" t="str">
        <x:v>Black Primer → Grey Seer zenithal</x:v>
      </x:c>
      <x:c r="F359" s="89" t="str">
        <x:v>Оранжевая/красная кожа — рецепт 247 или 121</x:v>
      </x:c>
      <x:c r="G359" s="89" t="str">
        <x:v>Глубокие тени Berserker/Carroburg</x:v>
      </x:c>
      <x:c r="H359" s="89" t="str">
        <x:v>Stippling — рецепт 156 или 157</x:v>
      </x:c>
      <x:c r="I359" s="89" t="str">
        <x:v>Рога — рецепт 163</x:v>
      </x:c>
      <x:c r="J359" s="89" t="str">
        <x:v>Когти/кость — рецепт 271</x:v>
      </x:c>
      <x:c r="K359" s="89" t="str">
        <x:v>Раны — рецепты 181–184 и 301–310</x:v>
      </x:c>
      <x:c r="L359" s="89" t="str">
        <x:v>Тёплый rim — рецепт 336</x:v>
      </x:c>
      <x:c r="M359" s="89" t="str">
        <x:v>Matt кожа; локальный Gloss gore</x:v>
      </x:c>
      <x:c r="N359" s="90" t="str">
        <x:v>Высокая</x:v>
      </x:c>
      <x:c r="O359" s="89" t="str">
        <x:v>Кожа строится аэрографом, но финальная фактура и повреждения выполняются кистью; глянец используется только на действительно влажных участках.</x:v>
      </x:c>
      <x:c r="P359" s="89" t="str">
        <x:v>Пайплайн коллекции — готов</x:v>
      </x:c>
      <x:c r="Q359" s="89" t="str">
        <x:v>Полный процесс собран из уже проверенных рецептов базы и материалов текущей инвентаризации.</x:v>
      </x:c>
    </x:row>
    <x:row r="360">
      <x:c r="A360" s="90" t="n">
        <x:v>356</x:v>
      </x:c>
      <x:c r="B360" s="517" t="str">
        <x:v>Армейский пайплайн</x:v>
      </x:c>
      <x:c r="C360" s="517" t="str">
        <x:v>Демон — холодная фиолетово-синяя схема</x:v>
      </x:c>
      <x:c r="D360" s="89" t="str">
        <x:v>Холодная кожа + магический свет</x:v>
      </x:c>
      <x:c r="E360" s="89" t="str">
        <x:v>Black Primer → Grey Seer zenithal</x:v>
      </x:c>
      <x:c r="F360" s="89" t="str">
        <x:v>Кожа — рецепт 156, 130 или 243</x:v>
      </x:c>
      <x:c r="G360" s="89" t="str">
        <x:v>Тени Shyish Purple/Dreadful Visage</x:v>
      </x:c>
      <x:c r="H360" s="89" t="str">
        <x:v>Света Warpfiend/Slaanesh/Pallid</x:v>
      </x:c>
      <x:c r="I360" s="89" t="str">
        <x:v>Рога — холодный вариант рецепта 163 с The Fang</x:v>
      </x:c>
      <x:c r="J360" s="89" t="str">
        <x:v>Глаза — рецепт 106/107</x:v>
      </x:c>
      <x:c r="K360" s="89" t="str">
        <x:v>Магический дым — рецепт 195</x:v>
      </x:c>
      <x:c r="L360" s="89" t="str">
        <x:v>Холодный rim — рецепт 335</x:v>
      </x:c>
      <x:c r="M360" s="89" t="str">
        <x:v>Matt кожа; Satin магия</x:v>
      </x:c>
      <x:c r="N360" s="90" t="str">
        <x:v>Высокая</x:v>
      </x:c>
      <x:c r="O360" s="89" t="str">
        <x:v>Разные фиолетовые материалы разделяются фактурой: кожа stippling, ткань гладкими складками, магия прозрачными переходами.</x:v>
      </x:c>
      <x:c r="P360" s="89" t="str">
        <x:v>Пайплайн коллекции — готов</x:v>
      </x:c>
      <x:c r="Q360" s="89" t="str">
        <x:v>Полный процесс собран из уже проверенных рецептов базы и материалов текущей инвентаризации.</x:v>
      </x:c>
    </x:row>
    <x:row r="361">
      <x:c r="A361" s="90" t="n">
        <x:v>357</x:v>
      </x:c>
      <x:c r="B361" s="517" t="str">
        <x:v>Армейский пайплайн</x:v>
      </x:c>
      <x:c r="C361" s="517" t="str">
        <x:v>Крупный демон — дисплейный процесс</x:v>
      </x:c>
      <x:c r="D361" s="89" t="str">
        <x:v>Фокус, текстура и два масштаба деталей</x:v>
      </x:c>
      <x:c r="E361" s="89" t="str">
        <x:v>Black Primer → направленный рецепт 332</x:v>
      </x:c>
      <x:c r="F361" s="89" t="str">
        <x:v>Основная кожа аэрографом — 129/130/154/156</x:v>
      </x:c>
      <x:c r="G361" s="89" t="str">
        <x:v>Масляное смягчение — рецепт 319</x:v>
      </x:c>
      <x:c r="H361" s="89" t="str">
        <x:v>Stippling крупной фактуры — 155–157</x:v>
      </x:c>
      <x:c r="I361" s="89" t="str">
        <x:v>Лицо и глаза — 101–107 и 340</x:v>
      </x:c>
      <x:c r="J361" s="89" t="str">
        <x:v>Рога/когти — 163/271</x:v>
      </x:c>
      <x:c r="K361" s="89" t="str">
        <x:v>Gore — 301–310</x:v>
      </x:c>
      <x:c r="L361" s="89" t="str">
        <x:v>Rim или bounce — 335–339</x:v>
      </x:c>
      <x:c r="M361" s="89" t="str">
        <x:v>Разделённый финиш — 329</x:v>
      </x:c>
      <x:c r="N361" s="90" t="str">
        <x:v>Очень высокая</x:v>
      </x:c>
      <x:c r="O361" s="89" t="str">
        <x:v>С расстояния должны читаться крупные световые массы; мелкая фактура концентрируется на лице, руках, груди и верхней половине.</x:v>
      </x:c>
      <x:c r="P361" s="89" t="str">
        <x:v>Пайплайн коллекции — готов</x:v>
      </x:c>
      <x:c r="Q361" s="89" t="str">
        <x:v>Полный процесс собран из уже проверенных рецептов базы и материалов текущей инвентаризации.</x:v>
      </x:c>
    </x:row>
    <x:row r="362">
      <x:c r="A362" s="90" t="n">
        <x:v>358</x:v>
      </x:c>
      <x:c r="B362" s="517" t="str">
        <x:v>Армейский пайплайн</x:v>
      </x:c>
      <x:c r="C362" s="517" t="str">
        <x:v>Пять моделей — оптимальный серийный цикл</x:v>
      </x:c>
      <x:c r="D362" s="89" t="str">
        <x:v>Batch painting по стадиям</x:v>
      </x:c>
      <x:c r="E362" s="89" t="str">
        <x:v>Сборка и одинаковый грунт всей пятёрки</x:v>
      </x:c>
      <x:c r="F362" s="89" t="str">
        <x:v>Аэрографная база всей группы</x:v>
      </x:c>
      <x:c r="G362" s="89" t="str">
        <x:v>Тени всей группы</x:v>
      </x:c>
      <x:c r="H362" s="89" t="str">
        <x:v>Средние цвета всей группы</x:v>
      </x:c>
      <x:c r="I362" s="89" t="str">
        <x:v>Крупные света всей группы</x:v>
      </x:c>
      <x:c r="J362" s="89" t="str">
        <x:v>Металл и ткань всей группы</x:v>
      </x:c>
      <x:c r="K362" s="89" t="str">
        <x:v>Детали и лица по одной модели</x:v>
      </x:c>
      <x:c r="L362" s="89" t="str">
        <x:v>Weathering и общий фильтр всей группы</x:v>
      </x:c>
      <x:c r="M362" s="89" t="str">
        <x:v>Лаки и восстановление финишей</x:v>
      </x:c>
      <x:c r="N362" s="90" t="str">
        <x:v>Низкая</x:v>
      </x:c>
      <x:c r="O362" s="89" t="str">
        <x:v>Менять краску реже, но не держать одновременно больше пяти сложных моделей: контроль качества начинает падать.</x:v>
      </x:c>
      <x:c r="P362" s="89" t="str">
        <x:v>Пайплайн коллекции — готов</x:v>
      </x:c>
      <x:c r="Q362" s="89" t="str">
        <x:v>Полный процесс собран из уже проверенных рецептов базы и материалов текущей инвентаризации.</x:v>
      </x:c>
    </x:row>
    <x:row r="363">
      <x:c r="A363" s="90" t="n">
        <x:v>359</x:v>
      </x:c>
      <x:c r="B363" s="518" t="str">
        <x:v>Контроль качества</x:v>
      </x:c>
      <x:c r="C363" s="518" t="str">
        <x:v>Тестовая карточка аэрографной смеси</x:v>
      </x:c>
      <x:c r="D363" s="89" t="str">
        <x:v>Лестница разведения и давления</x:v>
      </x:c>
      <x:c r="E363" s="89" t="str">
        <x:v>Пластиковая ложка/карточка с тем же грунтом</x:v>
      </x:c>
      <x:c r="F363" s="89" t="str">
        <x:v>Три зоны paint:thinner — 1:0,5 / 1:1 / 1:2</x:v>
      </x:c>
      <x:c r="G363" s="89" t="str">
        <x:v>Для каждой зоны проверить 12 / 16 / 20 PSI</x:v>
      </x:c>
      <x:c r="H363" s="89" t="str">
        <x:v>Записать сопло и дистанцию</x:v>
      </x:c>
      <x:c r="I363" s="89" t="str">
        <x:v>Оценить укрывистость, гладкость и overspray</x:v>
      </x:c>
      <x:c r="J363" s="89" t="str">
        <x:v>Выбрать рабочую комбинацию</x:v>
      </x:c>
      <x:c r="K363" s="89" t="str">
        <x:v>—</x:v>
      </x:c>
      <x:c r="L363" s="89" t="str">
        <x:v>Перенести результат в лист «Тестовые карты»</x:v>
      </x:c>
      <x:c r="M363" s="89" t="str">
        <x:v>Не требуется</x:v>
      </x:c>
      <x:c r="N363" s="90" t="str">
        <x:v>Низкая</x:v>
      </x:c>
      <x:c r="O363" s="89" t="str">
        <x:v>Тест проводится для конкретной краски, thinner и сопла. Результат другой краски той же линейки не считается автоматически переносимым.</x:v>
      </x:c>
      <x:c r="P363" s="89" t="str">
        <x:v>Контроль качества — готов</x:v>
      </x:c>
      <x:c r="Q363" s="89" t="str">
        <x:v>Процесс предназначен для тестирования конкретной смеси и проверки модели до необратимого финального лака.</x:v>
      </x:c>
    </x:row>
    <x:row r="364">
      <x:c r="A364" s="90" t="n">
        <x:v>360</x:v>
      </x:c>
      <x:c r="B364" s="518" t="str">
        <x:v>Контроль качества</x:v>
      </x:c>
      <x:c r="C364" s="518" t="str">
        <x:v>Финальный контроль модели перед лаком</x:v>
      </x:c>
      <x:c r="D364" s="89" t="str">
        <x:v>Проверка под тремя условиями</x:v>
      </x:c>
      <x:c r="E364" s="89" t="str">
        <x:v>Законченная модель без финального лака</x:v>
      </x:c>
      <x:c r="F364" s="89" t="str">
        <x:v>Проверить под рабочей лампой</x:v>
      </x:c>
      <x:c r="G364" s="89" t="str">
        <x:v>Проверить на расстоянии вытянутой руки</x:v>
      </x:c>
      <x:c r="H364" s="89" t="str">
        <x:v>Сделать чёрно-белое фото</x:v>
      </x:c>
      <x:c r="I364" s="89" t="str">
        <x:v>Проверить силуэт и фокус</x:v>
      </x:c>
      <x:c r="J364" s="89" t="str">
        <x:v>Исправить только три самые заметные проблемы</x:v>
      </x:c>
      <x:c r="K364" s="89" t="str">
        <x:v>Очистить пыль и волокна</x:v>
      </x:c>
      <x:c r="L364" s="89" t="str">
        <x:v>Нанести карту финишей по рецепту 329</x:v>
      </x:c>
      <x:c r="M364" s="89" t="str">
        <x:v>Финиш по материалу</x:v>
      </x:c>
      <x:c r="N364" s="90" t="str">
        <x:v>Низкая</x:v>
      </x:c>
      <x:c r="O364" s="89" t="str">
        <x:v>Чёрно-белое фото выявляет провалы значений, игровая дистанция — перегруженные детали. Не начинать бесконечную переработку малозаметных зон.</x:v>
      </x:c>
      <x:c r="P364" s="89" t="str">
        <x:v>Контроль качества — готов</x:v>
      </x:c>
      <x:c r="Q364" s="89" t="str">
        <x:v>Процесс предназначен для тестирования конкретной смеси и проверки модели до необратимого финального лака.</x:v>
      </x:c>
    </x:row>
    <x:row r="365">
      <x:c r="A365" s="90" t="n">
        <x:v>361</x:v>
      </x:c>
      <x:c r="B365" s="550" t="str">
        <x:v>Субсборки</x:v>
      </x:c>
      <x:c r="C365" s="550" t="str">
        <x:v>Голова отдельно от брони</x:v>
      </x:c>
      <x:c r="D365" s="89" t="str">
        <x:v>Субсборка + временная ручка</x:v>
      </x:c>
      <x:c r="E365" s="89" t="str">
        <x:v>Настоящий грунт по отдельной голове</x:v>
      </x:c>
      <x:c r="F365" s="89" t="str">
        <x:v>Основная кожа по рецептам 211–216</x:v>
      </x:c>
      <x:c r="G365" s="89" t="str">
        <x:v>Глазницы и тени до вклейки</x:v>
      </x:c>
      <x:c r="H365" s="89" t="str">
        <x:v>Лицо и глаза по рецептам 101–105</x:v>
      </x:c>
      <x:c r="I365" s="89" t="str">
        <x:v>Волосы/шлем отдельно</x:v>
      </x:c>
      <x:c r="J365" s="89" t="str">
        <x:v>Pallid Wych Flesh на фокусных точках</x:v>
      </x:c>
      <x:c r="K365" s="89" t="str">
        <x:v>Локальные Carroburg/Dreadful glaze</x:v>
      </x:c>
      <x:c r="L365" s="89" t="str">
        <x:v>Matt; глаза локально Satin</x:v>
      </x:c>
      <x:c r="M365" s="89" t="str">
        <x:v>Низкая</x:v>
      </x:c>
      <x:c r="N365" s="90" t="str">
        <x:v>Оставить место склейки без толстого слоя краски. Голова завершается почти полностью до установки, но финальный общий rim и фильтр наносятся уже на собранной модели.</x:v>
      </x:c>
      <x:c r="O365" s="89"/>
      <x:c r="P365" s="89" t="str">
        <x:v>Практический процесс — готов</x:v>
      </x:c>
      <x:c r="Q365" s="89" t="str">
        <x:v>Техника предназначена для реальной сборки и защиты окрашенных зон; порядок основан на доступности деталей и направлении света.</x:v>
      </x:c>
    </x:row>
    <x:row r="366">
      <x:c r="A366" s="90" t="n">
        <x:v>362</x:v>
      </x:c>
      <x:c r="B366" s="550" t="str">
        <x:v>Субсборки</x:v>
      </x:c>
      <x:c r="C366" s="550" t="str">
        <x:v>Оружие отдельно от корпуса</x:v>
      </x:c>
      <x:c r="D366" s="89" t="str">
        <x:v>Субсборка + pin/держатель</x:v>
      </x:c>
      <x:c r="E366" s="89" t="str">
        <x:v>Black Primer</x:v>
      </x:c>
      <x:c r="F366" s="89" t="str">
        <x:v>Металл или цвет оружия по отдельному рецепту</x:v>
      </x:c>
      <x:c r="G366" s="89" t="str">
        <x:v>Тени до вклейки</x:v>
      </x:c>
      <x:c r="H366" s="89" t="str">
        <x:v>Основные света</x:v>
      </x:c>
      <x:c r="I366" s="89" t="str">
        <x:v>Селективные кромки</x:v>
      </x:c>
      <x:c r="J366" s="89" t="str">
        <x:v>White/Vallejo Silver на фокусе</x:v>
      </x:c>
      <x:c r="K366" s="89" t="str">
        <x:v>OSL/glaze после примерки к корпусу</x:v>
      </x:c>
      <x:c r="L366" s="89" t="str">
        <x:v>Финиш по материалу</x:v>
      </x:c>
      <x:c r="M366" s="89" t="str">
        <x:v>Низкая</x:v>
      </x:c>
      <x:c r="N366" s="90" t="str">
        <x:v>Оружие удобно завершить отдельно, но OSL и отражённый свет рассчитываются только после сухой примерки относительно рук и корпуса.</x:v>
      </x:c>
      <x:c r="O366" s="89"/>
      <x:c r="P366" s="89" t="str">
        <x:v>Практический процесс — готов</x:v>
      </x:c>
      <x:c r="Q366" s="89" t="str">
        <x:v>Техника предназначена для реальной сборки и защиты окрашенных зон; порядок основан на доступности деталей и направлении света.</x:v>
      </x:c>
    </x:row>
    <x:row r="367">
      <x:c r="A367" s="90" t="n">
        <x:v>363</x:v>
      </x:c>
      <x:c r="B367" s="550" t="str">
        <x:v>Субсборки</x:v>
      </x:c>
      <x:c r="C367" s="550" t="str">
        <x:v>Щит: лицевая и внутренняя стороны</x:v>
      </x:c>
      <x:c r="D367" s="89" t="str">
        <x:v>Раздельная окраска + маскирование точки контакта</x:v>
      </x:c>
      <x:c r="E367" s="89" t="str">
        <x:v>Black Primer</x:v>
      </x:c>
      <x:c r="F367" s="89" t="str">
        <x:v>Внутренняя сторона — тёмная броня/кожа</x:v>
      </x:c>
      <x:c r="G367" s="89" t="str">
        <x:v>Углубления и ремни</x:v>
      </x:c>
      <x:c r="H367" s="89" t="str">
        <x:v>Лицевая сторона — металл/геральдика</x:v>
      </x:c>
      <x:c r="I367" s="89" t="str">
        <x:v>Edge highlight по внешнему силуэту</x:v>
      </x:c>
      <x:c r="J367" s="89" t="str">
        <x:v>Фокусный символ</x:v>
      </x:c>
      <x:c r="K367" s="89" t="str">
        <x:v>Gloss под decal/freehand при необходимости</x:v>
      </x:c>
      <x:c r="L367" s="89" t="str">
        <x:v>Matt/Metal/Gloss раздельно</x:v>
      </x:c>
      <x:c r="M367" s="89" t="str">
        <x:v>Средняя</x:v>
      </x:c>
      <x:c r="N367" s="90" t="str">
        <x:v>Внутреннюю сторону закончить первой. Рука и крепление не должны закрыть непокрашенную область; место склейки защищается маской.</x:v>
      </x:c>
      <x:c r="O367" s="89"/>
      <x:c r="P367" s="89" t="str">
        <x:v>Практический процесс — готов</x:v>
      </x:c>
      <x:c r="Q367" s="89" t="str">
        <x:v>Техника предназначена для реальной сборки и защиты окрашенных зон; порядок основан на доступности деталей и направлении света.</x:v>
      </x:c>
    </x:row>
    <x:row r="368">
      <x:c r="A368" s="90" t="n">
        <x:v>364</x:v>
      </x:c>
      <x:c r="B368" s="550" t="str">
        <x:v>Субсборки</x:v>
      </x:c>
      <x:c r="C368" s="550" t="str">
        <x:v>Плащ отдельно от корпуса</x:v>
      </x:c>
      <x:c r="D368" s="89" t="str">
        <x:v>Внутренняя сторона → внешняя сторона → сборка</x:v>
      </x:c>
      <x:c r="E368" s="89" t="str">
        <x:v>Настоящий грунт</x:v>
      </x:c>
      <x:c r="F368" s="89" t="str">
        <x:v>Внутренний цвет плаща</x:v>
      </x:c>
      <x:c r="G368" s="89" t="str">
        <x:v>Тени внутренней стороны</x:v>
      </x:c>
      <x:c r="H368" s="89" t="str">
        <x:v>Внешний основной цвет</x:v>
      </x:c>
      <x:c r="I368" s="89" t="str">
        <x:v>Света внешней стороны</x:v>
      </x:c>
      <x:c r="J368" s="89" t="str">
        <x:v>Орнамент/кайма по рецепту 230</x:v>
      </x:c>
      <x:c r="K368" s="89" t="str">
        <x:v>Общий filter после примерки</x:v>
      </x:c>
      <x:c r="L368" s="89" t="str">
        <x:v>Matt или Satin по материалу</x:v>
      </x:c>
      <x:c r="M368" s="89" t="str">
        <x:v>Средняя</x:v>
      </x:c>
      <x:c r="N368" s="90" t="str">
        <x:v>Сначала завершить внутреннюю сторону, которую после сборки трудно достать. Финальные верхние кромки и общий направленный свет восстанавливаются после вклейки.</x:v>
      </x:c>
      <x:c r="O368" s="89"/>
      <x:c r="P368" s="89" t="str">
        <x:v>Практический процесс — готов</x:v>
      </x:c>
      <x:c r="Q368" s="89" t="str">
        <x:v>Техника предназначена для реальной сборки и защиты окрашенных зон; порядок основан на доступности деталей и направлении света.</x:v>
      </x:c>
    </x:row>
    <x:row r="369">
      <x:c r="A369" s="90" t="n">
        <x:v>365</x:v>
      </x:c>
      <x:c r="B369" s="550" t="str">
        <x:v>Субсборки</x:v>
      </x:c>
      <x:c r="C369" s="550" t="str">
        <x:v>Крылья крупного демона отдельно</x:v>
      </x:c>
      <x:c r="D369" s="89" t="str">
        <x:v>Аэрограф + съёмное крепление</x:v>
      </x:c>
      <x:c r="E369" s="89" t="str">
        <x:v>Black Primer → Grey Seer zenithal</x:v>
      </x:c>
      <x:c r="F369" s="89" t="str">
        <x:v>Основная кожа/мембрана</x:v>
      </x:c>
      <x:c r="G369" s="89" t="str">
        <x:v>Тёмные жилки и основание</x:v>
      </x:c>
      <x:c r="H369" s="89" t="str">
        <x:v>Средний свет по направлению</x:v>
      </x:c>
      <x:c r="I369" s="89" t="str">
        <x:v>Светлые жилки/гребни</x:v>
      </x:c>
      <x:c r="J369" s="89" t="str">
        <x:v>White Grey точечно</x:v>
      </x:c>
      <x:c r="K369" s="89" t="str">
        <x:v>Прозрачная glaze после примерки</x:v>
      </x:c>
      <x:c r="L369" s="89" t="str">
        <x:v>Matt кожа; Satin мембрана</x:v>
      </x:c>
      <x:c r="M369" s="89" t="str">
        <x:v>Средняя</x:v>
      </x:c>
      <x:c r="N369" s="90" t="str">
        <x:v>Крылья удобнее красить отдельно, но направленный свет на обоих крыльях должен совпадать с корпусом. Перед финальными бликами обязательна сухая сборка.</x:v>
      </x:c>
      <x:c r="O369" s="89"/>
      <x:c r="P369" s="89" t="str">
        <x:v>Практический процесс — готов</x:v>
      </x:c>
      <x:c r="Q369" s="89" t="str">
        <x:v>Техника предназначена для реальной сборки и защиты окрашенных зон; порядок основан на доступности деталей и направлении света.</x:v>
      </x:c>
    </x:row>
    <x:row r="370">
      <x:c r="A370" s="90" t="n">
        <x:v>366</x:v>
      </x:c>
      <x:c r="B370" s="550" t="str">
        <x:v>Субсборки</x:v>
      </x:c>
      <x:c r="C370" s="550" t="str">
        <x:v>Большой демон-принц после масляной проливки</x:v>
      </x:c>
      <x:c r="D370" s="89" t="str">
        <x:v>Восстановление объёма после масел</x:v>
      </x:c>
      <x:c r="E370" s="89" t="str">
        <x:v>Полностью высохший масляный слой</x:v>
      </x:c>
      <x:c r="F370" s="89" t="str">
        <x:v>Вернуть основной средний цвет аэрографом или glaze</x:v>
      </x:c>
      <x:c r="G370" s="89" t="str">
        <x:v>Сохранить масляную тень в углублениях</x:v>
      </x:c>
      <x:c r="H370" s="89" t="str">
        <x:v>Восстановить направленный свет</x:v>
      </x:c>
      <x:c r="I370" s="89" t="str">
        <x:v>Stippling/фактура кистью</x:v>
      </x:c>
      <x:c r="J370" s="89" t="str">
        <x:v>Pale Sand/Pallid на фокусе</x:v>
      </x:c>
      <x:c r="K370" s="89" t="str">
        <x:v>Раны, глаза и OSL после акрилового восстановления</x:v>
      </x:c>
      <x:c r="L370" s="89" t="str">
        <x:v>Matt кожа; Gloss gore; Satin магия</x:v>
      </x:c>
      <x:c r="M370" s="89" t="str">
        <x:v>Высокая</x:v>
      </x:c>
      <x:c r="N370" s="90" t="str">
        <x:v>Не перекрывать всю масляную тень. Сначала восстановить только средние и светлые зоны, затем вернуть текстуру и локальные эффекты.</x:v>
      </x:c>
      <x:c r="O370" s="89"/>
      <x:c r="P370" s="89" t="str">
        <x:v>Практический процесс — готов</x:v>
      </x:c>
      <x:c r="Q370" s="89" t="str">
        <x:v>Техника предназначена для реальной сборки и защиты окрашенных зон; порядок основан на доступности деталей и направлении света.</x:v>
      </x:c>
    </x:row>
    <x:row r="371">
      <x:c r="A371" s="90" t="n">
        <x:v>367</x:v>
      </x:c>
      <x:c r="B371" s="551" t="str">
        <x:v>Маскирование</x:v>
      </x:c>
      <x:c r="C371" s="551" t="str">
        <x:v>Защита готового лица при аэрографии брони</x:v>
      </x:c>
      <x:c r="D371" s="89" t="str">
        <x:v>Лента/масса + карточка</x:v>
      </x:c>
      <x:c r="E371" s="89" t="str">
        <x:v>Завершённое лицо с полностью высохшим Matt Varnish</x:v>
      </x:c>
      <x:c r="F371" s="89" t="str">
        <x:v>Мягкая маскировочная масса вокруг головы</x:v>
      </x:c>
      <x:c r="G371" s="89" t="str">
        <x:v>Карточка или лента закрывает фронтальную часть</x:v>
      </x:c>
      <x:c r="H371" s="89" t="str">
        <x:v>Броню распылять от лица наружу</x:v>
      </x:c>
      <x:c r="I371" s="89" t="str">
        <x:v>Снять маску после высыхания</x:v>
      </x:c>
      <x:c r="J371" s="89" t="str">
        <x:v>Исправить skin tone кистью</x:v>
      </x:c>
      <x:c r="K371" s="89" t="str">
        <x:v>Общий rim/filter после раскрытия</x:v>
      </x:c>
      <x:c r="L371" s="89" t="str">
        <x:v>Финиш лица восстановить локально</x:v>
      </x:c>
      <x:c r="M371" s="89" t="str">
        <x:v>Средняя</x:v>
      </x:c>
      <x:c r="N371" s="90" t="str">
        <x:v>Не прижимать липкую ленту к глазам и тонким деталям. Основную защиту даёт масса и направление распыления от закрытой зоны.</x:v>
      </x:c>
      <x:c r="O371" s="89"/>
      <x:c r="P371" s="89" t="str">
        <x:v>Практический процесс — готов</x:v>
      </x:c>
      <x:c r="Q371" s="89" t="str">
        <x:v>Техника предназначена для реальной сборки и защиты окрашенных зон; порядок основан на доступности деталей и направлении света.</x:v>
      </x:c>
    </x:row>
    <x:row r="372">
      <x:c r="A372" s="90" t="n">
        <x:v>368</x:v>
      </x:c>
      <x:c r="B372" s="551" t="str">
        <x:v>Маскирование</x:v>
      </x:c>
      <x:c r="C372" s="551" t="str">
        <x:v>Маскирование металла перед тканью</x:v>
      </x:c>
      <x:c r="D372" s="89" t="str">
        <x:v>Локальная защита блеска</x:v>
      </x:c>
      <x:c r="E372" s="89" t="str">
        <x:v>Завершённый металл → Metal Varnish</x:v>
      </x:c>
      <x:c r="F372" s="89" t="str">
        <x:v>Маскировочная масса на крупных металлических областях</x:v>
      </x:c>
      <x:c r="G372" s="89" t="str">
        <x:v>Лента по чётким границам</x:v>
      </x:c>
      <x:c r="H372" s="89" t="str">
        <x:v>Ткань аэрографом</x:v>
      </x:c>
      <x:c r="I372" s="89" t="str">
        <x:v>Снять маску</x:v>
      </x:c>
      <x:c r="J372" s="89" t="str">
        <x:v>Вернуть металл на границе</x:v>
      </x:c>
      <x:c r="K372" s="89" t="str">
        <x:v>Pin-wash по стыку</x:v>
      </x:c>
      <x:c r="L372" s="89" t="str">
        <x:v>Metal Varnish локально</x:v>
      </x:c>
      <x:c r="M372" s="89" t="str">
        <x:v>Средняя</x:v>
      </x:c>
      <x:c r="N372" s="90" t="str">
        <x:v>Металлик особенно трудно полностью восстановить после цветного overspray. Защищать крупные отражающие зоны выгоднее, чем исправлять их позже.</x:v>
      </x:c>
      <x:c r="O372" s="89"/>
      <x:c r="P372" s="89" t="str">
        <x:v>Практический процесс — готов</x:v>
      </x:c>
      <x:c r="Q372" s="89" t="str">
        <x:v>Техника предназначена для реальной сборки и защиты окрашенных зон; порядок основан на доступности деталей и направлении света.</x:v>
      </x:c>
    </x:row>
    <x:row r="373">
      <x:c r="A373" s="90" t="n">
        <x:v>369</x:v>
      </x:c>
      <x:c r="B373" s="551" t="str">
        <x:v>Маскирование</x:v>
      </x:c>
      <x:c r="C373" s="551" t="str">
        <x:v>Маскирование ткани перед металлом</x:v>
      </x:c>
      <x:c r="D373" s="89" t="str">
        <x:v>Защита матовой поверхности</x:v>
      </x:c>
      <x:c r="E373" s="89" t="str">
        <x:v>Завершённая ткань → Matt Varnish</x:v>
      </x:c>
      <x:c r="F373" s="89" t="str">
        <x:v>Масса на складках рядом с металлом</x:v>
      </x:c>
      <x:c r="G373" s="89" t="str">
        <x:v>Карточка закрывает большую часть ткани</x:v>
      </x:c>
      <x:c r="H373" s="89" t="str">
        <x:v>Металл распылять малыми проходами</x:v>
      </x:c>
      <x:c r="I373" s="89" t="str">
        <x:v>Снять маску</x:v>
      </x:c>
      <x:c r="J373" s="89" t="str">
        <x:v>Вернуть цвет ткани по границе</x:v>
      </x:c>
      <x:c r="K373" s="89" t="str">
        <x:v>Матовый glaze убирает металлическую пыль</x:v>
      </x:c>
      <x:c r="L373" s="89" t="str">
        <x:v>Matt Varnish локально</x:v>
      </x:c>
      <x:c r="M373" s="89" t="str">
        <x:v>Средняя</x:v>
      </x:c>
      <x:c r="N373" s="90" t="str">
        <x:v>Металлическая пыль на ткани заметнее обычного overspray. Даже слабое загрязнение лучше перекрывать исходным матовым цветом и glaze.</x:v>
      </x:c>
      <x:c r="O373" s="89"/>
      <x:c r="P373" s="89" t="str">
        <x:v>Практический процесс — готов</x:v>
      </x:c>
      <x:c r="Q373" s="89" t="str">
        <x:v>Техника предназначена для реальной сборки и защиты окрашенных зон; порядок основан на доступности деталей и направлении света.</x:v>
      </x:c>
    </x:row>
    <x:row r="374">
      <x:c r="A374" s="90" t="n">
        <x:v>370</x:v>
      </x:c>
      <x:c r="B374" s="551" t="str">
        <x:v>Маскирование</x:v>
      </x:c>
      <x:c r="C374" s="551" t="str">
        <x:v>Жидкая маска для сколов и пятен</x:v>
      </x:c>
      <x:c r="D374" s="89" t="str">
        <x:v>Нерегулярная маска кистью</x:v>
      </x:c>
      <x:c r="E374" s="89" t="str">
        <x:v>Полностью высохший нижний цвет</x:v>
      </x:c>
      <x:c r="F374" s="89" t="str">
        <x:v>Жидкая маска губкой/старой кистью</x:v>
      </x:c>
      <x:c r="G374" s="89" t="str">
        <x:v>Особенно на кромках и местах контакта</x:v>
      </x:c>
      <x:c r="H374" s="89" t="str">
        <x:v>Нанести верхний цвет</x:v>
      </x:c>
      <x:c r="I374" s="89" t="str">
        <x:v>Полностью высушить</x:v>
      </x:c>
      <x:c r="J374" s="89" t="str">
        <x:v>Снять маску мягким трением</x:v>
      </x:c>
      <x:c r="K374" s="89" t="str">
        <x:v>Добавить Deep Brown/metal внутрь части сколов</x:v>
      </x:c>
      <x:c r="L374" s="89" t="str">
        <x:v>Финиш по поверхности</x:v>
      </x:c>
      <x:c r="M374" s="89" t="str">
        <x:v>Средняя</x:v>
      </x:c>
      <x:c r="N374" s="90" t="str">
        <x:v>Размер пятен контролируется губкой и кистью. Не покрывать жидкой маской центры всех панелей равномерно.</x:v>
      </x:c>
      <x:c r="O374" s="89"/>
      <x:c r="P374" s="89" t="str">
        <x:v>Практический процесс — готов</x:v>
      </x:c>
      <x:c r="Q374" s="89" t="str">
        <x:v>Техника предназначена для реальной сборки и защиты окрашенных зон; порядок основан на доступности деталей и направлении света.</x:v>
      </x:c>
    </x:row>
    <x:row r="375">
      <x:c r="A375" s="90" t="n">
        <x:v>371</x:v>
      </x:c>
      <x:c r="B375" s="552" t="str">
        <x:v>Декали</x:v>
      </x:c>
      <x:c r="C375" s="552" t="str">
        <x:v>Базовый перенос декали без серебрения</x:v>
      </x:c>
      <x:c r="D375" s="89" t="str">
        <x:v>Gloss → decal → seal</x:v>
      </x:c>
      <x:c r="E375" s="89" t="str">
        <x:v>Полностью окрашенная поверхность</x:v>
      </x:c>
      <x:c r="F375" s="89" t="str">
        <x:v>Gloss Varnish локально под декаль</x:v>
      </x:c>
      <x:c r="G375" s="89" t="str">
        <x:v>Дать лаку полностью высохнуть</x:v>
      </x:c>
      <x:c r="H375" s="89" t="str">
        <x:v>Нанести декаль и удалить воду</x:v>
      </x:c>
      <x:c r="I375" s="89" t="str">
        <x:v>Прижать мягкой влажной кистью</x:v>
      </x:c>
      <x:c r="J375" s="89" t="str">
        <x:v>Высушить</x:v>
      </x:c>
      <x:c r="K375" s="89" t="str">
        <x:v>Gloss Varnish тонко поверх декали</x:v>
      </x:c>
      <x:c r="L375" s="89" t="str">
        <x:v>Вернуть Matt/Satin по материалу</x:v>
      </x:c>
      <x:c r="M375" s="89" t="str">
        <x:v>Низкая</x:v>
      </x:c>
      <x:c r="N375" s="90" t="str">
        <x:v>Серебрение возникает из-за воздуха под плёнкой на матовой поверхности. Локальный Gloss создаёт гладкую основу.</x:v>
      </x:c>
      <x:c r="O375" s="89"/>
      <x:c r="P375" s="89" t="str">
        <x:v>Декаль — рабочий процесс</x:v>
      </x:c>
      <x:c r="Q375" s="89" t="str">
        <x:v>Перенос строится через гладкую Gloss-основу, запечатывание, интеграцию цветом и общий weathering.</x:v>
      </x:c>
    </x:row>
    <x:row r="376">
      <x:c r="A376" s="90" t="n">
        <x:v>372</x:v>
      </x:c>
      <x:c r="B376" s="552" t="str">
        <x:v>Декали</x:v>
      </x:c>
      <x:c r="C376" s="552" t="str">
        <x:v>Декаль на изогнутом наплечнике</x:v>
      </x:c>
      <x:c r="D376" s="89" t="str">
        <x:v>Разрезы плёнки + последовательное прижатие</x:v>
      </x:c>
      <x:c r="E376" s="89" t="str">
        <x:v>Окрашенное наплечие → Gloss</x:v>
      </x:c>
      <x:c r="F376" s="89" t="str">
        <x:v>Подрезать лишнюю прозрачную плёнку</x:v>
      </x:c>
      <x:c r="G376" s="89" t="str">
        <x:v>Сделать 1–3 малых радиальных надреза по краю</x:v>
      </x:c>
      <x:c r="H376" s="89" t="str">
        <x:v>Разместить центр декали</x:v>
      </x:c>
      <x:c r="I376" s="89" t="str">
        <x:v>Прижимать от центра к краям</x:v>
      </x:c>
      <x:c r="J376" s="89" t="str">
        <x:v>Высушить каждый сектор</x:v>
      </x:c>
      <x:c r="K376" s="89" t="str">
        <x:v>Gloss seal; при необходимости цветная glaze</x:v>
      </x:c>
      <x:c r="L376" s="89" t="str">
        <x:v>Matt/Satin</x:v>
      </x:c>
      <x:c r="M376" s="89" t="str">
        <x:v>Высокая</x:v>
      </x:c>
      <x:c r="N376" s="90" t="str">
        <x:v>Надрезы делаются только в прозрачной плёнке или незаметных участках рисунка. Складки не растягивать силой.</x:v>
      </x:c>
      <x:c r="O376" s="89"/>
      <x:c r="P376" s="89" t="str">
        <x:v>Декаль — рабочий процесс</x:v>
      </x:c>
      <x:c r="Q376" s="89" t="str">
        <x:v>Перенос строится через гладкую Gloss-основу, запечатывание, интеграцию цветом и общий weathering.</x:v>
      </x:c>
    </x:row>
    <x:row r="377">
      <x:c r="A377" s="90" t="n">
        <x:v>373</x:v>
      </x:c>
      <x:c r="B377" s="552" t="str">
        <x:v>Декали</x:v>
      </x:c>
      <x:c r="C377" s="552" t="str">
        <x:v>Исправление серебрения декали</x:v>
      </x:c>
      <x:c r="D377" s="89" t="str">
        <x:v>Прокол + локальный Gloss</x:v>
      </x:c>
      <x:c r="E377" s="89" t="str">
        <x:v>Полностью высохшая декаль</x:v>
      </x:c>
      <x:c r="F377" s="89" t="str">
        <x:v>Очень тонкой иглой проколоть серебрящуюся плёнку</x:v>
      </x:c>
      <x:c r="G377" s="89" t="str">
        <x:v>Нанести малую каплю воды/подходящего раствора</x:v>
      </x:c>
      <x:c r="H377" s="89" t="str">
        <x:v>Мягко прижать</x:v>
      </x:c>
      <x:c r="I377" s="89" t="str">
        <x:v>Высушить</x:v>
      </x:c>
      <x:c r="J377" s="89" t="str">
        <x:v>Тонкий Gloss поверх</x:v>
      </x:c>
      <x:c r="K377" s="89" t="str">
        <x:v>Цветом фона скрыть остаточную кромку</x:v>
      </x:c>
      <x:c r="L377" s="89" t="str">
        <x:v>Вернуть Matt/Satin</x:v>
      </x:c>
      <x:c r="M377" s="89" t="str">
        <x:v>Высокая</x:v>
      </x:c>
      <x:c r="N377" s="90" t="str">
        <x:v>Работать только с отдельными пузырями. Многочисленные проколы могут разрушить изображение или оставить заметные точки.</x:v>
      </x:c>
      <x:c r="O377" s="89"/>
      <x:c r="P377" s="89" t="str">
        <x:v>Декаль — рабочий процесс</x:v>
      </x:c>
      <x:c r="Q377" s="89" t="str">
        <x:v>Перенос строится через гладкую Gloss-основу, запечатывание, интеграцию цветом и общий weathering.</x:v>
      </x:c>
    </x:row>
    <x:row r="378">
      <x:c r="A378" s="90" t="n">
        <x:v>374</x:v>
      </x:c>
      <x:c r="B378" s="552" t="str">
        <x:v>Декали</x:v>
      </x:c>
      <x:c r="C378" s="552" t="str">
        <x:v>Скрытие прозрачного края декали</x:v>
      </x:c>
      <x:c r="D378" s="89" t="str">
        <x:v>Тонкая glaze фона</x:v>
      </x:c>
      <x:c r="E378" s="89" t="str">
        <x:v>Запечатанная Gloss декаль</x:v>
      </x:c>
      <x:c r="F378" s="89" t="str">
        <x:v>Основной цвет поверхности + Medium 1:6–1:12</x:v>
      </x:c>
      <x:c r="G378" s="89" t="str">
        <x:v>Нанести вокруг прозрачной кромки</x:v>
      </x:c>
      <x:c r="H378" s="89" t="str">
        <x:v>Не перекрывать сам рисунок</x:v>
      </x:c>
      <x:c r="I378" s="89" t="str">
        <x:v>Вернуть edge highlight через плёнку</x:v>
      </x:c>
      <x:c r="J378" s="89" t="str">
        <x:v>—</x:v>
      </x:c>
      <x:c r="K378" s="89" t="str">
        <x:v>—</x:v>
      </x:c>
      <x:c r="L378" s="89" t="str">
        <x:v>Общий Satin/Matt объединяет поверхность</x:v>
      </x:c>
      <x:c r="M378" s="89" t="str">
        <x:v>Средняя</x:v>
      </x:c>
      <x:c r="N378" s="90" t="str">
        <x:v>Цель — убрать визуальную ступень между плёнкой и краской. Glaze должна быть почти незаметной.</x:v>
      </x:c>
      <x:c r="O378" s="89"/>
      <x:c r="P378" s="89" t="str">
        <x:v>Декаль — рабочий процесс</x:v>
      </x:c>
      <x:c r="Q378" s="89" t="str">
        <x:v>Перенос строится через гладкую Gloss-основу, запечатывание, интеграцию цветом и общий weathering.</x:v>
      </x:c>
    </x:row>
    <x:row r="379">
      <x:c r="A379" s="90" t="n">
        <x:v>375</x:v>
      </x:c>
      <x:c r="B379" s="552" t="str">
        <x:v>Декали</x:v>
      </x:c>
      <x:c r="C379" s="552" t="str">
        <x:v>Выцветшая старая маркировка</x:v>
      </x:c>
      <x:c r="D379" s="89" t="str">
        <x:v>Тонкий фильтр поверх декали</x:v>
      </x:c>
      <x:c r="E379" s="89" t="str">
        <x:v>Декаль → Gloss seal</x:v>
      </x:c>
      <x:c r="F379" s="89" t="str">
        <x:v>Basilicanum Grey + Contrast Medium 1:12 для холодного старения</x:v>
      </x:c>
      <x:c r="G379" s="89" t="str">
        <x:v>Seraphim Sepia 1:15 для тёплого старения</x:v>
      </x:c>
      <x:c r="H379" s="89" t="str">
        <x:v>Нанести только один выбранный фильтр</x:v>
      </x:c>
      <x:c r="I379" s="89" t="str">
        <x:v>Вернуть отдельные чистые участки рисунка</x:v>
      </x:c>
      <x:c r="J379" s="89" t="str">
        <x:v>—</x:v>
      </x:c>
      <x:c r="K379" s="89" t="str">
        <x:v>—</x:v>
      </x:c>
      <x:c r="L379" s="89" t="str">
        <x:v>Matt/Satin Varnish</x:v>
      </x:c>
      <x:c r="M379" s="89" t="str">
        <x:v>Средняя</x:v>
      </x:c>
      <x:c r="N379" s="90" t="str">
        <x:v>Маркировка стареет вместе с панелью. Не использовать одновременно сильный серый и жёлтый фильтр на маленьком символе.</x:v>
      </x:c>
      <x:c r="O379" s="89"/>
      <x:c r="P379" s="89" t="str">
        <x:v>Декаль — рабочий процесс</x:v>
      </x:c>
      <x:c r="Q379" s="89" t="str">
        <x:v>Перенос строится через гладкую Gloss-основу, запечатывание, интеграцию цветом и общий weathering.</x:v>
      </x:c>
    </x:row>
    <x:row r="380">
      <x:c r="A380" s="90" t="n">
        <x:v>376</x:v>
      </x:c>
      <x:c r="B380" s="552" t="str">
        <x:v>Декали</x:v>
      </x:c>
      <x:c r="C380" s="552" t="str">
        <x:v>Изношенная декаль со сколами</x:v>
      </x:c>
      <x:c r="D380" s="89" t="str">
        <x:v>Повреждение после полного переноса</x:v>
      </x:c>
      <x:c r="E380" s="89" t="str">
        <x:v>Полностью завершённая и запечатанная декаль</x:v>
      </x:c>
      <x:c r="F380" s="89" t="str">
        <x:v>Основной цвет панели мелкими сколами губкой</x:v>
      </x:c>
      <x:c r="G380" s="89" t="str">
        <x:v>Deep Brown внутрь части крупных сколов</x:v>
      </x:c>
      <x:c r="H380" s="89" t="str">
        <x:v>Iron Warriors/Vallejo Silver локально</x:v>
      </x:c>
      <x:c r="I380" s="89" t="str">
        <x:v>Светлый цвет панели по нижнему краю больших повреждений</x:v>
      </x:c>
      <x:c r="J380" s="89" t="str">
        <x:v>—</x:v>
      </x:c>
      <x:c r="K380" s="89" t="str">
        <x:v>—</x:v>
      </x:c>
      <x:c r="L380" s="89" t="str">
        <x:v>Общий weathering и Matt/Satin</x:v>
      </x:c>
      <x:c r="M380" s="89" t="str">
        <x:v>Средняя</x:v>
      </x:c>
      <x:c r="N380" s="90" t="str">
        <x:v>Декаль сначала переносится как целое изображение. Сколы поверх неё показывают, что маркировка была нанесена до повреждения.</x:v>
      </x:c>
      <x:c r="O380" s="89"/>
      <x:c r="P380" s="89" t="str">
        <x:v>Декаль — рабочий процесс</x:v>
      </x:c>
      <x:c r="Q380" s="89" t="str">
        <x:v>Перенос строится через гладкую Gloss-основу, запечатывание, интеграцию цветом и общий weathering.</x:v>
      </x:c>
    </x:row>
    <x:row r="381">
      <x:c r="A381" s="90" t="n">
        <x:v>377</x:v>
      </x:c>
      <x:c r="B381" s="552" t="str">
        <x:v>Декали</x:v>
      </x:c>
      <x:c r="C381" s="552" t="str">
        <x:v>Декаль под пылью и грязью</x:v>
      </x:c>
      <x:c r="D381" s="89" t="str">
        <x:v>Общий фильтр поверхности</x:v>
      </x:c>
      <x:c r="E381" s="89" t="str">
        <x:v>Декаль → Gloss seal → локальный Matt/Satin</x:v>
      </x:c>
      <x:c r="F381" s="89" t="str">
        <x:v>AK Dark Sand 1:8 как нижний фильтр</x:v>
      </x:c>
      <x:c r="G381" s="89" t="str">
        <x:v>AK Pale Sand очень тонко на горизонтальных участках</x:v>
      </x:c>
      <x:c r="H381" s="89" t="str">
        <x:v>Умбра жжёная вокруг креплений</x:v>
      </x:c>
      <x:c r="I381" s="89" t="str">
        <x:v>Снять загрязнение с части символа влажной кистью/clean glaze</x:v>
      </x:c>
      <x:c r="J381" s="89" t="str">
        <x:v>—</x:v>
      </x:c>
      <x:c r="K381" s="89" t="str">
        <x:v>—</x:v>
      </x:c>
      <x:c r="L381" s="89" t="str">
        <x:v>Matt Varnish</x:v>
      </x:c>
      <x:c r="M381" s="89" t="str">
        <x:v>Средняя</x:v>
      </x:c>
      <x:c r="N381" s="90" t="str">
        <x:v>Грязь проходит и по краске, и по декали. Полностью чистый символ на пыльной панели выглядит нанесённым после weathering.</x:v>
      </x:c>
      <x:c r="O381" s="89"/>
      <x:c r="P381" s="89" t="str">
        <x:v>Декаль — рабочий процесс</x:v>
      </x:c>
      <x:c r="Q381" s="89" t="str">
        <x:v>Перенос строится через гладкую Gloss-основу, запечатывание, интеграцию цветом и общий weathering.</x:v>
      </x:c>
    </x:row>
    <x:row r="382">
      <x:c r="A382" s="90" t="n">
        <x:v>378</x:v>
      </x:c>
      <x:c r="B382" s="552" t="str">
        <x:v>Декали</x:v>
      </x:c>
      <x:c r="C382" s="552" t="str">
        <x:v>Декаль в зоне OSL</x:v>
      </x:c>
      <x:c r="D382" s="89" t="str">
        <x:v>Цветной свет поверх маркировки</x:v>
      </x:c>
      <x:c r="E382" s="89" t="str">
        <x:v>Полностью запечатанная декаль</x:v>
      </x:c>
      <x:c r="F382" s="89" t="str">
        <x:v>Сначала закончить обычную маркировку</x:v>
      </x:c>
      <x:c r="G382" s="89" t="str">
        <x:v>Прозрачный OSL-фильтр по рецепту источника</x:v>
      </x:c>
      <x:c r="H382" s="89" t="str">
        <x:v>Сохранить рисунок читаемым</x:v>
      </x:c>
      <x:c r="I382" s="89" t="str">
        <x:v>Вернуть светлые части символа со стороны источника</x:v>
      </x:c>
      <x:c r="J382" s="89" t="str">
        <x:v>Углубить противоположную сторону</x:v>
      </x:c>
      <x:c r="K382" s="89" t="str">
        <x:v>—</x:v>
      </x:c>
      <x:c r="L382" s="89" t="str">
        <x:v>Satin/Gloss по материалу</x:v>
      </x:c>
      <x:c r="M382" s="89" t="str">
        <x:v>Высокая</x:v>
      </x:c>
      <x:c r="N382" s="90" t="str">
        <x:v>OSL изменяет декаль так же, как окружающую панель. Не оставлять символ полностью нейтральным внутри яркого света.</x:v>
      </x:c>
      <x:c r="O382" s="89"/>
      <x:c r="P382" s="89" t="str">
        <x:v>Декаль — рабочий процесс</x:v>
      </x:c>
      <x:c r="Q382" s="89" t="str">
        <x:v>Перенос строится через гладкую Gloss-основу, запечатывание, интеграцию цветом и общий weathering.</x:v>
      </x:c>
    </x:row>
    <x:row r="383">
      <x:c r="A383" s="90" t="n">
        <x:v>379</x:v>
      </x:c>
      <x:c r="B383" s="553" t="str">
        <x:v>Коррекция</x:v>
      </x:c>
      <x:c r="C383" s="553" t="str">
        <x:v>Исправление аэрографного overspray</x:v>
      </x:c>
      <x:c r="D383" s="89" t="str">
        <x:v>Возврат базы + glaze</x:v>
      </x:c>
      <x:c r="E383" s="89" t="str">
        <x:v>Полностью высохший overspray</x:v>
      </x:c>
      <x:c r="F383" s="89" t="str">
        <x:v>Исходный Base-цвет тонким слоем</x:v>
      </x:c>
      <x:c r="G383" s="89" t="str">
        <x:v>Не пытаться перекрыть одним толстым проходом</x:v>
      </x:c>
      <x:c r="H383" s="89" t="str">
        <x:v>Вернуть средний тон</x:v>
      </x:c>
      <x:c r="I383" s="89" t="str">
        <x:v>Восстановить направленный свет</x:v>
      </x:c>
      <x:c r="J383" s="89" t="str">
        <x:v>Вернуть edge</x:v>
      </x:c>
      <x:c r="K383" s="89" t="str">
        <x:v>Объединить прозрачной glaze</x:v>
      </x:c>
      <x:c r="L383" s="89" t="str">
        <x:v>Финиш локально восстановить</x:v>
      </x:c>
      <x:c r="M383" s="89" t="str">
        <x:v>Низкая</x:v>
      </x:c>
      <x:c r="N383" s="90" t="str">
        <x:v>Исправление выполняется теми же ступенями, что и первоначальная окраска: база → средний → свет, а не одной укрывистой заплатой.</x:v>
      </x:c>
      <x:c r="O383" s="89"/>
      <x:c r="P383" s="89" t="str">
        <x:v>Коррекция — рабочий процесс</x:v>
      </x:c>
      <x:c r="Q383" s="89" t="str">
        <x:v>Ошибка исправляется восстановлением исходной последовательности слоёв, а не толстой укрывистой заплатой.</x:v>
      </x:c>
    </x:row>
    <x:row r="384">
      <x:c r="A384" s="90" t="n">
        <x:v>380</x:v>
      </x:c>
      <x:c r="B384" s="553" t="str">
        <x:v>Коррекция</x:v>
      </x:c>
      <x:c r="C384" s="553" t="str">
        <x:v>Слишком толстый edge highlight</x:v>
      </x:c>
      <x:c r="D384" s="89" t="str">
        <x:v>Сужение линией базового цвета</x:v>
      </x:c>
      <x:c r="E384" s="89" t="str">
        <x:v>Полностью высохшая линия</x:v>
      </x:c>
      <x:c r="F384" s="89" t="str">
        <x:v>Основной цвет поверхности тонкой кистью</x:v>
      </x:c>
      <x:c r="G384" s="89" t="str">
        <x:v>Провести вдоль внутренней стороны толстого edge</x:v>
      </x:c>
      <x:c r="H384" s="89" t="str">
        <x:v>Оставить свет только по внешнему краю</x:v>
      </x:c>
      <x:c r="I384" s="89" t="str">
        <x:v>При необходимости вернуть более светлую точку</x:v>
      </x:c>
      <x:c r="J384" s="89" t="str">
        <x:v>—</x:v>
      </x:c>
      <x:c r="K384" s="89" t="str">
        <x:v>—</x:v>
      </x:c>
      <x:c r="L384" s="89" t="str">
        <x:v>Очень тонкая glaze смягчает контраст</x:v>
      </x:c>
      <x:c r="M384" s="89" t="str">
        <x:v>Средняя</x:v>
      </x:c>
      <x:c r="N384" s="90" t="str">
        <x:v>Исправлять линию проще с внутренней стороны, сохраняя положение внешней кромки.</x:v>
      </x:c>
      <x:c r="O384" s="89"/>
      <x:c r="P384" s="89" t="str">
        <x:v>Коррекция — рабочий процесс</x:v>
      </x:c>
      <x:c r="Q384" s="89" t="str">
        <x:v>Ошибка исправляется восстановлением исходной последовательности слоёв, а не толстой укрывистой заплатой.</x:v>
      </x:c>
    </x:row>
    <x:row r="385">
      <x:c r="A385" s="90" t="n">
        <x:v>381</x:v>
      </x:c>
      <x:c r="B385" s="553" t="str">
        <x:v>Коррекция</x:v>
      </x:c>
      <x:c r="C385" s="553" t="str">
        <x:v>Меловые высветления на коже или ткани</x:v>
      </x:c>
      <x:c r="D385" s="89" t="str">
        <x:v>Цветная glaze поверх света</x:v>
      </x:c>
      <x:c r="E385" s="89" t="str">
        <x:v>Высохшие меловые слои</x:v>
      </x:c>
      <x:c r="F385" s="89" t="str">
        <x:v>Исходный средний цвет + Medium 1:8–1:15</x:v>
      </x:c>
      <x:c r="G385" s="89" t="str">
        <x:v>Нанести на переход и часть светлой зоны</x:v>
      </x:c>
      <x:c r="H385" s="89" t="str">
        <x:v>Повторять после высыхания</x:v>
      </x:c>
      <x:c r="I385" s="89" t="str">
        <x:v>Вернуть малый чистый максимум</x:v>
      </x:c>
      <x:c r="J385" s="89" t="str">
        <x:v>—</x:v>
      </x:c>
      <x:c r="K385" s="89" t="str">
        <x:v>—</x:v>
      </x:c>
      <x:c r="L385" s="89" t="str">
        <x:v>Matt Varnish</x:v>
      </x:c>
      <x:c r="M385" s="89" t="str">
        <x:v>Низкая</x:v>
      </x:c>
      <x:c r="N385" s="90" t="str">
        <x:v>Glaze возвращает насыщенность, но не должна полностью уничтожить свет. Чистый White заменяется Pale Sand/Flayed/Pallid по материалу.</x:v>
      </x:c>
      <x:c r="O385" s="89"/>
      <x:c r="P385" s="89" t="str">
        <x:v>Коррекция — рабочий процесс</x:v>
      </x:c>
      <x:c r="Q385" s="89" t="str">
        <x:v>Ошибка исправляется восстановлением исходной последовательности слоёв, а не толстой укрывистой заплатой.</x:v>
      </x:c>
    </x:row>
    <x:row r="386">
      <x:c r="A386" s="90" t="n">
        <x:v>382</x:v>
      </x:c>
      <x:c r="B386" s="553" t="str">
        <x:v>Коррекция</x:v>
      </x:c>
      <x:c r="C386" s="553" t="str">
        <x:v>Пятнистая Contrast/Xpress-плоскость</x:v>
      </x:c>
      <x:c r="D386" s="89" t="str">
        <x:v>Непрозрачное выравнивание + новый фильтр</x:v>
      </x:c>
      <x:c r="E386" s="89" t="str">
        <x:v>Полностью высохший прозрачный слой</x:v>
      </x:c>
      <x:c r="F386" s="89" t="str">
        <x:v>Подходящий непрозрачный средний тон</x:v>
      </x:c>
      <x:c r="G386" s="89" t="str">
        <x:v>Тонко выровнять только пятна</x:v>
      </x:c>
      <x:c r="H386" s="89" t="str">
        <x:v>Восстановить светлую модуляцию</x:v>
      </x:c>
      <x:c r="I386" s="89" t="str">
        <x:v>Contrast/Xpress + Medium 1:4–1:8 по всей панели</x:v>
      </x:c>
      <x:c r="J386" s="89" t="str">
        <x:v>—</x:v>
      </x:c>
      <x:c r="K386" s="89" t="str">
        <x:v>—</x:v>
      </x:c>
      <x:c r="L386" s="89" t="str">
        <x:v>Финиш по материалу</x:v>
      </x:c>
      <x:c r="M386" s="89" t="str">
        <x:v>Средняя</x:v>
      </x:c>
      <x:c r="N386" s="90" t="str">
        <x:v>Повторный чистый Contrast поверх пятен обычно усиливает дефект. Сначала вернуть ровную светлую основу.</x:v>
      </x:c>
      <x:c r="O386" s="89"/>
      <x:c r="P386" s="89" t="str">
        <x:v>Коррекция — рабочий процесс</x:v>
      </x:c>
      <x:c r="Q386" s="89" t="str">
        <x:v>Ошибка исправляется восстановлением исходной последовательности слоёв, а не толстой укрывистой заплатой.</x:v>
      </x:c>
    </x:row>
    <x:row r="387">
      <x:c r="A387" s="90" t="n">
        <x:v>383</x:v>
      </x:c>
      <x:c r="B387" s="553" t="str">
        <x:v>Коррекция</x:v>
      </x:c>
      <x:c r="C387" s="553" t="str">
        <x:v>Потерянная панельная линия</x:v>
      </x:c>
      <x:c r="D387" s="89" t="str">
        <x:v>Точечное восстановление тени</x:v>
      </x:c>
      <x:c r="E387" s="89" t="str">
        <x:v>Завершённая броня</x:v>
      </x:c>
      <x:c r="F387" s="89" t="str">
        <x:v>Подходящий Shade или Ink</x:v>
      </x:c>
      <x:c r="G387" s="89" t="str">
        <x:v>Тонкой кистью провести только в углублении</x:v>
      </x:c>
      <x:c r="H387" s="89" t="str">
        <x:v>Снять излишек с панели</x:v>
      </x:c>
      <x:c r="I387" s="89" t="str">
        <x:v>Вернуть Base по обеим сторонам</x:v>
      </x:c>
      <x:c r="J387" s="89" t="str">
        <x:v>Edge highlight на верхнем крае</x:v>
      </x:c>
      <x:c r="K387" s="89" t="str">
        <x:v>—</x:v>
      </x:c>
      <x:c r="L387" s="89" t="str">
        <x:v>Oil pin-wash по Gloss как альтернативный способ</x:v>
      </x:c>
      <x:c r="M387" s="89" t="str">
        <x:v>Финиш по материалу</x:v>
      </x:c>
      <x:c r="N387" s="90" t="str">
        <x:v>Низкая</x:v>
      </x:c>
      <x:c r="O387" s="89" t="str">
        <x:v>Не рисовать широкую чёрную линию поверх панели. Тень должна оставаться внутри реального стыка.</x:v>
      </x:c>
      <x:c r="P387" s="89" t="str">
        <x:v>Коррекция — рабочий процесс</x:v>
      </x:c>
      <x:c r="Q387" s="89" t="str">
        <x:v>Ошибка исправляется восстановлением исходной последовательности слоёв, а не толстой укрывистой заплатой.</x:v>
      </x:c>
    </x:row>
    <x:row r="388">
      <x:c r="A388" s="90" t="n">
        <x:v>384</x:v>
      </x:c>
      <x:c r="B388" s="553" t="str">
        <x:v>Коррекция</x:v>
      </x:c>
      <x:c r="C388" s="553" t="str">
        <x:v>OSL слишком яркий и широкий</x:v>
      </x:c>
      <x:c r="D388" s="89" t="str">
        <x:v>Возврат локального цвета</x:v>
      </x:c>
      <x:c r="E388" s="89" t="str">
        <x:v>Полностью высохший OSL</x:v>
      </x:c>
      <x:c r="F388" s="89" t="str">
        <x:v>Основной цвет освещённой поверхности + Medium 1:4–1:8</x:v>
      </x:c>
      <x:c r="G388" s="89" t="str">
        <x:v>Возвращать цвет от внешнего края ореола к центру</x:v>
      </x:c>
      <x:c r="H388" s="89" t="str">
        <x:v>Оставить яркой меньшую область</x:v>
      </x:c>
      <x:c r="I388" s="89" t="str">
        <x:v>Вернуть источник White</x:v>
      </x:c>
      <x:c r="J388" s="89" t="str">
        <x:v>—</x:v>
      </x:c>
      <x:c r="K388" s="89" t="str">
        <x:v>—</x:v>
      </x:c>
      <x:c r="L388" s="89" t="str">
        <x:v>Слабая цветная glaze для нового края</x:v>
      </x:c>
      <x:c r="M388" s="89" t="str">
        <x:v>Финиш по материалу</x:v>
      </x:c>
      <x:c r="N388" s="90" t="str">
        <x:v>Средняя</x:v>
      </x:c>
      <x:c r="O388" s="89" t="str">
        <x:v>Сначала уменьшить ширину ореола, затем проверить, что источник снова является самым ярким элементом.</x:v>
      </x:c>
      <x:c r="P388" s="89" t="str">
        <x:v>Коррекция — рабочий процесс</x:v>
      </x:c>
      <x:c r="Q388" s="89" t="str">
        <x:v>Ошибка исправляется восстановлением исходной последовательности слоёв, а не толстой укрывистой заплатой.</x:v>
      </x:c>
    </x:row>
    <x:row r="389">
      <x:c r="A389" s="90" t="n">
        <x:v>385</x:v>
      </x:c>
      <x:c r="B389" s="553" t="str">
        <x:v>Коррекция</x:v>
      </x:c>
      <x:c r="C389" s="553" t="str">
        <x:v>Случайное глянцевое пятно на матовой ткани</x:v>
      </x:c>
      <x:c r="D389" s="89" t="str">
        <x:v>Локальный Matt + восстановление цвета</x:v>
      </x:c>
      <x:c r="E389" s="89" t="str">
        <x:v>Полностью высохший глянец</x:v>
      </x:c>
      <x:c r="F389" s="89" t="str">
        <x:v>Тонкий Matt Varnish на пятно и немного вокруг</x:v>
      </x:c>
      <x:c r="G389" s="89" t="str">
        <x:v>Дать полностью высохнуть</x:v>
      </x:c>
      <x:c r="H389" s="89" t="str">
        <x:v>При изменении цвета вернуть Base/glaze</x:v>
      </x:c>
      <x:c r="I389" s="89" t="str">
        <x:v>Восстановить тканевую фактуру stippling</x:v>
      </x:c>
      <x:c r="J389" s="89" t="str">
        <x:v>—</x:v>
      </x:c>
      <x:c r="K389" s="89" t="str">
        <x:v>—</x:v>
      </x:c>
      <x:c r="L389" s="89" t="str">
        <x:v>Очень тонкий общий Matt при видимой границе</x:v>
      </x:c>
      <x:c r="M389" s="89" t="str">
        <x:v>Низкая</x:v>
      </x:c>
      <x:c r="N389" s="90" t="str">
        <x:v>Не наносить толстую каплю матового лака только в центр: граница блеска станет ещё заметнее.</x:v>
      </x:c>
      <x:c r="O389" s="89"/>
      <x:c r="P389" s="89" t="str">
        <x:v>Коррекция — рабочий процесс</x:v>
      </x:c>
      <x:c r="Q389" s="89" t="str">
        <x:v>Ошибка исправляется восстановлением исходной последовательности слоёв, а не толстой укрывистой заплатой.</x:v>
      </x:c>
    </x:row>
    <x:row r="390">
      <x:c r="A390" s="90" t="n">
        <x:v>386</x:v>
      </x:c>
      <x:c r="B390" s="553" t="str">
        <x:v>Коррекция</x:v>
      </x:c>
      <x:c r="C390" s="553" t="str">
        <x:v>Металл стал тусклым после лака</x:v>
      </x:c>
      <x:c r="D390" s="89" t="str">
        <x:v>Локальное возвращение металлических отражений</x:v>
      </x:c>
      <x:c r="E390" s="89" t="str">
        <x:v>Полностью высохший лак</x:v>
      </x:c>
      <x:c r="F390" s="89" t="str">
        <x:v>Metal Varnish тонко по металлической области</x:v>
      </x:c>
      <x:c r="G390" s="89" t="str">
        <x:v>Вернуть Ironbreaker/Runefang/Vallejo Silver на света</x:v>
      </x:c>
      <x:c r="H390" s="89" t="str">
        <x:v>Углубить Nuln/Payne Grey в стыках</x:v>
      </x:c>
      <x:c r="I390" s="89" t="str">
        <x:v>Сохранить матовыми загрязнённые зоны</x:v>
      </x:c>
      <x:c r="J390" s="89" t="str">
        <x:v>—</x:v>
      </x:c>
      <x:c r="K390" s="89" t="str">
        <x:v>—</x:v>
      </x:c>
      <x:c r="L390" s="89" t="str">
        <x:v>Metal Varnish локально</x:v>
      </x:c>
      <x:c r="M390" s="89" t="str">
        <x:v>Низкая</x:v>
      </x:c>
      <x:c r="N390" s="90" t="str">
        <x:v>Восстанавливать не весь металл одинаково: старые и загрязнённые участки могут оставаться более матовыми.</x:v>
      </x:c>
      <x:c r="O390" s="89"/>
      <x:c r="P390" s="89" t="str">
        <x:v>Коррекция — рабочий процесс</x:v>
      </x:c>
      <x:c r="Q390" s="89" t="str">
        <x:v>Ошибка исправляется восстановлением исходной последовательности слоёв, а не толстой укрывистой заплатой.</x:v>
      </x:c>
    </x:row>
    <x:row r="391">
      <x:c r="A391" s="90" t="n">
        <x:v>387</x:v>
      </x:c>
      <x:c r="B391" s="553" t="str">
        <x:v>Коррекция</x:v>
      </x:c>
      <x:c r="C391" s="553" t="str">
        <x:v>Слишком резкий масляный streak</x:v>
      </x:c>
      <x:c r="D391" s="89" t="str">
        <x:v>Снятие и повторное затухание</x:v>
      </x:c>
      <x:c r="E391" s="89" t="str">
        <x:v>Полусхватившийся масляный потёк</x:v>
      </x:c>
      <x:c r="F391" s="89" t="str">
        <x:v>Кисть с минимальным количеством разбавителя</x:v>
      </x:c>
      <x:c r="G391" s="89" t="str">
        <x:v>Растянуть нижний конец по направлению</x:v>
      </x:c>
      <x:c r="H391" s="89" t="str">
        <x:v>Снять масло с соседней панели</x:v>
      </x:c>
      <x:c r="I391" s="89" t="str">
        <x:v>Вернуть тёмное начало потёка</x:v>
      </x:c>
      <x:c r="J391" s="89" t="str">
        <x:v>—</x:v>
      </x:c>
      <x:c r="K391" s="89" t="str">
        <x:v>—</x:v>
      </x:c>
      <x:c r="L391" s="89" t="str">
        <x:v>Matt/Satin после полного высыхания</x:v>
      </x:c>
      <x:c r="M391" s="89" t="str">
        <x:v>Средняя</x:v>
      </x:c>
      <x:c r="N391" s="90" t="str">
        <x:v>Нижний конец должен исчезать постепенно. Не размазывать начало, иначе исчезнет источник загрязнения.</x:v>
      </x:c>
      <x:c r="O391" s="89"/>
      <x:c r="P391" s="89" t="str">
        <x:v>Коррекция — рабочий процесс</x:v>
      </x:c>
      <x:c r="Q391" s="89" t="str">
        <x:v>Ошибка исправляется восстановлением исходной последовательности слоёв, а не толстой укрывистой заплатой.</x:v>
      </x:c>
    </x:row>
    <x:row r="392">
      <x:c r="A392" s="90" t="n">
        <x:v>388</x:v>
      </x:c>
      <x:c r="B392" s="554" t="str">
        <x:v>Редкие краски</x:v>
      </x:c>
      <x:c r="C392" s="554" t="str">
        <x:v>Слаанешская кожа Daemonette Hide</x:v>
      </x:c>
      <x:c r="D392" s="89" t="str">
        <x:v>Холодная светлая кожа</x:v>
      </x:c>
      <x:c r="E392" s="89" t="str">
        <x:v>Black Primer → Grey Seer zenithal</x:v>
      </x:c>
      <x:c r="F392" s="89" t="str">
        <x:v>Daemonette Hide</x:v>
      </x:c>
      <x:c r="G392" s="89" t="str">
        <x:v>Druchii Violet или Dreadful Visage</x:v>
      </x:c>
      <x:c r="H392" s="89" t="str">
        <x:v>Daemonette Hide вернуть</x:v>
      </x:c>
      <x:c r="I392" s="89" t="str">
        <x:v>Warpfiend Grey</x:v>
      </x:c>
      <x:c r="J392" s="89" t="str">
        <x:v>Slaanesh Grey</x:v>
      </x:c>
      <x:c r="K392" s="89" t="str">
        <x:v>Pallid Wych Flesh точечно</x:v>
      </x:c>
      <x:c r="L392" s="89" t="str">
        <x:v>Magos Purple 1:10 с Contrast Medium в холодные тени</x:v>
      </x:c>
      <x:c r="M392" s="89" t="str">
        <x:v>Matt Varnish</x:v>
      </x:c>
      <x:c r="N392" s="90" t="str">
        <x:v>Средняя</x:v>
      </x:c>
      <x:c r="O392" s="89" t="str">
        <x:v>Daemonette Hide получает самостоятельную роль основной светло-фиолетовой кожи, а не только промежуточного stippling-цвета.</x:v>
      </x:c>
      <x:c r="P392" s="89" t="str">
        <x:v>Раскрытие редкой краски</x:v>
      </x:c>
      <x:c r="Q392" s="89" t="str">
        <x:v>Daemonette Hide и Reikland Fleshshade Gloss получили самостоятельные основные роли.</x:v>
      </x:c>
    </x:row>
    <x:row r="393">
      <x:c r="A393" s="90" t="n">
        <x:v>389</x:v>
      </x:c>
      <x:c r="B393" s="554" t="str">
        <x:v>Редкие краски</x:v>
      </x:c>
      <x:c r="C393" s="554" t="str">
        <x:v>Глянцевая тёплая бронза Reikland Gloss</x:v>
      </x:c>
      <x:c r="D393" s="89" t="str">
        <x:v>Полированный тёплый металл</x:v>
      </x:c>
      <x:c r="E393" s="89" t="str">
        <x:v>Black Primer</x:v>
      </x:c>
      <x:c r="F393" s="89" t="str">
        <x:v>Balthasar Gold</x:v>
      </x:c>
      <x:c r="G393" s="89" t="str">
        <x:v>Reikland Fleshshade Gloss в углубления</x:v>
      </x:c>
      <x:c r="H393" s="89" t="str">
        <x:v>Old Gold</x:v>
      </x:c>
      <x:c r="I393" s="89" t="str">
        <x:v>Runelord Brass</x:v>
      </x:c>
      <x:c r="J393" s="89" t="str">
        <x:v>Canoptek Alloy</x:v>
      </x:c>
      <x:c r="K393" s="89" t="str">
        <x:v>Vallejo Silver микроточками</x:v>
      </x:c>
      <x:c r="L393" s="89" t="str">
        <x:v>Seraphim Sepia 1:12 только на матовых загрязнениях</x:v>
      </x:c>
      <x:c r="M393" s="89" t="str">
        <x:v>Metal Varnish</x:v>
      </x:c>
      <x:c r="N393" s="90" t="str">
        <x:v>Средняя</x:v>
      </x:c>
      <x:c r="O393" s="89" t="str">
        <x:v>Reikland Fleshshade Gloss используется для сохранения полированного тёплого блеска бронзы; загрязнения и патина добавляются отдельно и локально.</x:v>
      </x:c>
      <x:c r="P393" s="89" t="str">
        <x:v>Раскрытие редкой краски</x:v>
      </x:c>
      <x:c r="Q393" s="89" t="str">
        <x:v>Daemonette Hide и Reikland Fleshshade Gloss получили самостоятельные основные роли.</x:v>
      </x:c>
    </x:row>
    <x:row r="394">
      <x:c r="A394" s="90" t="n">
        <x:v>390</x:v>
      </x:c>
      <x:c r="B394" s="555" t="str">
        <x:v>Контроль качества</x:v>
      </x:c>
      <x:c r="C394" s="555" t="str">
        <x:v>Журнал фактического применения рецепта</x:v>
      </x:c>
      <x:c r="D394" s="89" t="str">
        <x:v>Фото + результат + корректировка</x:v>
      </x:c>
      <x:c r="E394" s="89" t="str">
        <x:v>Выбранная модель и Recipe ID</x:v>
      </x:c>
      <x:c r="F394" s="89" t="str">
        <x:v>Записать фактически использованные краски</x:v>
      </x:c>
      <x:c r="G394" s="89" t="str">
        <x:v>Записать отклонения от рецепта</x:v>
      </x:c>
      <x:c r="H394" s="89" t="str">
        <x:v>Оценить время и сложность</x:v>
      </x:c>
      <x:c r="I394" s="89" t="str">
        <x:v>Зафиксировать удачные пропорции</x:v>
      </x:c>
      <x:c r="J394" s="89" t="str">
        <x:v>Зафиксировать ошибку</x:v>
      </x:c>
      <x:c r="K394" s="89" t="str">
        <x:v>Добавить ссылку на фото</x:v>
      </x:c>
      <x:c r="L394" s="89" t="str">
        <x:v>Перенести итог в «Тестовые карты» или примечание рецепта</x:v>
      </x:c>
      <x:c r="M394" s="89" t="str">
        <x:v>Не требуется</x:v>
      </x:c>
      <x:c r="N394" s="90" t="str">
        <x:v>Низкая</x:v>
      </x:c>
      <x:c r="O394" s="89" t="str">
        <x:v>Практический опыт важнее стартовой теории. После 2–3 успешных повторений рецепт можно считать персонально подтверждённым.</x:v>
      </x:c>
      <x:c r="P394" s="89" t="str">
        <x:v>Контроль качества — готов</x:v>
      </x:c>
      <x:c r="Q394" s="89" t="str">
        <x:v>Процесс связывает фактический результат, фото и корректировки с Recipe ID.</x:v>
      </x:c>
    </x:row>
    <x:row r="395">
      <x:c r="A395" s="90" t="n">
        <x:v>391</x:v>
      </x:c>
      <x:c r="B395" s="580" t="str">
        <x:v>Монстры и демоны</x:v>
      </x:c>
      <x:c r="C395" s="580" t="str">
        <x:v>Восстановление среднего тона после масляной проливки</x:v>
      </x:c>
      <x:c r="D395" s="89" t="str">
        <x:v>Селективная акриловая glaze</x:v>
      </x:c>
      <x:c r="E395" s="89" t="str">
        <x:v>Полностью высохшая масляная проливка</x:v>
      </x:c>
      <x:c r="F395" s="89" t="str">
        <x:v>Исходный средний цвет кожи + Lahmian Medium 1:2–1:4</x:v>
      </x:c>
      <x:c r="G395" s="89" t="str">
        <x:v>Масляную тень оставить в углублениях</x:v>
      </x:c>
      <x:c r="H395" s="89" t="str">
        <x:v>Вернуть средний тон на 50–65% открытых плоскостей</x:v>
      </x:c>
      <x:c r="I395" s="89" t="str">
        <x:v>Более светлый skin tone на верхней трети</x:v>
      </x:c>
      <x:c r="J395" s="89" t="str">
        <x:v>Pale Flesh или Pallid Wych Flesh на фокусе</x:v>
      </x:c>
      <x:c r="K395" s="89" t="str">
        <x:v>—</x:v>
      </x:c>
      <x:c r="L395" s="89" t="str">
        <x:v>Очень тонкий исходный цвет 1:8 для объединения</x:v>
      </x:c>
      <x:c r="M395" s="89" t="str">
        <x:v>Matt после завершения всей кожи</x:v>
      </x:c>
      <x:c r="N395" s="90" t="str">
        <x:v>Средняя</x:v>
      </x:c>
      <x:c r="O395" s="89" t="str">
        <x:v>Это непосредственный следующий этап текущего проекта: масло уже сформировало тени, поэтому акрил возвращается только в средние и светлые зоны.</x:v>
      </x:c>
      <x:c r="P395" s="89" t="str">
        <x:v>Текущий проект — приоритет</x:v>
      </x:c>
      <x:c r="Q395" s="89" t="str">
        <x:v>Рецепт непосредственно относится к следующему развитию демон-принца после масляной проливки.</x:v>
      </x:c>
    </x:row>
    <x:row r="396">
      <x:c r="A396" s="90" t="n">
        <x:v>392</x:v>
      </x:c>
      <x:c r="B396" s="580" t="str">
        <x:v>Монстры и демоны</x:v>
      </x:c>
      <x:c r="C396" s="580" t="str">
        <x:v>Направленные света крупной кожи после масла</x:v>
      </x:c>
      <x:c r="D396" s="89" t="str">
        <x:v>Кисть + локальный аэрограф</x:v>
      </x:c>
      <x:c r="E396" s="89" t="str">
        <x:v>Рецепт 391 завершён</x:v>
      </x:c>
      <x:c r="F396" s="89" t="str">
        <x:v>Средний тон аэрографом только со стороны источника</x:v>
      </x:c>
      <x:c r="G396" s="89" t="str">
        <x:v>Масляная тень остаётся на противоположной стороне</x:v>
      </x:c>
      <x:c r="H396" s="89" t="str">
        <x:v>Светлый skin tone под углом 45°</x:v>
      </x:c>
      <x:c r="I396" s="89" t="str">
        <x:v>Pale Flesh меньшей зоной</x:v>
      </x:c>
      <x:c r="J396" s="89" t="str">
        <x:v>Pallid Wych Flesh</x:v>
      </x:c>
      <x:c r="K396" s="89" t="str">
        <x:v>White только на лице/гребнях</x:v>
      </x:c>
      <x:c r="L396" s="89" t="str">
        <x:v>Тонкая glaze базового skin tone</x:v>
      </x:c>
      <x:c r="M396" s="89" t="str">
        <x:v>Matt Varnish</x:v>
      </x:c>
      <x:c r="N396" s="90" t="str">
        <x:v>Высокая</x:v>
      </x:c>
      <x:c r="O396" s="89" t="str">
        <x:v>На большой модели нельзя вращать фигуру как при обычной зенитали: световые плоскости должны сохранять одно направление через корпус, руки и крылья.</x:v>
      </x:c>
      <x:c r="P396" s="89" t="str">
        <x:v>Текущий проект — приоритет</x:v>
      </x:c>
      <x:c r="Q396" s="89" t="str">
        <x:v>Рецепт непосредственно относится к следующему развитию демон-принца после масляной проливки.</x:v>
      </x:c>
    </x:row>
    <x:row r="397">
      <x:c r="A397" s="90" t="n">
        <x:v>393</x:v>
      </x:c>
      <x:c r="B397" s="580" t="str">
        <x:v>Монстры и демоны</x:v>
      </x:c>
      <x:c r="C397" s="580" t="str">
        <x:v>Возвращение фактуры кожи после гладкого аэрографа</x:v>
      </x:c>
      <x:c r="D397" s="89" t="str">
        <x:v>Stippling тремя плотностями</x:v>
      </x:c>
      <x:c r="E397" s="89" t="str">
        <x:v>Готовый плавный градиент кожи</x:v>
      </x:c>
      <x:c r="F397" s="89" t="str">
        <x:v>Основной средний тон мелким stippling</x:v>
      </x:c>
      <x:c r="G397" s="89" t="str">
        <x:v>Тёмный тон редкими точками в нижних и грубых зонах</x:v>
      </x:c>
      <x:c r="H397" s="89" t="str">
        <x:v>Светлый тон более плотными точками на верхних плоскостях</x:v>
      </x:c>
      <x:c r="I397" s="89" t="str">
        <x:v>Pale Flesh редкими светлыми точками</x:v>
      </x:c>
      <x:c r="J397" s="89" t="str">
        <x:v>Pallid Wych Flesh на лице и плечах</x:v>
      </x:c>
      <x:c r="K397" s="89" t="str">
        <x:v>—</x:v>
      </x:c>
      <x:c r="L397" s="89" t="str">
        <x:v>Очень тонкая glaze базового цвета при излишнем контрасте</x:v>
      </x:c>
      <x:c r="M397" s="89" t="str">
        <x:v>Matt Varnish</x:v>
      </x:c>
      <x:c r="N397" s="90" t="str">
        <x:v>Средняя</x:v>
      </x:c>
      <x:c r="O397" s="89" t="str">
        <x:v>Точки распределяются кластерами и меняют плотность по свету. Равномерная крапинка по всей модели снова превращает кожу в декоративный узор.</x:v>
      </x:c>
      <x:c r="P397" s="89" t="str">
        <x:v>Текущий проект — приоритет</x:v>
      </x:c>
      <x:c r="Q397" s="89" t="str">
        <x:v>Рецепт непосредственно относится к следующему развитию демон-принца после масляной проливки.</x:v>
      </x:c>
    </x:row>
    <x:row r="398">
      <x:c r="A398" s="90" t="n">
        <x:v>394</x:v>
      </x:c>
      <x:c r="B398" s="580" t="str">
        <x:v>Монстры и демоны</x:v>
      </x:c>
      <x:c r="C398" s="580" t="str">
        <x:v>Тёплые и холодные зоны одной кожи</x:v>
      </x:c>
      <x:c r="D398" s="89" t="str">
        <x:v>Локальные прозрачные фильтры</x:v>
      </x:c>
      <x:c r="E398" s="89" t="str">
        <x:v>Законченная базовая кожа</x:v>
      </x:c>
      <x:c r="F398" s="89" t="str">
        <x:v>Carroburg Crimson 1:12 на лицо, суставы и воспалённые участки</x:v>
      </x:c>
      <x:c r="G398" s="89" t="str">
        <x:v>Dreadful Visage 1:10 в холодную теневую сторону</x:v>
      </x:c>
      <x:c r="H398" s="89" t="str">
        <x:v>Plaguebearer Flesh 1:12 на болезненные/желтоватые зоны</x:v>
      </x:c>
      <x:c r="I398" s="89" t="str">
        <x:v>Основной skin tone вернуть на переходы</x:v>
      </x:c>
      <x:c r="J398" s="89" t="str">
        <x:v>Pale Flesh на свет</x:v>
      </x:c>
      <x:c r="K398" s="89" t="str">
        <x:v>—</x:v>
      </x:c>
      <x:c r="L398" s="89" t="str">
        <x:v>Общий skin glaze 1:15 при необходимости</x:v>
      </x:c>
      <x:c r="M398" s="89" t="str">
        <x:v>Matt Varnish</x:v>
      </x:c>
      <x:c r="N398" s="90" t="str">
        <x:v>Высокая</x:v>
      </x:c>
      <x:c r="O398" s="89" t="str">
        <x:v>Температурные пятна не должны иметь чётких границ. Красный, лиловый и желтоватый меняют локальную физиологию, не заменяя основной цвет кожи.</x:v>
      </x:c>
      <x:c r="P398" s="89" t="str">
        <x:v>Крупный монстр — рабочая техника</x:v>
      </x:c>
      <x:c r="Q398" s="89" t="str">
        <x:v>Рецепт собран из проверенных материалов и процессов базы и рассчитан на крупную форму.</x:v>
      </x:c>
    </x:row>
    <x:row r="399">
      <x:c r="A399" s="90" t="n">
        <x:v>395</x:v>
      </x:c>
      <x:c r="B399" s="580" t="str">
        <x:v>Монстры и демоны</x:v>
      </x:c>
      <x:c r="C399" s="580" t="str">
        <x:v>Крупные поры и грубые участки</x:v>
      </x:c>
      <x:c r="D399" s="89" t="str">
        <x:v>Stipple + микротрещины</x:v>
      </x:c>
      <x:c r="E399" s="89" t="str">
        <x:v>Законченная кожа</x:v>
      </x:c>
      <x:c r="F399" s="89" t="str">
        <x:v>AK Deep Brown очень редкими микроточками</x:v>
      </x:c>
      <x:c r="G399" s="89" t="str">
        <x:v>Основной skin tone частично перекрывает точки</x:v>
      </x:c>
      <x:c r="H399" s="89" t="str">
        <x:v>Светлый skin tone точками по верхнему краю пор</x:v>
      </x:c>
      <x:c r="I399" s="89" t="str">
        <x:v>Pale Sand единично на сухих рубцах</x:v>
      </x:c>
      <x:c r="J399" s="89" t="str">
        <x:v>—</x:v>
      </x:c>
      <x:c r="K399" s="89" t="str">
        <x:v>—</x:v>
      </x:c>
      <x:c r="L399" s="89" t="str">
        <x:v>Targor Rageshade 1:12 локально объединить</x:v>
      </x:c>
      <x:c r="M399" s="89" t="str">
        <x:v>Matt Varnish</x:v>
      </x:c>
      <x:c r="N399" s="90" t="str">
        <x:v>Высокая</x:v>
      </x:c>
      <x:c r="O399" s="89" t="str">
        <x:v>Фактура концентрируется на плечах, спине, локтях и внешней стороне конечностей; лицо и мягкое брюхо остаются более гладкими.</x:v>
      </x:c>
      <x:c r="P399" s="89" t="str">
        <x:v>Крупный монстр — рабочая техника</x:v>
      </x:c>
      <x:c r="Q399" s="89" t="str">
        <x:v>Рецепт собран из проверенных материалов и процессов базы и рассчитан на крупную форму.</x:v>
      </x:c>
    </x:row>
    <x:row r="400">
      <x:c r="A400" s="90" t="n">
        <x:v>396</x:v>
      </x:c>
      <x:c r="B400" s="580" t="str">
        <x:v>Монстры и демоны</x:v>
      </x:c>
      <x:c r="C400" s="580" t="str">
        <x:v>Фокус лица крупного демона</x:v>
      </x:c>
      <x:c r="D400" s="89" t="str">
        <x:v>Локальный контраст + температура</x:v>
      </x:c>
      <x:c r="E400" s="89" t="str">
        <x:v>Общая кожа полностью восстановлена</x:v>
      </x:c>
      <x:c r="F400" s="89" t="str">
        <x:v>Углубить глазницы Dreadful Visage или Shyish Purple</x:v>
      </x:c>
      <x:c r="G400" s="89" t="str">
        <x:v>Carroburg Crimson на нос, губы и нижнее веко</x:v>
      </x:c>
      <x:c r="H400" s="89" t="str">
        <x:v>Вернуть основной skin tone</x:v>
      </x:c>
      <x:c r="I400" s="89" t="str">
        <x:v>Pale Flesh на лоб, скулы и нос</x:v>
      </x:c>
      <x:c r="J400" s="89" t="str">
        <x:v>Pallid Wych Flesh</x:v>
      </x:c>
      <x:c r="K400" s="89" t="str">
        <x:v>White микроточкой</x:v>
      </x:c>
      <x:c r="L400" s="89" t="str">
        <x:v>Общий тонкий skin glaze вокруг лица</x:v>
      </x:c>
      <x:c r="M400" s="89" t="str">
        <x:v>Matt; глаза и рот локально Satin/Gloss</x:v>
      </x:c>
      <x:c r="N400" s="90" t="str">
        <x:v>Высокая</x:v>
      </x:c>
      <x:c r="O400" s="89" t="str">
        <x:v>Лицо получает самый чистый контраст кожи. Свет на туловище остаётся на один уровень темнее, чтобы голова не терялась в большой массе модели.</x:v>
      </x:c>
      <x:c r="P400" s="89" t="str">
        <x:v>Текущий проект — приоритет</x:v>
      </x:c>
      <x:c r="Q400" s="89" t="str">
        <x:v>Рецепт непосредственно относится к следующему развитию демон-принца после масляной проливки.</x:v>
      </x:c>
    </x:row>
    <x:row r="401">
      <x:c r="A401" s="90" t="n">
        <x:v>397</x:v>
      </x:c>
      <x:c r="B401" s="580" t="str">
        <x:v>Монстры и демоны</x:v>
      </x:c>
      <x:c r="C401" s="580" t="str">
        <x:v>Глаз с влажным веком</x:v>
      </x:c>
      <x:c r="D401" s="89" t="str">
        <x:v>Светящийся глаз + органический ободок</x:v>
      </x:c>
      <x:c r="E401" s="89" t="str">
        <x:v>Глазница затемнена</x:v>
      </x:c>
      <x:c r="F401" s="89" t="str">
        <x:v>Carroburg Crimson или Dreadful Visage по веку</x:v>
      </x:c>
      <x:c r="G401" s="89" t="str">
        <x:v>AK Black в глазное яблоко/зрачок</x:v>
      </x:c>
      <x:c r="H401" s="89" t="str">
        <x:v>Выбранный цвет свечения по светлой подложке</x:v>
      </x:c>
      <x:c r="I401" s="89" t="str">
        <x:v>Pale Flesh по нижнему краю века</x:v>
      </x:c>
      <x:c r="J401" s="89" t="str">
        <x:v>White точкой в глазу</x:v>
      </x:c>
      <x:c r="K401" s="89" t="str">
        <x:v>White микроточкой на мокром веке</x:v>
      </x:c>
      <x:c r="L401" s="89" t="str">
        <x:v>Очень слабый OSL вокруг глазницы</x:v>
      </x:c>
      <x:c r="M401" s="89" t="str">
        <x:v>Matt кожа; Gloss глаз и край века</x:v>
      </x:c>
      <x:c r="N401" s="90" t="str">
        <x:v>Высокая</x:v>
      </x:c>
      <x:c r="O401" s="89" t="str">
        <x:v>Веко остаётся частью кожи и не должно светиться целиком. Глянцевый ободок отделяет влажную органику от матовой кожи.</x:v>
      </x:c>
      <x:c r="P401" s="89" t="str">
        <x:v>Крупный монстр — рабочая техника</x:v>
      </x:c>
      <x:c r="Q401" s="89" t="str">
        <x:v>Рецепт собран из проверенных материалов и процессов базы и рассчитан на крупную форму.</x:v>
      </x:c>
    </x:row>
    <x:row r="402">
      <x:c r="A402" s="90" t="n">
        <x:v>398</x:v>
      </x:c>
      <x:c r="B402" s="580" t="str">
        <x:v>Монстры и демоны</x:v>
      </x:c>
      <x:c r="C402" s="580" t="str">
        <x:v>Глубокая пасть крупного демона</x:v>
      </x:c>
      <x:c r="D402" s="89" t="str">
        <x:v>Тёмная полость → влажные внутренние света</x:v>
      </x:c>
      <x:c r="E402" s="89" t="str">
        <x:v>Black Primer в глубине пасти</x:v>
      </x:c>
      <x:c r="F402" s="89" t="str">
        <x:v>AK Black + Gal Vorbak Red 1:1</x:v>
      </x:c>
      <x:c r="G402" s="89" t="str">
        <x:v>Druchii Violet в самых глубоких местах</x:v>
      </x:c>
      <x:c r="H402" s="89" t="str">
        <x:v>Gory Red</x:v>
      </x:c>
      <x:c r="I402" s="89" t="str">
        <x:v>AK Sickly Pink</x:v>
      </x:c>
      <x:c r="J402" s="89" t="str">
        <x:v>Pink Horror</x:v>
      </x:c>
      <x:c r="K402" s="89" t="str">
        <x:v>Pale Flesh точечно</x:v>
      </x:c>
      <x:c r="L402" s="89" t="str">
        <x:v>Carroburg Crimson как объединяющая glaze</x:v>
      </x:c>
      <x:c r="M402" s="89" t="str">
        <x:v>Matt в глубине; Satin/Gloss на языке и дёснах</x:v>
      </x:c>
      <x:c r="N402" s="90" t="str">
        <x:v>Средняя</x:v>
      </x:c>
      <x:c r="O402" s="89" t="str">
        <x:v>Самая глубокая часть почти чёрная. Розовые света концентрируются на языке, дёснах и краях губ, а не равномерно внутри всей пасти.</x:v>
      </x:c>
      <x:c r="P402" s="89" t="str">
        <x:v>Крупный монстр — рабочая техника</x:v>
      </x:c>
      <x:c r="Q402" s="89" t="str">
        <x:v>Рецепт собран из проверенных материалов и процессов базы и рассчитан на крупную форму.</x:v>
      </x:c>
    </x:row>
    <x:row r="403">
      <x:c r="A403" s="90" t="n">
        <x:v>399</x:v>
      </x:c>
      <x:c r="B403" s="580" t="str">
        <x:v>Монстры и демоны</x:v>
      </x:c>
      <x:c r="C403" s="580" t="str">
        <x:v>Слюна и влажные нити без прозрачной смолы</x:v>
      </x:c>
      <x:c r="D403" s="89" t="str">
        <x:v>Нарисованный блик + локальный Gloss</x:v>
      </x:c>
      <x:c r="E403" s="89" t="str">
        <x:v>Готовая пасть</x:v>
      </x:c>
      <x:c r="F403" s="89" t="str">
        <x:v>Pallid Wych Flesh очень тонкими линиями</x:v>
      </x:c>
      <x:c r="G403" s="89" t="str">
        <x:v>White меньшей линией внутри</x:v>
      </x:c>
      <x:c r="H403" s="89" t="str">
        <x:v>White микроточками на концах</x:v>
      </x:c>
      <x:c r="I403" s="89" t="str">
        <x:v>Gloss Varnish по линиям</x:v>
      </x:c>
      <x:c r="J403" s="89" t="str">
        <x:v>Blood/Viscera Effect у основания при необходимости</x:v>
      </x:c>
      <x:c r="K403" s="89" t="str">
        <x:v>—</x:v>
      </x:c>
      <x:c r="L403" s="89" t="str">
        <x:v>—</x:v>
      </x:c>
      <x:c r="M403" s="89" t="str">
        <x:v>Локальный Gloss</x:v>
      </x:c>
      <x:c r="N403" s="90" t="str">
        <x:v>Высокая</x:v>
      </x:c>
      <x:c r="O403" s="89" t="str">
        <x:v>Без физической нити эффект лучше делать короткими бликами по губам, зубам и языку. Длинные белые линии без объёма выглядят как царапины.</x:v>
      </x:c>
      <x:c r="P403" s="89" t="str">
        <x:v>Крупный монстр — рабочая техника</x:v>
      </x:c>
      <x:c r="Q403" s="89" t="str">
        <x:v>Рецепт собран из проверенных материалов и процессов базы и рассчитан на крупную форму.</x:v>
      </x:c>
    </x:row>
    <x:row r="404">
      <x:c r="A404" s="90" t="n">
        <x:v>400</x:v>
      </x:c>
      <x:c r="B404" s="580" t="str">
        <x:v>Монстры и демоны</x:v>
      </x:c>
      <x:c r="C404" s="580" t="str">
        <x:v>Зубы с живыми дёснами</x:v>
      </x:c>
      <x:c r="D404" s="89" t="str">
        <x:v>Кость + органическая граница</x:v>
      </x:c>
      <x:c r="E404" s="89" t="str">
        <x:v>Black Primer</x:v>
      </x:c>
      <x:c r="F404" s="89" t="str">
        <x:v>Rakarth Flesh</x:v>
      </x:c>
      <x:c r="G404" s="89" t="str">
        <x:v>Skeleton Horde в основании зубов</x:v>
      </x:c>
      <x:c r="H404" s="89" t="str">
        <x:v>Screaming Skull</x:v>
      </x:c>
      <x:c r="I404" s="89" t="str">
        <x:v>Flayed One Flesh</x:v>
      </x:c>
      <x:c r="J404" s="89" t="str">
        <x:v>Pallid Wych Flesh</x:v>
      </x:c>
      <x:c r="K404" s="89" t="str">
        <x:v>White точечно</x:v>
      </x:c>
      <x:c r="L404" s="89" t="str">
        <x:v>Carroburg Crimson вокруг основания; Blood локально на повреждённых дёснах</x:v>
      </x:c>
      <x:c r="M404" s="89" t="str">
        <x:v>Matt зубы; локальный Satin на дёснах</x:v>
      </x:c>
      <x:c r="N404" s="90" t="str">
        <x:v>Средняя</x:v>
      </x:c>
      <x:c r="O404" s="89" t="str">
        <x:v>Основание зуба темнее и теплее кончика. Белый используется только на наиболее острых и чистых зубах.</x:v>
      </x:c>
      <x:c r="P404" s="89" t="str">
        <x:v>Крупный монстр — рабочая техника</x:v>
      </x:c>
      <x:c r="Q404" s="89" t="str">
        <x:v>Рецепт собран из проверенных материалов и процессов базы и рассчитан на крупную форму.</x:v>
      </x:c>
    </x:row>
    <x:row r="405">
      <x:c r="A405" s="90" t="n">
        <x:v>401</x:v>
      </x:c>
      <x:c r="B405" s="581" t="str">
        <x:v>Переходы материалов</x:v>
      </x:c>
      <x:c r="C405" s="581" t="str">
        <x:v>Воспалённый корень рога</x:v>
      </x:c>
      <x:c r="D405" s="89" t="str">
        <x:v>Кожа → красный ободок → рог</x:v>
      </x:c>
      <x:c r="E405" s="89" t="str">
        <x:v>Законченная кожа</x:v>
      </x:c>
      <x:c r="F405" s="89" t="str">
        <x:v>Carroburg Crimson 1:8 вокруг основания</x:v>
      </x:c>
      <x:c r="G405" s="89" t="str">
        <x:v>AK Sickly Pink меньшим ободком</x:v>
      </x:c>
      <x:c r="H405" s="89" t="str">
        <x:v>Rhinox Hide у самого рога</x:v>
      </x:c>
      <x:c r="I405" s="89" t="str">
        <x:v>Основной цвет рога</x:v>
      </x:c>
      <x:c r="J405" s="89" t="str">
        <x:v>Света рога по рецепту 163</x:v>
      </x:c>
      <x:c r="K405" s="89" t="str">
        <x:v>Pale Flesh точечно на натянутой коже</x:v>
      </x:c>
      <x:c r="L405" s="89" t="str">
        <x:v>Общий skin glaze по внешнему краю воспаления</x:v>
      </x:c>
      <x:c r="M405" s="89" t="str">
        <x:v>Matt кожа/рог; Satin в раздражённой зоне</x:v>
      </x:c>
      <x:c r="N405" s="90" t="str">
        <x:v>Высокая</x:v>
      </x:c>
      <x:c r="O405" s="89" t="str">
        <x:v>Красный ободок следует месту натяжения кожи и не образует ровное декоративное кольцо вокруг каждого рога.</x:v>
      </x:c>
      <x:c r="P405" s="89" t="str">
        <x:v>Переход материалов — тест</x:v>
      </x:c>
      <x:c r="Q405" s="89" t="str">
        <x:v>Ключевой результат зависит от плавной смены цвета, фактуры и локального финиша на конкретной геометрии.</x:v>
      </x:c>
    </x:row>
    <x:row r="406">
      <x:c r="A406" s="90" t="n">
        <x:v>402</x:v>
      </x:c>
      <x:c r="B406" s="580" t="str">
        <x:v>Монстры и демоны</x:v>
      </x:c>
      <x:c r="C406" s="580" t="str">
        <x:v>Крупные рога с продольной структурой</x:v>
      </x:c>
      <x:c r="D406" s="89" t="str">
        <x:v>Градиент + борозды</x:v>
      </x:c>
      <x:c r="E406" s="89" t="str">
        <x:v>Black Primer</x:v>
      </x:c>
      <x:c r="F406" s="89" t="str">
        <x:v>Rhinox Hide у корня</x:v>
      </x:c>
      <x:c r="G406" s="89" t="str">
        <x:v>Gorthor Brown продольными полосами</x:v>
      </x:c>
      <x:c r="H406" s="89" t="str">
        <x:v>Baneblade Brown</x:v>
      </x:c>
      <x:c r="I406" s="89" t="str">
        <x:v>Karak Stone</x:v>
      </x:c>
      <x:c r="J406" s="89" t="str">
        <x:v>Pale Sand</x:v>
      </x:c>
      <x:c r="K406" s="89" t="str">
        <x:v>Pallid Wych Flesh на кончике</x:v>
      </x:c>
      <x:c r="L406" s="89" t="str">
        <x:v>Agrax Earthshade в борозды</x:v>
      </x:c>
      <x:c r="M406" s="89" t="str">
        <x:v>Matt Varnish</x:v>
      </x:c>
      <x:c r="N406" s="90" t="str">
        <x:v>Средняя</x:v>
      </x:c>
      <x:c r="O406" s="89" t="str">
        <x:v>Продольные линии слегка изгибаются по форме и прерываются. Поперечные кольца добавляются реже и не должны превращать рог в равномерную лестницу.</x:v>
      </x:c>
      <x:c r="P406" s="89" t="str">
        <x:v>Крупный монстр — рабочая техника</x:v>
      </x:c>
      <x:c r="Q406" s="89" t="str">
        <x:v>Рецепт собран из проверенных материалов и процессов базы и рассчитан на крупную форму.</x:v>
      </x:c>
    </x:row>
    <x:row r="407">
      <x:c r="A407" s="90" t="n">
        <x:v>403</x:v>
      </x:c>
      <x:c r="B407" s="581" t="str">
        <x:v>Переходы материалов</x:v>
      </x:c>
      <x:c r="C407" s="581" t="str">
        <x:v>Коготь от живой ткани к чёрному кончику</x:v>
      </x:c>
      <x:c r="D407" s="89" t="str">
        <x:v>Полупрозрачный градиент</x:v>
      </x:c>
      <x:c r="E407" s="89" t="str">
        <x:v>Законченная кожа пальца</x:v>
      </x:c>
      <x:c r="F407" s="89" t="str">
        <x:v>Rakarth Flesh у основания когтя</x:v>
      </x:c>
      <x:c r="G407" s="89" t="str">
        <x:v>Snakebite Leather 1:3 с Contrast Medium в среднюю часть</x:v>
      </x:c>
      <x:c r="H407" s="89" t="str">
        <x:v>Rhinox Hide ближе к кончику</x:v>
      </x:c>
      <x:c r="I407" s="89" t="str">
        <x:v>AK Black на самом конце</x:v>
      </x:c>
      <x:c r="J407" s="89" t="str">
        <x:v>Pale Sand по верхней отражённой кромке</x:v>
      </x:c>
      <x:c r="K407" s="89" t="str">
        <x:v>White микроточкой</x:v>
      </x:c>
      <x:c r="L407" s="89" t="str">
        <x:v>Agrax Earthshade в границе кожи и когтя</x:v>
      </x:c>
      <x:c r="M407" s="89" t="str">
        <x:v>Satin Varnish</x:v>
      </x:c>
      <x:c r="N407" s="90" t="str">
        <x:v>Средняя</x:v>
      </x:c>
      <x:c r="O407" s="89" t="str">
        <x:v>Светлая отражённая линия проходит по когтю независимо от того, что основной цвет темнеет к кончику.</x:v>
      </x:c>
      <x:c r="P407" s="89" t="str">
        <x:v>Переход материалов — тест</x:v>
      </x:c>
      <x:c r="Q407" s="89" t="str">
        <x:v>Ключевой результат зависит от плавной смены цвета, фактуры и локального финиша на конкретной геометрии.</x:v>
      </x:c>
    </x:row>
    <x:row r="408">
      <x:c r="A408" s="90" t="n">
        <x:v>404</x:v>
      </x:c>
      <x:c r="B408" s="580" t="str">
        <x:v>Монстры и демоны</x:v>
      </x:c>
      <x:c r="C408" s="580" t="str">
        <x:v>Толщина перепонки крыла</x:v>
      </x:c>
      <x:c r="D408" s="89" t="str">
        <x:v>Тёмный каркас + светлый центр сегментов</x:v>
      </x:c>
      <x:c r="E408" s="89" t="str">
        <x:v>Black Primer → Grey Seer zenithal</x:v>
      </x:c>
      <x:c r="F408" s="89" t="str">
        <x:v>Основной цвет перепонки</x:v>
      </x:c>
      <x:c r="G408" s="89" t="str">
        <x:v>Тёмный Contrast по краям и у пальцев крыла</x:v>
      </x:c>
      <x:c r="H408" s="89" t="str">
        <x:v>Средний цвет сегмента</x:v>
      </x:c>
      <x:c r="I408" s="89" t="str">
        <x:v>Светлый skin tone в центре</x:v>
      </x:c>
      <x:c r="J408" s="89" t="str">
        <x:v>Pale Flesh на тончайших местах</x:v>
      </x:c>
      <x:c r="K408" s="89" t="str">
        <x:v>White Grey по верхним жилкам</x:v>
      </x:c>
      <x:c r="L408" s="89" t="str">
        <x:v>Прозрачный основной цвет 1:8 для объединения</x:v>
      </x:c>
      <x:c r="M408" s="89" t="str">
        <x:v>Satin Varnish</x:v>
      </x:c>
      <x:c r="N408" s="90" t="str">
        <x:v>Высокая</x:v>
      </x:c>
      <x:c r="O408" s="89" t="str">
        <x:v>Перепонка темнее у костяного каркаса и внешних краёв, светлее в центре натянутых сегментов — это передаёт различную оптическую толщину.</x:v>
      </x:c>
      <x:c r="P408" s="89" t="str">
        <x:v>Продвинутая поверхность — тест</x:v>
      </x:c>
      <x:c r="Q408" s="89" t="str">
        <x:v>Техника требует нескольких тонких слоёв и проверки масштаба фактуры на отдельном сегменте.</x:v>
      </x:c>
    </x:row>
    <x:row r="409">
      <x:c r="A409" s="90" t="n">
        <x:v>405</x:v>
      </x:c>
      <x:c r="B409" s="580" t="str">
        <x:v>Монстры и демоны</x:v>
      </x:c>
      <x:c r="C409" s="580" t="str">
        <x:v>Полупрозрачные жилки крыла</x:v>
      </x:c>
      <x:c r="D409" s="89" t="str">
        <x:v>Тёмная линия под светлой glaze</x:v>
      </x:c>
      <x:c r="E409" s="89" t="str">
        <x:v>Рецепт 404 завершён</x:v>
      </x:c>
      <x:c r="F409" s="89" t="str">
        <x:v>Dark Prussian Blue, Phoenician Purple или Deep Brown тонкими жилками</x:v>
      </x:c>
      <x:c r="G409" s="89" t="str">
        <x:v>Основной цвет перепонки + Medium 1:6 поверх жилок</x:v>
      </x:c>
      <x:c r="H409" s="89" t="str">
        <x:v>Вернуть White Grey на верхних гребнях</x:v>
      </x:c>
      <x:c r="I409" s="89" t="str">
        <x:v>Pale Flesh вокруг крупных сосудов</x:v>
      </x:c>
      <x:c r="J409" s="89" t="str">
        <x:v>—</x:v>
      </x:c>
      <x:c r="K409" s="89" t="str">
        <x:v>—</x:v>
      </x:c>
      <x:c r="L409" s="89" t="str">
        <x:v>Dreadful Visage/Frostheart сверхтонко по отдельным сегментам</x:v>
      </x:c>
      <x:c r="M409" s="89" t="str">
        <x:v>Satin Varnish</x:v>
      </x:c>
      <x:c r="N409" s="90" t="str">
        <x:v>Высокая</x:v>
      </x:c>
      <x:c r="O409" s="89" t="str">
        <x:v>Жилки частично перекрываются цветом перепонки и выглядят находящимися внутри материала, а не нарисованными сверху.</x:v>
      </x:c>
      <x:c r="P409" s="89" t="str">
        <x:v>Продвинутая поверхность — тест</x:v>
      </x:c>
      <x:c r="Q409" s="89" t="str">
        <x:v>Техника требует нескольких тонких слоёв и проверки масштаба фактуры на отдельном сегменте.</x:v>
      </x:c>
    </x:row>
    <x:row r="410">
      <x:c r="A410" s="90" t="n">
        <x:v>406</x:v>
      </x:c>
      <x:c r="B410" s="581" t="str">
        <x:v>Переходы материалов</x:v>
      </x:c>
      <x:c r="C410" s="581" t="str">
        <x:v>Кожа корпуса в перепонку крыла</x:v>
      </x:c>
      <x:c r="D410" s="89" t="str">
        <x:v>Общий андертон + смена фактуры</x:v>
      </x:c>
      <x:c r="E410" s="89" t="str">
        <x:v>Законченная кожа корпуса</x:v>
      </x:c>
      <x:c r="F410" s="89" t="str">
        <x:v>Повторить основной skin tone у корня крыла</x:v>
      </x:c>
      <x:c r="G410" s="89" t="str">
        <x:v>Постепенно добавить цвет перепонки в смесь 3:1 → 1:1 → 1:3</x:v>
      </x:c>
      <x:c r="H410" s="89" t="str">
        <x:v>На перепонке перейти к гладкой glaze</x:v>
      </x:c>
      <x:c r="I410" s="89" t="str">
        <x:v>На коже сохранить stippling</x:v>
      </x:c>
      <x:c r="J410" s="89" t="str">
        <x:v>Общий свет пройти через обе зоны</x:v>
      </x:c>
      <x:c r="K410" s="89" t="str">
        <x:v>—</x:v>
      </x:c>
      <x:c r="L410" s="89" t="str">
        <x:v>Тонкий цвет перепонки по границе</x:v>
      </x:c>
      <x:c r="M410" s="89" t="str">
        <x:v>Matt кожа → Satin перепонка</x:v>
      </x:c>
      <x:c r="N410" s="90" t="str">
        <x:v>Очень высокая</x:v>
      </x:c>
      <x:c r="O410" s="89" t="str">
        <x:v>Переход создаётся одновременно цветом и фактурой: кожа остаётся матовой и точечной, перепонка — более гладкой и полупрозрачной.</x:v>
      </x:c>
      <x:c r="P410" s="89" t="str">
        <x:v>Переход материалов — тест</x:v>
      </x:c>
      <x:c r="Q410" s="89" t="str">
        <x:v>Ключевой результат зависит от плавной смены цвета, фактуры и локального финиша на конкретной геометрии.</x:v>
      </x:c>
    </x:row>
    <x:row r="411">
      <x:c r="A411" s="90" t="n">
        <x:v>407</x:v>
      </x:c>
      <x:c r="B411" s="581" t="str">
        <x:v>Переходы материалов</x:v>
      </x:c>
      <x:c r="C411" s="581" t="str">
        <x:v>Вросшая броня в плоть</x:v>
      </x:c>
      <x:c r="D411" s="89" t="str">
        <x:v>Металл → воспалённая кожа → обычная кожа</x:v>
      </x:c>
      <x:c r="E411" s="89" t="str">
        <x:v>Броня и кожа окрашены отдельно</x:v>
      </x:c>
      <x:c r="F411" s="89" t="str">
        <x:v>Carroburg Crimson вокруг места врастания</x:v>
      </x:c>
      <x:c r="G411" s="89" t="str">
        <x:v>Gory Red в глубоких разрывах</x:v>
      </x:c>
      <x:c r="H411" s="89" t="str">
        <x:v>AK Sickly Pink по натянутому краю</x:v>
      </x:c>
      <x:c r="I411" s="89" t="str">
        <x:v>Основной skin tone снаружи</x:v>
      </x:c>
      <x:c r="J411" s="89" t="str">
        <x:v>Pale Flesh на поднятом крае кожи</x:v>
      </x:c>
      <x:c r="K411" s="89" t="str">
        <x:v>Metal highlight на трущейся кромке</x:v>
      </x:c>
      <x:c r="L411" s="89" t="str">
        <x:v>Умбра жжёная pin-wash в стык</x:v>
      </x:c>
      <x:c r="M411" s="89" t="str">
        <x:v>Metal Varnish на броне; Matt/Gloss органика локально</x:v>
      </x:c>
      <x:c r="N411" s="90" t="str">
        <x:v>Высокая</x:v>
      </x:c>
      <x:c r="O411" s="89" t="str">
        <x:v>Металл не получает общий красный фильтр. Воспаление относится к коже, а броня сохраняет собственный блеск и отражения.</x:v>
      </x:c>
      <x:c r="P411" s="89" t="str">
        <x:v>Переход материалов — тест</x:v>
      </x:c>
      <x:c r="Q411" s="89" t="str">
        <x:v>Ключевой результат зависит от плавной смены цвета, фактуры и локального финиша на конкретной геометрии.</x:v>
      </x:c>
    </x:row>
    <x:row r="412">
      <x:c r="A412" s="90" t="n">
        <x:v>408</x:v>
      </x:c>
      <x:c r="B412" s="580" t="str">
        <x:v>Монстры и демоны</x:v>
      </x:c>
      <x:c r="C412" s="580" t="str">
        <x:v>Хитиновые пластины на коже</x:v>
      </x:c>
      <x:c r="D412" s="89" t="str">
        <x:v>Резкий материал без металлического блеска</x:v>
      </x:c>
      <x:c r="E412" s="89" t="str">
        <x:v>Black Primer</x:v>
      </x:c>
      <x:c r="F412" s="89" t="str">
        <x:v>Black Lotus + Xpress Medium 1:1 или Incubi Darkness</x:v>
      </x:c>
      <x:c r="G412" s="89" t="str">
        <x:v>Shyish Purple/Akhelian Green в теневую сторону</x:v>
      </x:c>
      <x:c r="H412" s="89" t="str">
        <x:v>Phoenician Purple/Kabalite Green</x:v>
      </x:c>
      <x:c r="I412" s="89" t="str">
        <x:v>Genestealer Purple/Sybarite Green</x:v>
      </x:c>
      <x:c r="J412" s="89" t="str">
        <x:v>White Grey узкой отражённой линией</x:v>
      </x:c>
      <x:c r="K412" s="89" t="str">
        <x:v>White точечно</x:v>
      </x:c>
      <x:c r="L412" s="89" t="str">
        <x:v>Violet/Blue Ink 1:12 как glaze</x:v>
      </x:c>
      <x:c r="M412" s="89" t="str">
        <x:v>Satin или Gloss</x:v>
      </x:c>
      <x:c r="N412" s="90" t="str">
        <x:v>Высокая</x:v>
      </x:c>
      <x:c r="O412" s="89" t="str">
        <x:v>Хитин отличается от кожи гладкими отражениями, резкой границей пластин и более глянцевым финишем.</x:v>
      </x:c>
      <x:c r="P412" s="89" t="str">
        <x:v>Продвинутая поверхность — тест</x:v>
      </x:c>
      <x:c r="Q412" s="89" t="str">
        <x:v>Техника требует нескольких тонких слоёв и проверки масштаба фактуры на отдельном сегменте.</x:v>
      </x:c>
    </x:row>
    <x:row r="413">
      <x:c r="A413" s="90" t="n">
        <x:v>409</x:v>
      </x:c>
      <x:c r="B413" s="580" t="str">
        <x:v>Монстры и демоны</x:v>
      </x:c>
      <x:c r="C413" s="580" t="str">
        <x:v>Обугленная кожа</x:v>
      </x:c>
      <x:c r="D413" s="89" t="str">
        <x:v>Чёрный край → красно-коричневый переход</x:v>
      </x:c>
      <x:c r="E413" s="89" t="str">
        <x:v>Законченная кожа</x:v>
      </x:c>
      <x:c r="F413" s="89" t="str">
        <x:v>AK Black на самой повреждённой зоне</x:v>
      </x:c>
      <x:c r="G413" s="89" t="str">
        <x:v>Corvus Black по внешнему краю</x:v>
      </x:c>
      <x:c r="H413" s="89" t="str">
        <x:v>AK Deep Brown</x:v>
      </x:c>
      <x:c r="I413" s="89" t="str">
        <x:v>AK Burnt Umber</x:v>
      </x:c>
      <x:c r="J413" s="89" t="str">
        <x:v>Gory Red на свежих трещинах</x:v>
      </x:c>
      <x:c r="K413" s="89" t="str">
        <x:v>Pale Flesh по поднятым краям</x:v>
      </x:c>
      <x:c r="L413" s="89" t="str">
        <x:v>Сажа газовая по Satin Varnish для мягкой копоти</x:v>
      </x:c>
      <x:c r="M413" s="89" t="str">
        <x:v>Matt обугливание; локальный Gloss в свежих трещинах</x:v>
      </x:c>
      <x:c r="N413" s="90" t="str">
        <x:v>Высокая</x:v>
      </x:c>
      <x:c r="O413" s="89" t="str">
        <x:v>Чёрная зона должна быть мала и окружена коричнево-красным переходом. Сплошное чёрное пятно выглядит как обычная краска.</x:v>
      </x:c>
      <x:c r="P413" s="89" t="str">
        <x:v>Крупный монстр — рабочая техника</x:v>
      </x:c>
      <x:c r="Q413" s="89" t="str">
        <x:v>Рецепт собран из проверенных материалов и процессов базы и рассчитан на крупную форму.</x:v>
      </x:c>
    </x:row>
    <x:row r="414">
      <x:c r="A414" s="90" t="n">
        <x:v>410</x:v>
      </x:c>
      <x:c r="B414" s="580" t="str">
        <x:v>Монстры и демоны</x:v>
      </x:c>
      <x:c r="C414" s="580" t="str">
        <x:v>Светящиеся трещины под кожей</x:v>
      </x:c>
      <x:c r="D414" s="89" t="str">
        <x:v>Белая сердцевина + цветный ореол</x:v>
      </x:c>
      <x:c r="E414" s="89" t="str">
        <x:v>Готовая кожа</x:v>
      </x:c>
      <x:c r="F414" s="89" t="str">
        <x:v>White Grey тонкими ветвящимися линиями</x:v>
      </x:c>
      <x:c r="G414" s="89" t="str">
        <x:v>White в центральных участках</x:v>
      </x:c>
      <x:c r="H414" s="89" t="str">
        <x:v>Выбранный Contrast/Fluorescent по линиям</x:v>
      </x:c>
      <x:c r="I414" s="89" t="str">
        <x:v>Тот же цвет + Medium 1:8 вокруг трещин</x:v>
      </x:c>
      <x:c r="J414" s="89" t="str">
        <x:v>Вернуть skin tone по внешнему краю ореола</x:v>
      </x:c>
      <x:c r="K414" s="89" t="str">
        <x:v>White точками в узлах</x:v>
      </x:c>
      <x:c r="L414" s="89" t="str">
        <x:v>—</x:v>
      </x:c>
      <x:c r="M414" s="89" t="str">
        <x:v>Matt кожа; Satin трещины</x:v>
      </x:c>
      <x:c r="N414" s="90" t="str">
        <x:v>Высокая</x:v>
      </x:c>
      <x:c r="O414" s="89" t="str">
        <x:v>Трещина остаётся резче и светлее ореола. Ореол быстро исчезает и не покрывает равномерно весь участок кожи.</x:v>
      </x:c>
      <x:c r="P414" s="89" t="str">
        <x:v>Продвинутая поверхность — тест</x:v>
      </x:c>
      <x:c r="Q414" s="89" t="str">
        <x:v>Техника требует нескольких тонких слоёв и проверки масштаба фактуры на отдельном сегменте.</x:v>
      </x:c>
    </x:row>
    <x:row r="415">
      <x:c r="A415" s="90" t="n">
        <x:v>411</x:v>
      </x:c>
      <x:c r="B415" s="580" t="str">
        <x:v>Монстры и демоны</x:v>
      </x:c>
      <x:c r="C415" s="580" t="str">
        <x:v>Старые ритуальные шрамы</x:v>
      </x:c>
      <x:c r="D415" s="89" t="str">
        <x:v>Светлый рубец + тёмная полость</x:v>
      </x:c>
      <x:c r="E415" s="89" t="str">
        <x:v>Законченная кожа</x:v>
      </x:c>
      <x:c r="F415" s="89" t="str">
        <x:v>Targor Rageshade или Dreadful Visage внутри шрама</x:v>
      </x:c>
      <x:c r="G415" s="89" t="str">
        <x:v>Rakarth Flesh по поднятому краю</x:v>
      </x:c>
      <x:c r="H415" s="89" t="str">
        <x:v>Pale Flesh меньшей линией</x:v>
      </x:c>
      <x:c r="I415" s="89" t="str">
        <x:v>Основной skin tone частично перекрывает края</x:v>
      </x:c>
      <x:c r="J415" s="89" t="str">
        <x:v>—</x:v>
      </x:c>
      <x:c r="K415" s="89" t="str">
        <x:v>—</x:v>
      </x:c>
      <x:c r="L415" s="89" t="str">
        <x:v>Carroburg Crimson 1:15 только у раздражённых участков</x:v>
      </x:c>
      <x:c r="M415" s="89" t="str">
        <x:v>Matt Varnish</x:v>
      </x:c>
      <x:c r="N415" s="90" t="str">
        <x:v>Средняя</x:v>
      </x:c>
      <x:c r="O415" s="89" t="str">
        <x:v>Старые шрамы светлее кожи, но не ярко-розовые. Глубокие части темнее и холоднее поднятых рубцов.</x:v>
      </x:c>
      <x:c r="P415" s="89" t="str">
        <x:v>Крупный монстр — рабочая техника</x:v>
      </x:c>
      <x:c r="Q415" s="89" t="str">
        <x:v>Рецепт собран из проверенных материалов и процессов базы и рассчитан на крупную форму.</x:v>
      </x:c>
    </x:row>
    <x:row r="416">
      <x:c r="A416" s="90" t="n">
        <x:v>412</x:v>
      </x:c>
      <x:c r="B416" s="580" t="str">
        <x:v>Монстры и демоны</x:v>
      </x:c>
      <x:c r="C416" s="580" t="str">
        <x:v>Гнойники и воспалённые наросты</x:v>
      </x:c>
      <x:c r="D416" s="89" t="str">
        <x:v>Жёлто-розовый внутренний объём</x:v>
      </x:c>
      <x:c r="E416" s="89" t="str">
        <x:v>Законченная кожа</x:v>
      </x:c>
      <x:c r="F416" s="89" t="str">
        <x:v>Carroburg Crimson вокруг основания</x:v>
      </x:c>
      <x:c r="G416" s="89" t="str">
        <x:v>AK Sickly Pink</x:v>
      </x:c>
      <x:c r="H416" s="89" t="str">
        <x:v>Plaguebearer Flesh</x:v>
      </x:c>
      <x:c r="I416" s="89" t="str">
        <x:v>Pale Sand</x:v>
      </x:c>
      <x:c r="J416" s="89" t="str">
        <x:v>White точечно</x:v>
      </x:c>
      <x:c r="K416" s="89" t="str">
        <x:v>Nurgle's Rot минимально на вскрывшихся участках</x:v>
      </x:c>
      <x:c r="L416" s="89" t="str">
        <x:v>Reikland Fleshshade Gloss очень локально на натянутой влажной коже</x:v>
      </x:c>
      <x:c r="M416" s="89" t="str">
        <x:v>Matt кожа; локальный Gloss</x:v>
      </x:c>
      <x:c r="N416" s="90" t="str">
        <x:v>Высокая</x:v>
      </x:c>
      <x:c r="O416" s="89" t="str">
        <x:v>Глянцевый Shade используется только на натянутой влажной вершине, а не по всей окружающей коже.</x:v>
      </x:c>
      <x:c r="P416" s="89" t="str">
        <x:v>Продвинутая поверхность — тест</x:v>
      </x:c>
      <x:c r="Q416" s="89" t="str">
        <x:v>Техника требует нескольких тонких слоёв и проверки масштаба фактуры на отдельном сегменте.</x:v>
      </x:c>
    </x:row>
    <x:row r="417">
      <x:c r="A417" s="90" t="n">
        <x:v>413</x:v>
      </x:c>
      <x:c r="B417" s="580" t="str">
        <x:v>Монстры и демоны</x:v>
      </x:c>
      <x:c r="C417" s="580" t="str">
        <x:v>Нерегулярные чешуйчатые пятна</x:v>
      </x:c>
      <x:c r="D417" s="89" t="str">
        <x:v>Кластеры трёх размеров</x:v>
      </x:c>
      <x:c r="E417" s="89" t="str">
        <x:v>Готовая кожа</x:v>
      </x:c>
      <x:c r="F417" s="89" t="str">
        <x:v>Тёмный цвет чешуи крупными кластерами</x:v>
      </x:c>
      <x:c r="G417" s="89" t="str">
        <x:v>Средний цвет меньшими пластинами внутри</x:v>
      </x:c>
      <x:c r="H417" s="89" t="str">
        <x:v>Светлый цвет на верхних краях</x:v>
      </x:c>
      <x:c r="I417" s="89" t="str">
        <x:v>Pale Sand/White Grey на фокусных пластинах</x:v>
      </x:c>
      <x:c r="J417" s="89" t="str">
        <x:v>—</x:v>
      </x:c>
      <x:c r="K417" s="89" t="str">
        <x:v>—</x:v>
      </x:c>
      <x:c r="L417" s="89" t="str">
        <x:v>Общий skin glaze вокруг кластеров</x:v>
      </x:c>
      <x:c r="M417" s="89" t="str">
        <x:v>Matt кожа; Satin чешуя</x:v>
      </x:c>
      <x:c r="N417" s="90" t="str">
        <x:v>Высокая</x:v>
      </x:c>
      <x:c r="O417" s="89" t="str">
        <x:v>Кластеры различаются размером и направлением. Не заполнять одинаковыми чешуйками всю кожу — крупные гладкие зоны нужны для отдыха глаза.</x:v>
      </x:c>
      <x:c r="P417" s="89" t="str">
        <x:v>Продвинутая поверхность — тест</x:v>
      </x:c>
      <x:c r="Q417" s="89" t="str">
        <x:v>Техника требует нескольких тонких слоёв и проверки масштаба фактуры на отдельном сегменте.</x:v>
      </x:c>
    </x:row>
    <x:row r="418">
      <x:c r="A418" s="90" t="n">
        <x:v>414</x:v>
      </x:c>
      <x:c r="B418" s="580" t="str">
        <x:v>Монстры и демоны</x:v>
      </x:c>
      <x:c r="C418" s="580" t="str">
        <x:v>Светлое брюхо крупного монстра</x:v>
      </x:c>
      <x:c r="D418" s="89" t="str">
        <x:v>Countershading + общий свет</x:v>
      </x:c>
      <x:c r="E418" s="89" t="str">
        <x:v>Основная кожа корпуса</x:v>
      </x:c>
      <x:c r="F418" s="89" t="str">
        <x:v>Смешать основной skin tone с Rakarth Flesh 1:1 на нижней стороне</x:v>
      </x:c>
      <x:c r="G418" s="89" t="str">
        <x:v>Deepkin Flesh ближе к центру брюха</x:v>
      </x:c>
      <x:c r="H418" s="89" t="str">
        <x:v>Pale Flesh</x:v>
      </x:c>
      <x:c r="I418" s="89" t="str">
        <x:v>Pallid Wych Flesh на наиболее натянутых участках</x:v>
      </x:c>
      <x:c r="J418" s="89" t="str">
        <x:v>—</x:v>
      </x:c>
      <x:c r="K418" s="89" t="str">
        <x:v>—</x:v>
      </x:c>
      <x:c r="L418" s="89" t="str">
        <x:v>Основной skin glaze по боковой границе</x:v>
      </x:c>
      <x:c r="M418" s="89" t="str">
        <x:v>Matt Varnish</x:v>
      </x:c>
      <x:c r="N418" s="90" t="str">
        <x:v>Высокая</x:v>
      </x:c>
      <x:c r="O418" s="89" t="str">
        <x:v>Светлое брюхо является локальной окраской, но общий направленный свет продолжает работать поверх него; нижняя сторона не должна стать ярче верхней.</x:v>
      </x:c>
      <x:c r="P418" s="89" t="str">
        <x:v>Крупный монстр — рабочая техника</x:v>
      </x:c>
      <x:c r="Q418" s="89" t="str">
        <x:v>Рецепт собран из проверенных материалов и процессов базы и рассчитан на крупную форму.</x:v>
      </x:c>
    </x:row>
    <x:row r="419">
      <x:c r="A419" s="90" t="n">
        <x:v>415</x:v>
      </x:c>
      <x:c r="B419" s="581" t="str">
        <x:v>Переходы материалов</x:v>
      </x:c>
      <x:c r="C419" s="581" t="str">
        <x:v>Металлические украшения на живой коже</x:v>
      </x:c>
      <x:c r="D419" s="89" t="str">
        <x:v>Чистый металл + локальная реакция кожи</x:v>
      </x:c>
      <x:c r="E419" s="89" t="str">
        <x:v>Законченная кожа</x:v>
      </x:c>
      <x:c r="F419" s="89" t="str">
        <x:v>Металл по выбранному TMM-рецепту</x:v>
      </x:c>
      <x:c r="G419" s="89" t="str">
        <x:v>Умбра жжёная pin-wash в крепления</x:v>
      </x:c>
      <x:c r="H419" s="89" t="str">
        <x:v>Carroburg Crimson вокруг проколов</x:v>
      </x:c>
      <x:c r="I419" s="89" t="str">
        <x:v>Pale Flesh на поднятой коже</x:v>
      </x:c>
      <x:c r="J419" s="89" t="str">
        <x:v>Metal highlight на верхней кромке</x:v>
      </x:c>
      <x:c r="K419" s="89" t="str">
        <x:v>—</x:v>
      </x:c>
      <x:c r="L419" s="89" t="str">
        <x:v>Blood for the Blood God только на свежих проколах</x:v>
      </x:c>
      <x:c r="M419" s="89" t="str">
        <x:v>Metal Varnish + Matt skin + local Gloss</x:v>
      </x:c>
      <x:c r="N419" s="90" t="str">
        <x:v>Средняя</x:v>
      </x:c>
      <x:c r="O419" s="89" t="str">
        <x:v>Украшение и кожа сохраняют разные финиши. Красный цвет появляется у прокола, а не покрывает весь металлический элемент.</x:v>
      </x:c>
      <x:c r="P419" s="89" t="str">
        <x:v>Переход материалов — тест</x:v>
      </x:c>
      <x:c r="Q419" s="89" t="str">
        <x:v>Ключевой результат зависит от плавной смены цвета, фактуры и локального финиша на конкретной геометрии.</x:v>
      </x:c>
    </x:row>
    <x:row r="420">
      <x:c r="A420" s="90" t="n">
        <x:v>416</x:v>
      </x:c>
      <x:c r="B420" s="580" t="str">
        <x:v>Монстры и демоны</x:v>
      </x:c>
      <x:c r="C420" s="580" t="str">
        <x:v>Цепи и оружие крупного демона</x:v>
      </x:c>
      <x:c r="D420" s="89" t="str">
        <x:v>Тёмный металл + износ + кровь</x:v>
      </x:c>
      <x:c r="E420" s="89" t="str">
        <x:v>Black Primer</x:v>
      </x:c>
      <x:c r="F420" s="89" t="str">
        <x:v>Iron Warriors или Black Metallic</x:v>
      </x:c>
      <x:c r="G420" s="89" t="str">
        <x:v>Nuln Oil/Серая Пейна pin-wash</x:v>
      </x:c>
      <x:c r="H420" s="89" t="str">
        <x:v>Ironbreaker по верхним звеньям</x:v>
      </x:c>
      <x:c r="I420" s="89" t="str">
        <x:v>Runefang Steel</x:v>
      </x:c>
      <x:c r="J420" s="89" t="str">
        <x:v>Vallejo Silver точечно</x:v>
      </x:c>
      <x:c r="K420" s="89" t="str">
        <x:v>AK Dark Rust на старых участках</x:v>
      </x:c>
      <x:c r="L420" s="89" t="str">
        <x:v>Gory Red/Blood for the Blood God по направлению контакта</x:v>
      </x:c>
      <x:c r="M420" s="89" t="str">
        <x:v>Metal Varnish; Matt rust; Gloss blood</x:v>
      </x:c>
      <x:c r="N420" s="90" t="str">
        <x:v>Средняя</x:v>
      </x:c>
      <x:c r="O420" s="89" t="str">
        <x:v>Верхние звенья и кромки светлее, нижние соединения темнее и ржавее. Кровь располагается только там, где цепь или оружие контактировали с плотью.</x:v>
      </x:c>
      <x:c r="P420" s="89" t="str">
        <x:v>Крупный монстр — рабочая техника</x:v>
      </x:c>
      <x:c r="Q420" s="89" t="str">
        <x:v>Рецепт собран из проверенных материалов и процессов базы и рассчитан на крупную форму.</x:v>
      </x:c>
    </x:row>
    <x:row r="421">
      <x:c r="A421" s="90" t="n">
        <x:v>417</x:v>
      </x:c>
      <x:c r="B421" s="580" t="str">
        <x:v>Монстры и демоны</x:v>
      </x:c>
      <x:c r="C421" s="580" t="str">
        <x:v>Пыль и грязь на нижней части крупной модели</x:v>
      </x:c>
      <x:c r="D421" s="89" t="str">
        <x:v>Аэрографный фильтр + stipple</x:v>
      </x:c>
      <x:c r="E421" s="89" t="str">
        <x:v>Законченная модель и база</x:v>
      </x:c>
      <x:c r="F421" s="89" t="str">
        <x:v>AK Dark Sand 1:5 аэрографом снизу</x:v>
      </x:c>
      <x:c r="G421" s="89" t="str">
        <x:v>AK Pale Sand меньшей зоной на выступах</x:v>
      </x:c>
      <x:c r="H421" s="89" t="str">
        <x:v>AK Deep Brown stippling в мокрых/тёмных местах</x:v>
      </x:c>
      <x:c r="I421" s="89" t="str">
        <x:v>Основной цвет модели вернуть на отдельные верхние кромки</x:v>
      </x:c>
      <x:c r="J421" s="89" t="str">
        <x:v>—</x:v>
      </x:c>
      <x:c r="K421" s="89" t="str">
        <x:v>—</x:v>
      </x:c>
      <x:c r="L421" s="89" t="str">
        <x:v>Умбра жжёная связывает ступни с землёй</x:v>
      </x:c>
      <x:c r="M421" s="89" t="str">
        <x:v>Matt; локальный Satin на влажной грязи</x:v>
      </x:c>
      <x:c r="N421" s="90" t="str">
        <x:v>Средняя</x:v>
      </x:c>
      <x:c r="O421" s="89" t="str">
        <x:v>Пыль быстро слабеет выше голеней и нижнего края крыльев. Она не должна покрывать лицо, плечи и верхние рога.</x:v>
      </x:c>
      <x:c r="P421" s="89" t="str">
        <x:v>Крупный монстр — рабочая техника</x:v>
      </x:c>
      <x:c r="Q421" s="89" t="str">
        <x:v>Рецепт собран из проверенных материалов и процессов базы и рассчитан на крупную форму.</x:v>
      </x:c>
    </x:row>
    <x:row r="422">
      <x:c r="A422" s="90" t="n">
        <x:v>418</x:v>
      </x:c>
      <x:c r="B422" s="580" t="str">
        <x:v>Монстры и демоны</x:v>
      </x:c>
      <x:c r="C422" s="580" t="str">
        <x:v>Цветовой bounce от подставки на демона</x:v>
      </x:c>
      <x:c r="D422" s="89" t="str">
        <x:v>Нижний отражённый фильтр</x:v>
      </x:c>
      <x:c r="E422" s="89" t="str">
        <x:v>Модель и база почти завершены</x:v>
      </x:c>
      <x:c r="F422" s="89" t="str">
        <x:v>Выбрать цвет базы: Orange/Yellow для лавы, The Fang/Frostheart для снега, Deep Brown для земли</x:v>
      </x:c>
      <x:c r="G422" s="89" t="str">
        <x:v>Прозрачный фильтр 1:10–1:15 снизу</x:v>
      </x:c>
      <x:c r="H422" s="89" t="str">
        <x:v>Светлый вариант на нескольких нижних кромках</x:v>
      </x:c>
      <x:c r="I422" s="89" t="str">
        <x:v>Основной цвет модели вернуть выше зоны</x:v>
      </x:c>
      <x:c r="J422" s="89" t="str">
        <x:v>—</x:v>
      </x:c>
      <x:c r="K422" s="89" t="str">
        <x:v>—</x:v>
      </x:c>
      <x:c r="L422" s="89" t="str">
        <x:v>Общий filter по нижней трети</x:v>
      </x:c>
      <x:c r="M422" s="89" t="str">
        <x:v>Финиш по материалу</x:v>
      </x:c>
      <x:c r="N422" s="90" t="str">
        <x:v>Высокая</x:v>
      </x:c>
      <x:c r="O422" s="89" t="str">
        <x:v>Bounce слабее прямого света и повторяет цвет окружения. Он помогает физически связать большую модель с подставкой.</x:v>
      </x:c>
      <x:c r="P422" s="89" t="str">
        <x:v>Крупный монстр — рабочая техника</x:v>
      </x:c>
      <x:c r="Q422" s="89" t="str">
        <x:v>Рецепт собран из проверенных материалов и процессов базы и рассчитан на крупную форму.</x:v>
      </x:c>
    </x:row>
    <x:row r="423">
      <x:c r="A423" s="90" t="n">
        <x:v>419</x:v>
      </x:c>
      <x:c r="B423" s="582" t="str">
        <x:v>Проектный процесс</x:v>
      </x:c>
      <x:c r="C423" s="582" t="str">
        <x:v>Финальная иерархия демон-принца</x:v>
      </x:c>
      <x:c r="D423" s="89" t="str">
        <x:v>Три уровня внимания</x:v>
      </x:c>
      <x:c r="E423" s="89" t="str">
        <x:v>Все материалы окрашены</x:v>
      </x:c>
      <x:c r="F423" s="89" t="str">
        <x:v>Уровень 1: лицо, глаза, главное оружие — максимальный контраст</x:v>
      </x:c>
      <x:c r="G423" s="89" t="str">
        <x:v>Уровень 2: грудь, плечи, крупные рога — средний контраст</x:v>
      </x:c>
      <x:c r="H423" s="89" t="str">
        <x:v>Уровень 3: ноги, задние крылья, подставка — приглушённо</x:v>
      </x:c>
      <x:c r="I423" s="89" t="str">
        <x:v>Вернуть faction/magic colour в трёх точках</x:v>
      </x:c>
      <x:c r="J423" s="89" t="str">
        <x:v>White максимум только в уровне 1</x:v>
      </x:c>
      <x:c r="K423" s="89" t="str">
        <x:v>—</x:v>
      </x:c>
      <x:c r="L423" s="89" t="str">
        <x:v>Общий очень тонкий фильтр для единства</x:v>
      </x:c>
      <x:c r="M423" s="89" t="str">
        <x:v>Локальная карта финишей</x:v>
      </x:c>
      <x:c r="N423" s="90" t="str">
        <x:v>Средняя</x:v>
      </x:c>
      <x:c r="O423" s="89" t="str">
        <x:v>Если крылья, база и оружие имеют одинаковый White maximum, силуэт крупной модели распадается на конкурирующие элементы.</x:v>
      </x:c>
      <x:c r="P423" s="89" t="str">
        <x:v>Текущий проект — приоритет</x:v>
      </x:c>
      <x:c r="Q423" s="89" t="str">
        <x:v>Рецепт непосредственно относится к следующему развитию демон-принца после масляной проливки.</x:v>
      </x:c>
    </x:row>
    <x:row r="424">
      <x:c r="A424" s="90" t="n">
        <x:v>420</x:v>
      </x:c>
      <x:c r="B424" s="582" t="str">
        <x:v>Проектный процесс</x:v>
      </x:c>
      <x:c r="C424" s="582" t="str">
        <x:v>Финальная карта лаков демон-принца</x:v>
      </x:c>
      <x:c r="D424" s="89" t="str">
        <x:v>Разделённый финиш крупной модели</x:v>
      </x:c>
      <x:c r="E424" s="89" t="str">
        <x:v>Полностью завершённая модель</x:v>
      </x:c>
      <x:c r="F424" s="89" t="str">
        <x:v>AK Matt Varnish по коже, ткани, кости и сухой базе</x:v>
      </x:c>
      <x:c r="G424" s="89" t="str">
        <x:v>Satin Varnish по перепонкам, хитину и полированной коже</x:v>
      </x:c>
      <x:c r="H424" s="89" t="str">
        <x:v>Metal Varnish по металлам</x:v>
      </x:c>
      <x:c r="I424" s="89" t="str">
        <x:v>Gloss Varnish по глазам, пасти, крови, слизи и мокрым участкам</x:v>
      </x:c>
      <x:c r="J424" s="89" t="str">
        <x:v>Вернуть White glints</x:v>
      </x:c>
      <x:c r="K424" s="89" t="str">
        <x:v>Вернуть Vallejo Silver/Runefang на ключевые металлы</x:v>
      </x:c>
      <x:c r="L424" s="89" t="str">
        <x:v>Проверить границы финишей под лампой</x:v>
      </x:c>
      <x:c r="M424" s="89" t="str">
        <x:v>Смешанный локальный финиш</x:v>
      </x:c>
      <x:c r="N424" s="90" t="str">
        <x:v>Средняя</x:v>
      </x:c>
      <x:c r="O424" s="89" t="str">
        <x:v>Technical gore и слизь лучше наносить после общего Matt. Локальные лаки должны быть тонкими и совпадать с естественной границей материала.</x:v>
      </x:c>
      <x:c r="P424" s="89" t="str">
        <x:v>Текущий проект — приоритет</x:v>
      </x:c>
      <x:c r="Q424" s="89" t="str">
        <x:v>Рецепт непосредственно относится к следующему развитию демон-принца после масляной проливки.</x:v>
      </x:c>
    </x:row>
    <x:row r="425">
      <x:c r="A425" s="90" t="n">
        <x:v>421</x:v>
      </x:c>
      <x:c r="B425" s="622" t="str">
        <x:v>Монстры и демоны</x:v>
      </x:c>
      <x:c r="C425" s="622" t="str">
        <x:v>Широкие плоскости торса после масляной тени</x:v>
      </x:c>
      <x:c r="D425" s="89" t="str">
        <x:v>Полупрозрачный возврат объёма</x:v>
      </x:c>
      <x:c r="E425" s="89" t="str">
        <x:v>Рецепт 391 завершён</x:v>
      </x:c>
      <x:c r="F425" s="89" t="str">
        <x:v>Основной skin tone + Lahmian Medium 1:3</x:v>
      </x:c>
      <x:c r="G425" s="89" t="str">
        <x:v>Масляную тень оставить под грудью и между мышцами</x:v>
      </x:c>
      <x:c r="H425" s="89" t="str">
        <x:v>Средний тон широкими мягкими слоями</x:v>
      </x:c>
      <x:c r="I425" s="89" t="str">
        <x:v>Светлый skin tone на верхней половине грудных мышц</x:v>
      </x:c>
      <x:c r="J425" s="89" t="str">
        <x:v>Pale Flesh</x:v>
      </x:c>
      <x:c r="K425" s="89" t="str">
        <x:v>Pallid Wych Flesh на ключице и верхнем плече</x:v>
      </x:c>
      <x:c r="L425" s="89" t="str">
        <x:v>Skin base 1:10 для объединения</x:v>
      </x:c>
      <x:c r="M425" s="89" t="str">
        <x:v>Matt Varnish</x:v>
      </x:c>
      <x:c r="N425" s="90" t="str">
        <x:v>Средняя</x:v>
      </x:c>
      <x:c r="O425" s="89" t="str">
        <x:v>На широком торсе переходы должны быть крупнее, чем на человеческой миниатюре. Мелкие частые высветления дробят форму и уменьшают масштаб.</x:v>
      </x:c>
      <x:c r="P425" s="89" t="str">
        <x:v>Текущий проект — ближайший этап</x:v>
      </x:c>
      <x:c r="Q425" s="89" t="str">
        <x:v>Рецепт предназначен для ближайших сессий демон-принца и связан с уже завершённой масляной проливкой.</x:v>
      </x:c>
    </x:row>
    <x:row r="426">
      <x:c r="A426" s="90" t="n">
        <x:v>422</x:v>
      </x:c>
      <x:c r="B426" s="622" t="str">
        <x:v>Монстры и демоны</x:v>
      </x:c>
      <x:c r="C426" s="622" t="str">
        <x:v>Разделение крупных мышечных групп</x:v>
      </x:c>
      <x:c r="D426" s="89" t="str">
        <x:v>Тень между группами + общий свет</x:v>
      </x:c>
      <x:c r="E426" s="89" t="str">
        <x:v>Восстановленный средний тон кожи</x:v>
      </x:c>
      <x:c r="F426" s="89" t="str">
        <x:v>Targor Rageshade или Dreadful Visage 1:6 в естественные разделения</x:v>
      </x:c>
      <x:c r="G426" s="89" t="str">
        <x:v>Умбра жжёная по Satin Varnish только в глубочайшие стыки при необходимости</x:v>
      </x:c>
      <x:c r="H426" s="89" t="str">
        <x:v>Основной skin tone вернуть на мышцы</x:v>
      </x:c>
      <x:c r="I426" s="89" t="str">
        <x:v>Светлый skin tone по верхней части каждой группы</x:v>
      </x:c>
      <x:c r="J426" s="89" t="str">
        <x:v>Pale Flesh ограниченно</x:v>
      </x:c>
      <x:c r="K426" s="89" t="str">
        <x:v>—</x:v>
      </x:c>
      <x:c r="L426" s="89" t="str">
        <x:v>Общий skin glaze по переходам</x:v>
      </x:c>
      <x:c r="M426" s="89" t="str">
        <x:v>Matt Varnish</x:v>
      </x:c>
      <x:c r="N426" s="90" t="str">
        <x:v>Высокая</x:v>
      </x:c>
      <x:c r="O426" s="89" t="str">
        <x:v>Не обводить каждую мышцу одинаковой тёмной линией. Глубина зависит от анатомии и направления света.</x:v>
      </x:c>
      <x:c r="P426" s="89" t="str">
        <x:v>Текущий проект — ближайший этап</x:v>
      </x:c>
      <x:c r="Q426" s="89" t="str">
        <x:v>Рецепт предназначен для ближайших сессий демон-принца и связан с уже завершённой масляной проливкой.</x:v>
      </x:c>
    </x:row>
    <x:row r="427">
      <x:c r="A427" s="90" t="n">
        <x:v>423</x:v>
      </x:c>
      <x:c r="B427" s="622" t="str">
        <x:v>Монстры и демоны</x:v>
      </x:c>
      <x:c r="C427" s="622" t="str">
        <x:v>Мягкое брюхо и внутренняя сторона конечностей</x:v>
      </x:c>
      <x:c r="D427" s="89" t="str">
        <x:v>Countershade без потери общего света</x:v>
      </x:c>
      <x:c r="E427" s="89" t="str">
        <x:v>Основная кожа корпуса</x:v>
      </x:c>
      <x:c r="F427" s="89" t="str">
        <x:v>Основной skin tone + Rakarth Flesh 1:1</x:v>
      </x:c>
      <x:c r="G427" s="89" t="str">
        <x:v>Dreadful Visage 1:10 в нижних складках</x:v>
      </x:c>
      <x:c r="H427" s="89" t="str">
        <x:v>Deepkin Flesh в центральной светлой зоне</x:v>
      </x:c>
      <x:c r="I427" s="89" t="str">
        <x:v>Pale Flesh</x:v>
      </x:c>
      <x:c r="J427" s="89" t="str">
        <x:v>Pallid Wych Flesh на натянутых участках</x:v>
      </x:c>
      <x:c r="K427" s="89" t="str">
        <x:v>—</x:v>
      </x:c>
      <x:c r="L427" s="89" t="str">
        <x:v>Основной skin tone 1:12 по внешнему краю</x:v>
      </x:c>
      <x:c r="M427" s="89" t="str">
        <x:v>Matt Varnish</x:v>
      </x:c>
      <x:c r="N427" s="90" t="str">
        <x:v>Высокая</x:v>
      </x:c>
      <x:c r="O427" s="89" t="str">
        <x:v>Брюхо светлее по локальной окраске, но не должно стать ярче верхних плоскостей, обращённых к ключевому свету.</x:v>
      </x:c>
      <x:c r="P427" s="89" t="str">
        <x:v>Текущий проект — ближайший этап</x:v>
      </x:c>
      <x:c r="Q427" s="89" t="str">
        <x:v>Рецепт предназначен для ближайших сессий демон-принца и связан с уже завершённой масляной проливкой.</x:v>
      </x:c>
    </x:row>
    <x:row r="428">
      <x:c r="A428" s="90" t="n">
        <x:v>424</x:v>
      </x:c>
      <x:c r="B428" s="622" t="str">
        <x:v>Монстры и демоны</x:v>
      </x:c>
      <x:c r="C428" s="622" t="str">
        <x:v>Крупные подкожные вены на торсе</x:v>
      </x:c>
      <x:c r="D428" s="89" t="str">
        <x:v>Линия под телесной глазурью</x:v>
      </x:c>
      <x:c r="E428" s="89" t="str">
        <x:v>Законченная кожа</x:v>
      </x:c>
      <x:c r="F428" s="89" t="str">
        <x:v>AK Dark Prussian Blue + Phoenician Purple 2:1</x:v>
      </x:c>
      <x:c r="G428" s="89" t="str">
        <x:v>Нарисовать разветвлённые линии разной толщины</x:v>
      </x:c>
      <x:c r="H428" s="89" t="str">
        <x:v>Основной skin tone + Lahmian Medium 1:6 поверх</x:v>
      </x:c>
      <x:c r="I428" s="89" t="str">
        <x:v>Pale Flesh вернуть на пересекающие жилы света</x:v>
      </x:c>
      <x:c r="J428" s="89" t="str">
        <x:v>—</x:v>
      </x:c>
      <x:c r="K428" s="89" t="str">
        <x:v>—</x:v>
      </x:c>
      <x:c r="L428" s="89" t="str">
        <x:v>Dreadful Visage 1:15 при необходимости</x:v>
      </x:c>
      <x:c r="M428" s="89" t="str">
        <x:v>Matt Varnish</x:v>
      </x:c>
      <x:c r="N428" s="90" t="str">
        <x:v>Высокая</x:v>
      </x:c>
      <x:c r="O428" s="89" t="str">
        <x:v>На большой модели вены могут быть заметнее, но обязательно частично перекрываются телесным слоем и исчезают на ярких плоскостях.</x:v>
      </x:c>
      <x:c r="P428" s="89" t="str">
        <x:v>Продвинутая детализация — тест</x:v>
      </x:c>
      <x:c r="Q428" s="89" t="str">
        <x:v>Эффект требует проверки масштаба и насыщенности на отдельном участке до распространения по всей модели.</x:v>
      </x:c>
    </x:row>
    <x:row r="429">
      <x:c r="A429" s="90" t="n">
        <x:v>425</x:v>
      </x:c>
      <x:c r="B429" s="622" t="str">
        <x:v>Монстры и демоны</x:v>
      </x:c>
      <x:c r="C429" s="622" t="str">
        <x:v>Пятнистая демоническая пигментация</x:v>
      </x:c>
      <x:c r="D429" s="89" t="str">
        <x:v>Кластеры прозрачных пятен</x:v>
      </x:c>
      <x:c r="E429" s="89" t="str">
        <x:v>Законченная кожа</x:v>
      </x:c>
      <x:c r="F429" s="89" t="str">
        <x:v>Dreadful Visage 1:10 крупными мягкими пятнами</x:v>
      </x:c>
      <x:c r="G429" s="89" t="str">
        <x:v>Carroburg Crimson 1:12 меньшими тёплыми кластерами</x:v>
      </x:c>
      <x:c r="H429" s="89" t="str">
        <x:v>Plaguebearer Flesh 1:15 редкими болезненными зонами</x:v>
      </x:c>
      <x:c r="I429" s="89" t="str">
        <x:v>Основной skin tone вернуть между пятнами</x:v>
      </x:c>
      <x:c r="J429" s="89" t="str">
        <x:v>Pale Flesh на свет</x:v>
      </x:c>
      <x:c r="K429" s="89" t="str">
        <x:v>—</x:v>
      </x:c>
      <x:c r="L429" s="89" t="str">
        <x:v>Общий skin glaze 1:15</x:v>
      </x:c>
      <x:c r="M429" s="89" t="str">
        <x:v>Matt Varnish</x:v>
      </x:c>
      <x:c r="N429" s="90" t="str">
        <x:v>Высокая</x:v>
      </x:c>
      <x:c r="O429" s="89" t="str">
        <x:v>Пятна группируются на плечах, спине и бёдрах, оставляя крупные чистые зоны. Три оттенка не обязаны присутствовать в каждом кластере.</x:v>
      </x:c>
      <x:c r="P429" s="89" t="str">
        <x:v>Продвинутая детализация — тест</x:v>
      </x:c>
      <x:c r="Q429" s="89" t="str">
        <x:v>Эффект требует проверки масштаба и насыщенности на отдельном участке до распространения по всей модели.</x:v>
      </x:c>
    </x:row>
    <x:row r="430">
      <x:c r="A430" s="90" t="n">
        <x:v>426</x:v>
      </x:c>
      <x:c r="B430" s="622" t="str">
        <x:v>Монстры и демоны</x:v>
      </x:c>
      <x:c r="C430" s="622" t="str">
        <x:v>Красные суставы и напряжённые складки</x:v>
      </x:c>
      <x:c r="D430" s="89" t="str">
        <x:v>Локальная физиологическая glaze</x:v>
      </x:c>
      <x:c r="E430" s="89" t="str">
        <x:v>Законченная кожа</x:v>
      </x:c>
      <x:c r="F430" s="89" t="str">
        <x:v>Carroburg Crimson + Lahmian Medium 1:10</x:v>
      </x:c>
      <x:c r="G430" s="89" t="str">
        <x:v>Нанести на локти, колени, костяшки и корни пальцев</x:v>
      </x:c>
      <x:c r="H430" s="89" t="str">
        <x:v>AK Sickly Pink очень ограниченно на натянутой вершине</x:v>
      </x:c>
      <x:c r="I430" s="89" t="str">
        <x:v>Основной skin tone вернуть по краям</x:v>
      </x:c>
      <x:c r="J430" s="89" t="str">
        <x:v>Pale Flesh точечно</x:v>
      </x:c>
      <x:c r="K430" s="89" t="str">
        <x:v>—</x:v>
      </x:c>
      <x:c r="L430" s="89" t="str">
        <x:v>Reikland Fleshshade Gloss только на влажной натянутой вершине</x:v>
      </x:c>
      <x:c r="M430" s="89" t="str">
        <x:v>Matt кожа; local Satin/Gloss</x:v>
      </x:c>
      <x:c r="N430" s="90" t="str">
        <x:v>Средняя</x:v>
      </x:c>
      <x:c r="O430" s="89" t="str">
        <x:v>Красный концентрируется в местах напряжения и не образует одинаковые кольца вокруг всех суставов.</x:v>
      </x:c>
      <x:c r="P430" s="89" t="str">
        <x:v>Крупная форма — рабочая техника</x:v>
      </x:c>
      <x:c r="Q430" s="89" t="str">
        <x:v>Рецепт адаптирован под большие плоскости, направленный свет и иерархию текущего проекта.</x:v>
      </x:c>
    </x:row>
    <x:row r="431">
      <x:c r="A431" s="90" t="n">
        <x:v>427</x:v>
      </x:c>
      <x:c r="B431" s="622" t="str">
        <x:v>Монстры и демоны</x:v>
      </x:c>
      <x:c r="C431" s="622" t="str">
        <x:v>Огрубевшая кожа локтей и коленей</x:v>
      </x:c>
      <x:c r="D431" s="89" t="str">
        <x:v>Матовая сухая фактура</x:v>
      </x:c>
      <x:c r="E431" s="89" t="str">
        <x:v>Законченная кожа</x:v>
      </x:c>
      <x:c r="F431" s="89" t="str">
        <x:v>Targor Rageshade в складки</x:v>
      </x:c>
      <x:c r="G431" s="89" t="str">
        <x:v>Stormvermin Fur + основной skin tone 1:1 stippling</x:v>
      </x:c>
      <x:c r="H431" s="89" t="str">
        <x:v>Baneblade Brown редкими точками</x:v>
      </x:c>
      <x:c r="I431" s="89" t="str">
        <x:v>Karak Stone по верхнему рельефу</x:v>
      </x:c>
      <x:c r="J431" s="89" t="str">
        <x:v>Pale Sand единично</x:v>
      </x:c>
      <x:c r="K431" s="89" t="str">
        <x:v>—</x:v>
      </x:c>
      <x:c r="L431" s="89" t="str">
        <x:v>Основной skin glaze по внешнему краю</x:v>
      </x:c>
      <x:c r="M431" s="89" t="str">
        <x:v>Ultra Matt или Matt Varnish</x:v>
      </x:c>
      <x:c r="N431" s="90" t="str">
        <x:v>Средняя</x:v>
      </x:c>
      <x:c r="O431" s="89" t="str">
        <x:v>Огрубевшие участки светлее, суше и менее насыщенны, чем мягкая кожа; Gloss полностью исключается.</x:v>
      </x:c>
      <x:c r="P431" s="89" t="str">
        <x:v>Крупная форма — рабочая техника</x:v>
      </x:c>
      <x:c r="Q431" s="89" t="str">
        <x:v>Рецепт адаптирован под большие плоскости, направленный свет и иерархию текущего проекта.</x:v>
      </x:c>
    </x:row>
    <x:row r="432">
      <x:c r="A432" s="90" t="n">
        <x:v>428</x:v>
      </x:c>
      <x:c r="B432" s="622" t="str">
        <x:v>Монстры и демоны</x:v>
      </x:c>
      <x:c r="C432" s="622" t="str">
        <x:v>Растяжки и натяжение кожи</x:v>
      </x:c>
      <x:c r="D432" s="89" t="str">
        <x:v>Светлые прерывистые линии</x:v>
      </x:c>
      <x:c r="E432" s="89" t="str">
        <x:v>Законченная кожа</x:v>
      </x:c>
      <x:c r="F432" s="89" t="str">
        <x:v>Rakarth Flesh очень тонкими неровными линиями</x:v>
      </x:c>
      <x:c r="G432" s="89" t="str">
        <x:v>Основной skin tone частично перекрывает края</x:v>
      </x:c>
      <x:c r="H432" s="89" t="str">
        <x:v>Pale Flesh меньшей линией внутри части растяжек</x:v>
      </x:c>
      <x:c r="I432" s="89" t="str">
        <x:v>Pallid Wych Flesh точечно</x:v>
      </x:c>
      <x:c r="J432" s="89" t="str">
        <x:v>—</x:v>
      </x:c>
      <x:c r="K432" s="89" t="str">
        <x:v>—</x:v>
      </x:c>
      <x:c r="L432" s="89" t="str">
        <x:v>Carroburg Crimson 1:15 только в свежих растяжках</x:v>
      </x:c>
      <x:c r="M432" s="89" t="str">
        <x:v>Matt Varnish</x:v>
      </x:c>
      <x:c r="N432" s="90" t="str">
        <x:v>Высокая</x:v>
      </x:c>
      <x:c r="O432" s="89" t="str">
        <x:v>Растяжки ориентируются поперёк направления растяжения кожи и прерываются; параллельные одинаковые линии выглядят декоративно.</x:v>
      </x:c>
      <x:c r="P432" s="89" t="str">
        <x:v>Продвинутая детализация — тест</x:v>
      </x:c>
      <x:c r="Q432" s="89" t="str">
        <x:v>Эффект требует проверки масштаба и насыщенности на отдельном участке до распространения по всей модели.</x:v>
      </x:c>
    </x:row>
    <x:row r="433">
      <x:c r="A433" s="90" t="n">
        <x:v>429</x:v>
      </x:c>
      <x:c r="B433" s="623" t="str">
        <x:v>Крылья</x:v>
      </x:c>
      <x:c r="C433" s="623" t="str">
        <x:v>Верхняя сторона крыла под ключевым светом</x:v>
      </x:c>
      <x:c r="D433" s="89" t="str">
        <x:v>Единый направленный свет через сегменты</x:v>
      </x:c>
      <x:c r="E433" s="89" t="str">
        <x:v>Рецепты 404–406 завершены</x:v>
      </x:c>
      <x:c r="F433" s="89" t="str">
        <x:v>Средний цвет перепонки со стороны света</x:v>
      </x:c>
      <x:c r="G433" s="89" t="str">
        <x:v>Тёмный каркас и нижняя сторона остаются нетронутыми</x:v>
      </x:c>
      <x:c r="H433" s="89" t="str">
        <x:v>Светлый membrane tone в центре верхних сегментов</x:v>
      </x:c>
      <x:c r="I433" s="89" t="str">
        <x:v>Pale Flesh или White Grey по верхним жилкам</x:v>
      </x:c>
      <x:c r="J433" s="89" t="str">
        <x:v>White Grey точечно</x:v>
      </x:c>
      <x:c r="K433" s="89" t="str">
        <x:v>—</x:v>
      </x:c>
      <x:c r="L433" s="89" t="str">
        <x:v>Прозрачный membrane colour 1:10</x:v>
      </x:c>
      <x:c r="M433" s="89" t="str">
        <x:v>Satin Varnish</x:v>
      </x:c>
      <x:c r="N433" s="90" t="str">
        <x:v>Высокая</x:v>
      </x:c>
      <x:c r="O433" s="89" t="str">
        <x:v>Свет проходит через все сегменты в одном направлении. Нельзя высветлять центр каждого сегмента одинаково независимо от положения крыла.</x:v>
      </x:c>
      <x:c r="P433" s="89" t="str">
        <x:v>Текущий проект — ближайший этап</x:v>
      </x:c>
      <x:c r="Q433" s="89" t="str">
        <x:v>Рецепт предназначен для ближайших сессий демон-принца и связан с уже завершённой масляной проливкой.</x:v>
      </x:c>
    </x:row>
    <x:row r="434">
      <x:c r="A434" s="90" t="n">
        <x:v>430</x:v>
      </x:c>
      <x:c r="B434" s="623" t="str">
        <x:v>Крылья</x:v>
      </x:c>
      <x:c r="C434" s="623" t="str">
        <x:v>Нижняя сторона крыла в холодной тени</x:v>
      </x:c>
      <x:c r="D434" s="89" t="str">
        <x:v>Холодный фильтр + ограниченные отражения</x:v>
      </x:c>
      <x:c r="E434" s="89" t="str">
        <x:v>Базовая перепонка</x:v>
      </x:c>
      <x:c r="F434" s="89" t="str">
        <x:v>Dreadful Visage + Contrast Medium 1:5</x:v>
      </x:c>
      <x:c r="G434" s="89" t="str">
        <x:v>Dark Prussian Blue 1:12 в глубокой стороне каркаса</x:v>
      </x:c>
      <x:c r="H434" s="89" t="str">
        <x:v>Основной membrane tone вернуть локально</x:v>
      </x:c>
      <x:c r="I434" s="89" t="str">
        <x:v>Deepkin Flesh на отражённых плоскостях</x:v>
      </x:c>
      <x:c r="J434" s="89" t="str">
        <x:v>White Grey только на нескольких жилках</x:v>
      </x:c>
      <x:c r="K434" s="89" t="str">
        <x:v>—</x:v>
      </x:c>
      <x:c r="L434" s="89" t="str">
        <x:v>Frostheart 1:15 как холодный bounce</x:v>
      </x:c>
      <x:c r="M434" s="89" t="str">
        <x:v>Satin Varnish</x:v>
      </x:c>
      <x:c r="N434" s="90" t="str">
        <x:v>Высокая</x:v>
      </x:c>
      <x:c r="O434" s="89" t="str">
        <x:v>Нижняя сторона остаётся темнее верхней, но получает мягкий отражённый свет от окружения и не превращается в чёрную массу.</x:v>
      </x:c>
      <x:c r="P434" s="89" t="str">
        <x:v>Текущий проект — ближайший этап</x:v>
      </x:c>
      <x:c r="Q434" s="89" t="str">
        <x:v>Рецепт предназначен для ближайших сессий демон-принца и связан с уже завершённой масляной проливкой.</x:v>
      </x:c>
    </x:row>
    <x:row r="435">
      <x:c r="A435" s="90" t="n">
        <x:v>431</x:v>
      </x:c>
      <x:c r="B435" s="623" t="str">
        <x:v>Крылья</x:v>
      </x:c>
      <x:c r="C435" s="623" t="str">
        <x:v>Истончённый и изношенный край перепонки</x:v>
      </x:c>
      <x:c r="D435" s="89" t="str">
        <x:v>Светлая кромка + пятна прозрачности</x:v>
      </x:c>
      <x:c r="E435" s="89" t="str">
        <x:v>Законченная перепонка</x:v>
      </x:c>
      <x:c r="F435" s="89" t="str">
        <x:v>Основной membrane tone + White Grey 1:1 по внешнему краю</x:v>
      </x:c>
      <x:c r="G435" s="89" t="str">
        <x:v>Pale Flesh прерывистой линией</x:v>
      </x:c>
      <x:c r="H435" s="89" t="str">
        <x:v>White Grey внутри тончайших пятен</x:v>
      </x:c>
      <x:c r="I435" s="89" t="str">
        <x:v>Dreadful Visage/Frostheart очень тонко вокруг пятен</x:v>
      </x:c>
      <x:c r="J435" s="89" t="str">
        <x:v>White точечно</x:v>
      </x:c>
      <x:c r="K435" s="89" t="str">
        <x:v>—</x:v>
      </x:c>
      <x:c r="L435" s="89" t="str">
        <x:v>Прозрачный membrane glaze объединяет</x:v>
      </x:c>
      <x:c r="M435" s="89" t="str">
        <x:v>Satin Varnish</x:v>
      </x:c>
      <x:c r="N435" s="90" t="str">
        <x:v>Высокая</x:v>
      </x:c>
      <x:c r="O435" s="89" t="str">
        <x:v>Изношенный край неровный и местами почти прозрачный. Сплошная светлая линия сделает крыло похожим на тканевый плащ.</x:v>
      </x:c>
      <x:c r="P435" s="89" t="str">
        <x:v>Продвинутая детализация — тест</x:v>
      </x:c>
      <x:c r="Q435" s="89" t="str">
        <x:v>Эффект требует проверки масштаба и насыщенности на отдельном участке до распространения по всей модели.</x:v>
      </x:c>
    </x:row>
    <x:row r="436">
      <x:c r="A436" s="90" t="n">
        <x:v>432</x:v>
      </x:c>
      <x:c r="B436" s="623" t="str">
        <x:v>Крылья</x:v>
      </x:c>
      <x:c r="C436" s="623" t="str">
        <x:v>Разрыв перепонки с зажившим краем</x:v>
      </x:c>
      <x:c r="D436" s="89" t="str">
        <x:v>Тёмная щель + светлый рубец</x:v>
      </x:c>
      <x:c r="E436" s="89" t="str">
        <x:v>Законченная перепонка</x:v>
      </x:c>
      <x:c r="F436" s="89" t="str">
        <x:v>AK Black + Phoenician Purple 2:1 внутри разрыва</x:v>
      </x:c>
      <x:c r="G436" s="89" t="str">
        <x:v>Carroburg Crimson 1:10 вокруг свежих участков</x:v>
      </x:c>
      <x:c r="H436" s="89" t="str">
        <x:v>Rakarth Flesh по поднятому краю</x:v>
      </x:c>
      <x:c r="I436" s="89" t="str">
        <x:v>Pale Flesh меньшей линией</x:v>
      </x:c>
      <x:c r="J436" s="89" t="str">
        <x:v>White Grey точечно</x:v>
      </x:c>
      <x:c r="K436" s="89" t="str">
        <x:v>—</x:v>
      </x:c>
      <x:c r="L436" s="89" t="str">
        <x:v>Основной membrane glaze по внешнему краю</x:v>
      </x:c>
      <x:c r="M436" s="89" t="str">
        <x:v>Matt рубец; Satin перепонка</x:v>
      </x:c>
      <x:c r="N436" s="90" t="str">
        <x:v>Высокая</x:v>
      </x:c>
      <x:c r="O436" s="89" t="str">
        <x:v>Глубина разрыва темнее окружающей перепонки, а заживший край светлее; красный используется только там, где повреждение остаётся свежим.</x:v>
      </x:c>
      <x:c r="P436" s="89" t="str">
        <x:v>Продвинутая детализация — тест</x:v>
      </x:c>
      <x:c r="Q436" s="89" t="str">
        <x:v>Эффект требует проверки масштаба и насыщенности на отдельном участке до распространения по всей модели.</x:v>
      </x:c>
    </x:row>
    <x:row r="437">
      <x:c r="A437" s="90" t="n">
        <x:v>433</x:v>
      </x:c>
      <x:c r="B437" s="623" t="str">
        <x:v>Крылья</x:v>
      </x:c>
      <x:c r="C437" s="623" t="str">
        <x:v>Прокол крыла и радиальные трещины</x:v>
      </x:c>
      <x:c r="D437" s="89" t="str">
        <x:v>Тёмный центр + расходящиеся линии</x:v>
      </x:c>
      <x:c r="E437" s="89" t="str">
        <x:v>Законченная перепонка</x:v>
      </x:c>
      <x:c r="F437" s="89" t="str">
        <x:v>AK Black в центре прокола</x:v>
      </x:c>
      <x:c r="G437" s="89" t="str">
        <x:v>Dark Prussian Blue/Phoenician Purple тонкими радиальными линиями</x:v>
      </x:c>
      <x:c r="H437" s="89" t="str">
        <x:v>Carroburg Crimson локально у свежего центра</x:v>
      </x:c>
      <x:c r="I437" s="89" t="str">
        <x:v>Rakarth Flesh по части поднятых краёв</x:v>
      </x:c>
      <x:c r="J437" s="89" t="str">
        <x:v>Pale Flesh точечно</x:v>
      </x:c>
      <x:c r="K437" s="89" t="str">
        <x:v>—</x:v>
      </x:c>
      <x:c r="L437" s="89" t="str">
        <x:v>Membrane glaze частично перекрывает линии</x:v>
      </x:c>
      <x:c r="M437" s="89" t="str">
        <x:v>Satin Varnish</x:v>
      </x:c>
      <x:c r="N437" s="90" t="str">
        <x:v>Высокая</x:v>
      </x:c>
      <x:c r="O437" s="89" t="str">
        <x:v>Трещины расходятся от физического центра и постепенно исчезают; они не должны пересекать все сегменты одинаковой длиной.</x:v>
      </x:c>
      <x:c r="P437" s="89" t="str">
        <x:v>Продвинутая детализация — тест</x:v>
      </x:c>
      <x:c r="Q437" s="89" t="str">
        <x:v>Эффект требует проверки масштаба и насыщенности на отдельном участке до распространения по всей модели.</x:v>
      </x:c>
    </x:row>
    <x:row r="438">
      <x:c r="A438" s="90" t="n">
        <x:v>434</x:v>
      </x:c>
      <x:c r="B438" s="624" t="str">
        <x:v>Рога и когти</x:v>
      </x:c>
      <x:c r="C438" s="624" t="str">
        <x:v>Сколотый кончик крупного рога</x:v>
      </x:c>
      <x:c r="D438" s="89" t="str">
        <x:v>Старый матовый излом</x:v>
      </x:c>
      <x:c r="E438" s="89" t="str">
        <x:v>Рог окрашен по рецепту 402</x:v>
      </x:c>
      <x:c r="F438" s="89" t="str">
        <x:v>AK Deep Brown на плоскости скола</x:v>
      </x:c>
      <x:c r="G438" s="89" t="str">
        <x:v>Baneblade Brown неровными пятнами</x:v>
      </x:c>
      <x:c r="H438" s="89" t="str">
        <x:v>Karak Stone</x:v>
      </x:c>
      <x:c r="I438" s="89" t="str">
        <x:v>Pale Sand по верхнему краю</x:v>
      </x:c>
      <x:c r="J438" s="89" t="str">
        <x:v>White Grey точечно</x:v>
      </x:c>
      <x:c r="K438" s="89" t="str">
        <x:v>—</x:v>
      </x:c>
      <x:c r="L438" s="89" t="str">
        <x:v>Agrax Earthshade в микротрещины</x:v>
      </x:c>
      <x:c r="M438" s="89" t="str">
        <x:v>Ultra Matt или Matt</x:v>
      </x:c>
      <x:c r="N438" s="90" t="str">
        <x:v>Средняя</x:v>
      </x:c>
      <x:c r="O438" s="89" t="str">
        <x:v>Плоскость старого излома матовее полированного рога и не получает гладкую светлую линию по всей окружности.</x:v>
      </x:c>
      <x:c r="P438" s="89" t="str">
        <x:v>Фокусная деталь — рабочая техника</x:v>
      </x:c>
      <x:c r="Q438" s="89" t="str">
        <x:v>Рецепт усиливает отдельный материал, не меняя основную композицию крупной модели.</x:v>
      </x:c>
    </x:row>
    <x:row r="439">
      <x:c r="A439" s="90" t="n">
        <x:v>435</x:v>
      </x:c>
      <x:c r="B439" s="624" t="str">
        <x:v>Рога и когти</x:v>
      </x:c>
      <x:c r="C439" s="624" t="str">
        <x:v>Полированная сторона рога</x:v>
      </x:c>
      <x:c r="D439" s="89" t="str">
        <x:v>Локальный Satin и длинный блик</x:v>
      </x:c>
      <x:c r="E439" s="89" t="str">
        <x:v>Рог окрашен по рецепту 402</x:v>
      </x:c>
      <x:c r="F439" s="89" t="str">
        <x:v>Основной средний тон вернуть на сторону трения</x:v>
      </x:c>
      <x:c r="G439" s="89" t="str">
        <x:v>Karak Stone длинной прерывистой линией</x:v>
      </x:c>
      <x:c r="H439" s="89" t="str">
        <x:v>Pale Sand более узкой линией</x:v>
      </x:c>
      <x:c r="I439" s="89" t="str">
        <x:v>Pallid Wych Flesh на максимуме</x:v>
      </x:c>
      <x:c r="J439" s="89" t="str">
        <x:v>White точечно</x:v>
      </x:c>
      <x:c r="K439" s="89" t="str">
        <x:v>—</x:v>
      </x:c>
      <x:c r="L439" s="89" t="str">
        <x:v>Agrax Earthshade в защищённые борозды</x:v>
      </x:c>
      <x:c r="M439" s="89" t="str">
        <x:v>Satin только на полированной стороне</x:v>
      </x:c>
      <x:c r="N439" s="90" t="str">
        <x:v>Высокая</x:v>
      </x:c>
      <x:c r="O439" s="89" t="str">
        <x:v>Полировка появляется там, где рог трётся о оружие, броню или окружение; противоположная сторона остаётся матовой и грубой.</x:v>
      </x:c>
      <x:c r="P439" s="89" t="str">
        <x:v>Фокусная деталь — рабочая техника</x:v>
      </x:c>
      <x:c r="Q439" s="89" t="str">
        <x:v>Рецепт усиливает отдельный материал, не меняя основную композицию крупной модели.</x:v>
      </x:c>
    </x:row>
    <x:row r="440">
      <x:c r="A440" s="90" t="n">
        <x:v>436</x:v>
      </x:c>
      <x:c r="B440" s="624" t="str">
        <x:v>Рога и когти</x:v>
      </x:c>
      <x:c r="C440" s="624" t="str">
        <x:v>Царапины на чёрном когте</x:v>
      </x:c>
      <x:c r="D440" s="89" t="str">
        <x:v>Светлые направленные насечки</x:v>
      </x:c>
      <x:c r="E440" s="89" t="str">
        <x:v>Коготь завершён по рецепту 403</x:v>
      </x:c>
      <x:c r="F440" s="89" t="str">
        <x:v>Eshin Grey короткими линиями по направлению контакта</x:v>
      </x:c>
      <x:c r="G440" s="89" t="str">
        <x:v>Dawnstone меньшими линиями</x:v>
      </x:c>
      <x:c r="H440" s="89" t="str">
        <x:v>White Grey только на свежих царапинах</x:v>
      </x:c>
      <x:c r="I440" s="89" t="str">
        <x:v>AK Black частично уменьшить слишком длинные линии</x:v>
      </x:c>
      <x:c r="J440" s="89" t="str">
        <x:v>—</x:v>
      </x:c>
      <x:c r="K440" s="89" t="str">
        <x:v>—</x:v>
      </x:c>
      <x:c r="L440" s="89" t="str">
        <x:v>Basilicanum Grey 1:10 для объединения</x:v>
      </x:c>
      <x:c r="M440" s="89" t="str">
        <x:v>Satin Varnish</x:v>
      </x:c>
      <x:c r="N440" s="90" t="str">
        <x:v>Средняя</x:v>
      </x:c>
      <x:c r="O440" s="89" t="str">
        <x:v>Царапины короче у основания и заметнее у кончика; они следуют движению когтя, а не случайно пересекают поверхность.</x:v>
      </x:c>
      <x:c r="P440" s="89" t="str">
        <x:v>Фокусная деталь — рабочая техника</x:v>
      </x:c>
      <x:c r="Q440" s="89" t="str">
        <x:v>Рецепт усиливает отдельный материал, не меняя основную композицию крупной модели.</x:v>
      </x:c>
    </x:row>
    <x:row r="441">
      <x:c r="A441" s="90" t="n">
        <x:v>437</x:v>
      </x:c>
      <x:c r="B441" s="624" t="str">
        <x:v>Рога и когти</x:v>
      </x:c>
      <x:c r="C441" s="624" t="str">
        <x:v>Грязь и кровь под когтями</x:v>
      </x:c>
      <x:c r="D441" s="89" t="str">
        <x:v>Тёмное загрязнение на нижней стороне</x:v>
      </x:c>
      <x:c r="E441" s="89" t="str">
        <x:v>Законченные когти</x:v>
      </x:c>
      <x:c r="F441" s="89" t="str">
        <x:v>AK Deep Brown на нижней стороне</x:v>
      </x:c>
      <x:c r="G441" s="89" t="str">
        <x:v>Умбра жжёная в основании и между пальцами</x:v>
      </x:c>
      <x:c r="H441" s="89" t="str">
        <x:v>Gory Red локально</x:v>
      </x:c>
      <x:c r="I441" s="89" t="str">
        <x:v>Blood for the Blood God только на свежих местах</x:v>
      </x:c>
      <x:c r="J441" s="89" t="str">
        <x:v>Pale Sand/White Grey вернуть на чистую верхнюю грань</x:v>
      </x:c>
      <x:c r="K441" s="89" t="str">
        <x:v>—</x:v>
      </x:c>
      <x:c r="L441" s="89" t="str">
        <x:v>Agrax Earthshade Gloss на влажной грязи</x:v>
      </x:c>
      <x:c r="M441" s="89" t="str">
        <x:v>Matt/Satin коготь; local Gloss</x:v>
      </x:c>
      <x:c r="N441" s="90" t="str">
        <x:v>Средняя</x:v>
      </x:c>
      <x:c r="O441" s="89" t="str">
        <x:v>Загрязнение концентрируется снизу и у основания; верхняя отражённая кромка остаётся относительно чистой.</x:v>
      </x:c>
      <x:c r="P441" s="89" t="str">
        <x:v>Фокусная деталь — рабочая техника</x:v>
      </x:c>
      <x:c r="Q441" s="89" t="str">
        <x:v>Рецепт усиливает отдельный материал, не меняя основную композицию крупной модели.</x:v>
      </x:c>
    </x:row>
    <x:row r="442">
      <x:c r="A442" s="90" t="n">
        <x:v>438</x:v>
      </x:c>
      <x:c r="B442" s="625" t="str">
        <x:v>Оружие и отражения</x:v>
      </x:c>
      <x:c r="C442" s="625" t="str">
        <x:v>Цвет оружия на кисти и предплечье</x:v>
      </x:c>
      <x:c r="D442" s="89" t="str">
        <x:v>Локальный отражённый свет</x:v>
      </x:c>
      <x:c r="E442" s="89" t="str">
        <x:v>Оружие и рука полностью окрашены</x:v>
      </x:c>
      <x:c r="F442" s="89" t="str">
        <x:v>Выбранный цвет оружия + Medium 1:8 на обращённой стороне руки</x:v>
      </x:c>
      <x:c r="G442" s="89" t="str">
        <x:v>Сохранить глубокие кожные тени</x:v>
      </x:c>
      <x:c r="H442" s="89" t="str">
        <x:v>Светлый вариант цвета на костяшках и сухожилиях</x:v>
      </x:c>
      <x:c r="I442" s="89" t="str">
        <x:v>White Grey только рядом с очень ярким источником</x:v>
      </x:c>
      <x:c r="J442" s="89" t="str">
        <x:v>—</x:v>
      </x:c>
      <x:c r="K442" s="89" t="str">
        <x:v>—</x:v>
      </x:c>
      <x:c r="L442" s="89" t="str">
        <x:v>Skin tone glaze по внешнему краю отражения</x:v>
      </x:c>
      <x:c r="M442" s="89" t="str">
        <x:v>Matt кожа; Satin/Gloss источник</x:v>
      </x:c>
      <x:c r="N442" s="90" t="str">
        <x:v>Высокая</x:v>
      </x:c>
      <x:c r="O442" s="89" t="str">
        <x:v>Отражённый цвет слабее оружия и повторяет геометрию руки. Он не должен полностью менять основной цвет кожи.</x:v>
      </x:c>
      <x:c r="P442" s="89" t="str">
        <x:v>Продвинутая детализация — тест</x:v>
      </x:c>
      <x:c r="Q442" s="89" t="str">
        <x:v>Эффект требует проверки масштаба и насыщенности на отдельном участке до распространения по всей модели.</x:v>
      </x:c>
    </x:row>
    <x:row r="443">
      <x:c r="A443" s="90" t="n">
        <x:v>439</x:v>
      </x:c>
      <x:c r="B443" s="625" t="str">
        <x:v>Оружие и отражения</x:v>
      </x:c>
      <x:c r="C443" s="625" t="str">
        <x:v>Следы контакта на оружии крупного демона</x:v>
      </x:c>
      <x:c r="D443" s="89" t="str">
        <x:v>Грязь, кровь и металл по зонам</x:v>
      </x:c>
      <x:c r="E443" s="89" t="str">
        <x:v>Законченный металл</x:v>
      </x:c>
      <x:c r="F443" s="89" t="str">
        <x:v>AK Deep Brown у рукояти и нижних выемок</x:v>
      </x:c>
      <x:c r="G443" s="89" t="str">
        <x:v>Сажа газовая у выхлопа/магического источника при наличии</x:v>
      </x:c>
      <x:c r="H443" s="89" t="str">
        <x:v>Gory Red по режущей зоне</x:v>
      </x:c>
      <x:c r="I443" s="89" t="str">
        <x:v>Blood for the Blood God локально</x:v>
      </x:c>
      <x:c r="J443" s="89" t="str">
        <x:v>Vallejo Silver вернуть на чистых выступах</x:v>
      </x:c>
      <x:c r="K443" s="89" t="str">
        <x:v>—</x:v>
      </x:c>
      <x:c r="L443" s="89" t="str">
        <x:v>Умбра жжёная в соединения</x:v>
      </x:c>
      <x:c r="M443" s="89" t="str">
        <x:v>Metal Varnish; local Matt/Gloss</x:v>
      </x:c>
      <x:c r="N443" s="90" t="str">
        <x:v>Средняя</x:v>
      </x:c>
      <x:c r="O443" s="89" t="str">
        <x:v>Каждый эффект имеет физическое место: грязь у руки, кровь на режущей части, копоть у источника, чистый металл на трущихся кромках.</x:v>
      </x:c>
      <x:c r="P443" s="89" t="str">
        <x:v>Крупная форма — рабочая техника</x:v>
      </x:c>
      <x:c r="Q443" s="89" t="str">
        <x:v>Рецепт адаптирован под большие плоскости, направленный свет и иерархию текущего проекта.</x:v>
      </x:c>
    </x:row>
    <x:row r="444">
      <x:c r="A444" s="90" t="n">
        <x:v>440</x:v>
      </x:c>
      <x:c r="B444" s="626" t="str">
        <x:v>Фокусные детали</x:v>
      </x:c>
      <x:c r="C444" s="626" t="str">
        <x:v>Крупный амулет или камень на груди</x:v>
      </x:c>
      <x:c r="D444" s="89" t="str">
        <x:v>Вторичный фокус</x:v>
      </x:c>
      <x:c r="E444" s="89" t="str">
        <x:v>Полностью окрашенный торс</x:v>
      </x:c>
      <x:c r="F444" s="89" t="str">
        <x:v>Runefang Steel или White Grey подложка</x:v>
      </x:c>
      <x:c r="G444" s="89" t="str">
        <x:v>Выбранный Soulstone/Spiritstone/Waystone либо Contrast</x:v>
      </x:c>
      <x:c r="H444" s="89" t="str">
        <x:v>Светлая внутренняя дуга</x:v>
      </x:c>
      <x:c r="I444" s="89" t="str">
        <x:v>White точкой</x:v>
      </x:c>
      <x:c r="J444" s="89" t="str">
        <x:v>Металлическая/светлая оправа</x:v>
      </x:c>
      <x:c r="K444" s="89" t="str">
        <x:v>—</x:v>
      </x:c>
      <x:c r="L444" s="89" t="str">
        <x:v>Слабый отражённый цвет на соседней коже</x:v>
      </x:c>
      <x:c r="M444" s="89" t="str">
        <x:v>Gloss камень; Metal оправа; Matt кожа</x:v>
      </x:c>
      <x:c r="N444" s="90" t="str">
        <x:v>Высокая</x:v>
      </x:c>
      <x:c r="O444" s="89" t="str">
        <x:v>Камень является вторичным фокусом и получает меньше White и OSL, чем глаза или главное оружие.</x:v>
      </x:c>
      <x:c r="P444" s="89" t="str">
        <x:v>Фокусная деталь — рабочая техника</x:v>
      </x:c>
      <x:c r="Q444" s="89" t="str">
        <x:v>Рецепт усиливает отдельный материал, не меняя основную композицию крупной модели.</x:v>
      </x:c>
    </x:row>
    <x:row r="445">
      <x:c r="A445" s="90" t="n">
        <x:v>441</x:v>
      </x:c>
      <x:c r="B445" s="624" t="str">
        <x:v>Снаряжение монстра</x:v>
      </x:c>
      <x:c r="C445" s="624" t="str">
        <x:v>Кожаные ремни на органической модели</x:v>
      </x:c>
      <x:c r="D445" s="89" t="str">
        <x:v>Матовая кожа с потёртыми кромками</x:v>
      </x:c>
      <x:c r="E445" s="89" t="str">
        <x:v>Black Primer</x:v>
      </x:c>
      <x:c r="F445" s="89" t="str">
        <x:v>Rhinox Hide или Garaghak's Sewer + Medium 1:1</x:v>
      </x:c>
      <x:c r="G445" s="89" t="str">
        <x:v>Agrax Earthshade</x:v>
      </x:c>
      <x:c r="H445" s="89" t="str">
        <x:v>Gorthor Brown</x:v>
      </x:c>
      <x:c r="I445" s="89" t="str">
        <x:v>Baneblade Brown</x:v>
      </x:c>
      <x:c r="J445" s="89" t="str">
        <x:v>Karak Stone царапинами</x:v>
      </x:c>
      <x:c r="K445" s="89" t="str">
        <x:v>Pale Sand точечно</x:v>
      </x:c>
      <x:c r="L445" s="89" t="str">
        <x:v>Умбра жжёная у креплений</x:v>
      </x:c>
      <x:c r="M445" s="89" t="str">
        <x:v>Matt или Satin</x:v>
      </x:c>
      <x:c r="N445" s="90" t="str">
        <x:v>Низкая</x:v>
      </x:c>
      <x:c r="O445" s="89" t="str">
        <x:v>Ремни должны отличаться от кожи тела более жёсткими кромками, меньшей цветовой вариативностью и направленными царапинами.</x:v>
      </x:c>
      <x:c r="P445" s="89" t="str">
        <x:v>Крупная форма — рабочая техника</x:v>
      </x:c>
      <x:c r="Q445" s="89" t="str">
        <x:v>Рецепт адаптирован под большие плоскости, направленный свет и иерархию текущего проекта.</x:v>
      </x:c>
    </x:row>
    <x:row r="446">
      <x:c r="A446" s="90" t="n">
        <x:v>442</x:v>
      </x:c>
      <x:c r="B446" s="627" t="str">
        <x:v>Переходы материалов</x:v>
      </x:c>
      <x:c r="C446" s="627" t="str">
        <x:v>Кожа вокруг цепей и креплений</x:v>
      </x:c>
      <x:c r="D446" s="89" t="str">
        <x:v>Давление, покраснение и грязь</x:v>
      </x:c>
      <x:c r="E446" s="89" t="str">
        <x:v>Кожа и цепи окрашены</x:v>
      </x:c>
      <x:c r="F446" s="89" t="str">
        <x:v>Carroburg Crimson 1:12 под давящими звеньями</x:v>
      </x:c>
      <x:c r="G446" s="89" t="str">
        <x:v>Targor Rageshade в глубокие вмятины</x:v>
      </x:c>
      <x:c r="H446" s="89" t="str">
        <x:v>Pale Flesh по верхнему краю сдавленной кожи</x:v>
      </x:c>
      <x:c r="I446" s="89" t="str">
        <x:v>Умбра жжёная вокруг нижних креплений</x:v>
      </x:c>
      <x:c r="J446" s="89" t="str">
        <x:v>Ironbreaker на трущихся звеньях</x:v>
      </x:c>
      <x:c r="K446" s="89" t="str">
        <x:v>—</x:v>
      </x:c>
      <x:c r="L446" s="89" t="str">
        <x:v>Blood локально только при повреждении</x:v>
      </x:c>
      <x:c r="M446" s="89" t="str">
        <x:v>Matt кожа; Metal цепь; local Gloss</x:v>
      </x:c>
      <x:c r="N446" s="90" t="str">
        <x:v>Средняя</x:v>
      </x:c>
      <x:c r="O446" s="89" t="str">
        <x:v>Реакция кожи появляется только под весом и трением цепи, а не равномерно вдоль всей длины металла.</x:v>
      </x:c>
      <x:c r="P446" s="89" t="str">
        <x:v>Фокусная деталь — рабочая техника</x:v>
      </x:c>
      <x:c r="Q446" s="89" t="str">
        <x:v>Рецепт усиливает отдельный материал, не меняя основную композицию крупной модели.</x:v>
      </x:c>
    </x:row>
    <x:row r="447">
      <x:c r="A447" s="90" t="n">
        <x:v>443</x:v>
      </x:c>
      <x:c r="B447" s="628" t="str">
        <x:v>Подставки и террейн</x:v>
      </x:c>
      <x:c r="C447" s="628" t="str">
        <x:v>Крупный тёмный камень под демон-принцем</x:v>
      </x:c>
      <x:c r="D447" s="89" t="str">
        <x:v>Большая форма без чрезмерного drybrush</x:v>
      </x:c>
      <x:c r="E447" s="89" t="str">
        <x:v>Black Primer</x:v>
      </x:c>
      <x:c r="F447" s="89" t="str">
        <x:v>AK German Grey Uniform</x:v>
      </x:c>
      <x:c r="G447" s="89" t="str">
        <x:v>Basilicanum Grey в трещины</x:v>
      </x:c>
      <x:c r="H447" s="89" t="str">
        <x:v>Sea Grey широкой сухой кистью</x:v>
      </x:c>
      <x:c r="I447" s="89" t="str">
        <x:v>White Grey меньшей зоной</x:v>
      </x:c>
      <x:c r="J447" s="89" t="str">
        <x:v>Pale Sand очень локально для тёплой пыли</x:v>
      </x:c>
      <x:c r="K447" s="89" t="str">
        <x:v>—</x:v>
      </x:c>
      <x:c r="L447" s="89" t="str">
        <x:v>Серая Пейна маслом в глубокую холодную сторону</x:v>
      </x:c>
      <x:c r="M447" s="89" t="str">
        <x:v>Ultra Matt или Matt</x:v>
      </x:c>
      <x:c r="N447" s="90" t="str">
        <x:v>Средняя</x:v>
      </x:c>
      <x:c r="O447" s="89" t="str">
        <x:v>На крупном камне drybrush должен формировать большие плоскости. Частые белые штрихи создают мелкий гранитный шум.</x:v>
      </x:c>
      <x:c r="P447" s="89" t="str">
        <x:v>Крупная форма — рабочая техника</x:v>
      </x:c>
      <x:c r="Q447" s="89" t="str">
        <x:v>Рецепт адаптирован под большие плоскости, направленный свет и иерархию текущего проекта.</x:v>
      </x:c>
    </x:row>
    <x:row r="448">
      <x:c r="A448" s="90" t="n">
        <x:v>444</x:v>
      </x:c>
      <x:c r="B448" s="628" t="str">
        <x:v>Подставки и террейн</x:v>
      </x:c>
      <x:c r="C448" s="628" t="str">
        <x:v>Черепа и кости на подставке крупной модели</x:v>
      </x:c>
      <x:c r="D448" s="89" t="str">
        <x:v>Тёплая старая кость</x:v>
      </x:c>
      <x:c r="E448" s="89" t="str">
        <x:v>Black Primer → Ivory Primer локально</x:v>
      </x:c>
      <x:c r="F448" s="89" t="str">
        <x:v>Bonewhite</x:v>
      </x:c>
      <x:c r="G448" s="89" t="str">
        <x:v>Skeleton Horde</x:v>
      </x:c>
      <x:c r="H448" s="89" t="str">
        <x:v>Screaming Skull</x:v>
      </x:c>
      <x:c r="I448" s="89" t="str">
        <x:v>Flayed One Flesh</x:v>
      </x:c>
      <x:c r="J448" s="89" t="str">
        <x:v>Pale Sand</x:v>
      </x:c>
      <x:c r="K448" s="89" t="str">
        <x:v>White точечно</x:v>
      </x:c>
      <x:c r="L448" s="89" t="str">
        <x:v>Agrax Earthshade и Umber в контакте с землёй</x:v>
      </x:c>
      <x:c r="M448" s="89" t="str">
        <x:v>Matt Varnish</x:v>
      </x:c>
      <x:c r="N448" s="90" t="str">
        <x:v>Низкая</x:v>
      </x:c>
      <x:c r="O448" s="89" t="str">
        <x:v>Кости у земли темнее и грязнее; белые максимумы остаются на верхних сухих выступах и не конкурируют с лицом модели.</x:v>
      </x:c>
      <x:c r="P448" s="89" t="str">
        <x:v>Крупная форма — рабочая техника</x:v>
      </x:c>
      <x:c r="Q448" s="89" t="str">
        <x:v>Рецепт адаптирован под большие плоскости, направленный свет и иерархию текущего проекта.</x:v>
      </x:c>
    </x:row>
    <x:row r="449">
      <x:c r="A449" s="90" t="n">
        <x:v>445</x:v>
      </x:c>
      <x:c r="B449" s="628" t="str">
        <x:v>Подставки и террейн</x:v>
      </x:c>
      <x:c r="C449" s="628" t="str">
        <x:v>Магические трещины в основании</x:v>
      </x:c>
      <x:c r="D449" s="89" t="str">
        <x:v>Белая сердцевина + цветный материал вокруг</x:v>
      </x:c>
      <x:c r="E449" s="89" t="str">
        <x:v>Black Primer</x:v>
      </x:c>
      <x:c r="F449" s="89" t="str">
        <x:v>White Grey в трещины</x:v>
      </x:c>
      <x:c r="G449" s="89" t="str">
        <x:v>White в центральные линии</x:v>
      </x:c>
      <x:c r="H449" s="89" t="str">
        <x:v>Выбранный Contrast/Fluorescent</x:v>
      </x:c>
      <x:c r="I449" s="89" t="str">
        <x:v>Тот же цвет + Medium 1:6 вокруг</x:v>
      </x:c>
      <x:c r="J449" s="89" t="str">
        <x:v>Вернуть цвет камня по внешнему краю</x:v>
      </x:c>
      <x:c r="K449" s="89" t="str">
        <x:v>White в узлах</x:v>
      </x:c>
      <x:c r="L449" s="89" t="str">
        <x:v>—</x:v>
      </x:c>
      <x:c r="M449" s="89" t="str">
        <x:v>Matt камень; Satin/Gloss трещины</x:v>
      </x:c>
      <x:c r="N449" s="90" t="str">
        <x:v>Высокая</x:v>
      </x:c>
      <x:c r="O449" s="89" t="str">
        <x:v>Свечение базы слабее главного источника на модели, если оружие или глаза уже являются центральным OSL.</x:v>
      </x:c>
      <x:c r="P449" s="89" t="str">
        <x:v>Продвинутая детализация — тест</x:v>
      </x:c>
      <x:c r="Q449" s="89" t="str">
        <x:v>Эффект требует проверки масштаба и насыщенности на отдельном участке до распространения по всей модели.</x:v>
      </x:c>
    </x:row>
    <x:row r="450">
      <x:c r="A450" s="90" t="n">
        <x:v>446</x:v>
      </x:c>
      <x:c r="B450" s="628" t="str">
        <x:v>Подставки и террейн</x:v>
      </x:c>
      <x:c r="C450" s="628" t="str">
        <x:v>Сток крови по камню и земле</x:v>
      </x:c>
      <x:c r="D450" s="89" t="str">
        <x:v>Гравитационный путь жидкости</x:v>
      </x:c>
      <x:c r="E450" s="89" t="str">
        <x:v>Готовая база</x:v>
      </x:c>
      <x:c r="F450" s="89" t="str">
        <x:v>Carroburg Crimson 1:10 широким старым stain</x:v>
      </x:c>
      <x:c r="G450" s="89" t="str">
        <x:v>Gory Red меньшей дорожкой</x:v>
      </x:c>
      <x:c r="H450" s="89" t="str">
        <x:v>AK Blood Red в свежем центре</x:v>
      </x:c>
      <x:c r="I450" s="89" t="str">
        <x:v>Blood for the Blood God локально</x:v>
      </x:c>
      <x:c r="J450" s="89" t="str">
        <x:v>AK Deep Brown в грязной нижней точке</x:v>
      </x:c>
      <x:c r="K450" s="89" t="str">
        <x:v>White микроточками в луже</x:v>
      </x:c>
      <x:c r="L450" s="89" t="str">
        <x:v>Agrax Earthshade Gloss в смеси с грязью</x:v>
      </x:c>
      <x:c r="M450" s="89" t="str">
        <x:v>Matt база; local Gloss</x:v>
      </x:c>
      <x:c r="N450" s="90" t="str">
        <x:v>Высокая</x:v>
      </x:c>
      <x:c r="O450" s="89" t="str">
        <x:v>Путь крови следует наклону камня и собирается в нижней впадине; он не должен пересекать рельеф без учёта гравитации.</x:v>
      </x:c>
      <x:c r="P450" s="89" t="str">
        <x:v>Продвинутая детализация — тест</x:v>
      </x:c>
      <x:c r="Q450" s="89" t="str">
        <x:v>Эффект требует проверки масштаба и насыщенности на отдельном участке до распространения по всей модели.</x:v>
      </x:c>
    </x:row>
    <x:row r="451">
      <x:c r="A451" s="90" t="n">
        <x:v>447</x:v>
      </x:c>
      <x:c r="B451" s="629" t="str">
        <x:v>Проектный процесс</x:v>
      </x:c>
      <x:c r="C451" s="629" t="str">
        <x:v>Градиент загрязнения снизу вверх</x:v>
      </x:c>
      <x:c r="D451" s="89" t="str">
        <x:v>Три уровня интенсивности</x:v>
      </x:c>
      <x:c r="E451" s="89" t="str">
        <x:v>Модель почти завершена</x:v>
      </x:c>
      <x:c r="F451" s="89" t="str">
        <x:v>Ступни и нижняя база: Deep Brown/Dark Sand максимальная интенсивность</x:v>
      </x:c>
      <x:c r="G451" s="89" t="str">
        <x:v>Голени и нижний край крыльев: Pale Sand/Umber средняя интенсивность</x:v>
      </x:c>
      <x:c r="H451" s="89" t="str">
        <x:v>Выше колен: только очень слабый общий filter</x:v>
      </x:c>
      <x:c r="I451" s="89" t="str">
        <x:v>Лицо, грудь и верхние рога оставить чистыми</x:v>
      </x:c>
      <x:c r="J451" s="89" t="str">
        <x:v>—</x:v>
      </x:c>
      <x:c r="K451" s="89" t="str">
        <x:v>—</x:v>
      </x:c>
      <x:c r="L451" s="89" t="str">
        <x:v>Вернуть Base на отдельные верхние кромки</x:v>
      </x:c>
      <x:c r="M451" s="89" t="str">
        <x:v>Matt; local Satin wet dirt</x:v>
      </x:c>
      <x:c r="N451" s="90" t="str">
        <x:v>Средняя</x:v>
      </x:c>
      <x:c r="O451" s="89" t="str">
        <x:v>Три уровня должны быть видны при фронтальном просмотре; равномерная пыль по всей модели уничтожает фокус.</x:v>
      </x:c>
      <x:c r="P451" s="89" t="str">
        <x:v>Крупная форма — рабочая техника</x:v>
      </x:c>
      <x:c r="Q451" s="89" t="str">
        <x:v>Рецепт адаптирован под большие плоскости, направленный свет и иерархию текущего проекта.</x:v>
      </x:c>
    </x:row>
    <x:row r="452">
      <x:c r="A452" s="90" t="n">
        <x:v>448</x:v>
      </x:c>
      <x:c r="B452" s="630" t="str">
        <x:v>Контроль качества</x:v>
      </x:c>
      <x:c r="C452" s="630" t="str">
        <x:v>Проверка цветового баланса крупной модели</x:v>
      </x:c>
      <x:c r="D452" s="89" t="str">
        <x:v>Три цветовые массы</x:v>
      </x:c>
      <x:c r="E452" s="89" t="str">
        <x:v>Все основные материалы завершены</x:v>
      </x:c>
      <x:c r="F452" s="89" t="str">
        <x:v>Определить доминирующий цвет кожи</x:v>
      </x:c>
      <x:c r="G452" s="89" t="str">
        <x:v>Определить вторичный цвет металла/крыльев</x:v>
      </x:c>
      <x:c r="H452" s="89" t="str">
        <x:v>Определить акцент магии/глаз</x:v>
      </x:c>
      <x:c r="I452" s="89" t="str">
        <x:v>Приглушить случайные четвёртые яркие цвета glaze</x:v>
      </x:c>
      <x:c r="J452" s="89" t="str">
        <x:v>Повторить акцент в 2–3 малых точках</x:v>
      </x:c>
      <x:c r="K452" s="89" t="str">
        <x:v>—</x:v>
      </x:c>
      <x:c r="L452" s="89" t="str">
        <x:v>Общий filter при необходимости</x:v>
      </x:c>
      <x:c r="M452" s="89" t="str">
        <x:v>Финиш по материалу</x:v>
      </x:c>
      <x:c r="N452" s="90" t="str">
        <x:v>Низкая</x:v>
      </x:c>
      <x:c r="O452" s="89" t="str">
        <x:v>Большая модель выдерживает много деталей, но основные цветовые массы должны оставаться ограниченными и повторяемыми.</x:v>
      </x:c>
      <x:c r="P452" s="89" t="str">
        <x:v>Текущий проект — ближайший этап</x:v>
      </x:c>
      <x:c r="Q452" s="89" t="str">
        <x:v>Рецепт предназначен для ближайших сессий демон-принца и связан с уже завершённой масляной проливкой.</x:v>
      </x:c>
    </x:row>
    <x:row r="453">
      <x:c r="A453" s="90" t="n">
        <x:v>449</x:v>
      </x:c>
      <x:c r="B453" s="630" t="str">
        <x:v>Контроль качества</x:v>
      </x:c>
      <x:c r="C453" s="630" t="str">
        <x:v>Фото-проход крупной модели</x:v>
      </x:c>
      <x:c r="D453" s="89" t="str">
        <x:v>Шесть ракурсов + два макро</x:v>
      </x:c>
      <x:c r="E453" s="89" t="str">
        <x:v>Модель до финального лака</x:v>
      </x:c>
      <x:c r="F453" s="89" t="str">
        <x:v>Фронт, спина, левый и правый профиль</x:v>
      </x:c>
      <x:c r="G453" s="89" t="str">
        <x:v>Вид сверху и уровень глаз модели</x:v>
      </x:c>
      <x:c r="H453" s="89" t="str">
        <x:v>Макро лица</x:v>
      </x:c>
      <x:c r="I453" s="89" t="str">
        <x:v>Макро главного оружия/крыла</x:v>
      </x:c>
      <x:c r="J453" s="89" t="str">
        <x:v>Чёрно-белая копия фронта</x:v>
      </x:c>
      <x:c r="K453" s="89" t="str">
        <x:v>—</x:v>
      </x:c>
      <x:c r="L453" s="89" t="str">
        <x:v>Записать три проблемы и три удачных решения</x:v>
      </x:c>
      <x:c r="M453" s="89" t="str">
        <x:v>Не требуется</x:v>
      </x:c>
      <x:c r="N453" s="90" t="str">
        <x:v>Низкая</x:v>
      </x:c>
      <x:c r="O453" s="89" t="str">
        <x:v>Фотографии должны иметь одинаковый свет и фон. Сравнение ракурсов выявляет несовпадающий свет и непрокрашенные переходы.</x:v>
      </x:c>
      <x:c r="P453" s="89" t="str">
        <x:v>Текущий проект — ближайший этап</x:v>
      </x:c>
      <x:c r="Q453" s="89" t="str">
        <x:v>Рецепт предназначен для ближайших сессий демон-принца и связан с уже завершённой масляной проливкой.</x:v>
      </x:c>
    </x:row>
    <x:row r="454">
      <x:c r="A454" s="90" t="n">
        <x:v>450</x:v>
      </x:c>
      <x:c r="B454" s="630" t="str">
        <x:v>Контроль качества</x:v>
      </x:c>
      <x:c r="C454" s="630" t="str">
        <x:v>Тест карты лаков перед финалом</x:v>
      </x:c>
      <x:c r="D454" s="89" t="str">
        <x:v>Четыре финиша на тестовой карте</x:v>
      </x:c>
      <x:c r="E454" s="89" t="str">
        <x:v>Ложка/карта с цветами проекта</x:v>
      </x:c>
      <x:c r="F454" s="89" t="str">
        <x:v>AK Matt Varnish на первой зоне</x:v>
      </x:c>
      <x:c r="G454" s="89" t="str">
        <x:v>Satin Varnish на второй</x:v>
      </x:c>
      <x:c r="H454" s="89" t="str">
        <x:v>Gloss Varnish на третьей</x:v>
      </x:c>
      <x:c r="I454" s="89" t="str">
        <x:v>Metal Varnish на metallic swatch</x:v>
      </x:c>
      <x:c r="J454" s="89" t="str">
        <x:v>Сравнить изменение цвета и блеска</x:v>
      </x:c>
      <x:c r="K454" s="89" t="str">
        <x:v>Проверить совместимость с Blood/Viscera/Nurgle</x:v>
      </x:c>
      <x:c r="L454" s="89" t="str">
        <x:v>Зафиксировать сопло, PSI и количество проходов</x:v>
      </x:c>
      <x:c r="M454" s="89" t="str">
        <x:v>Не требуется</x:v>
      </x:c>
      <x:c r="N454" s="90" t="str">
        <x:v>Низкая</x:v>
      </x:c>
      <x:c r="O454" s="89" t="str">
        <x:v>Финальный лак сначала тестируется на тех же цветах и металликах. Technical gore и слизь проверяются поверх высохшего Matt, а не под ним.</x:v>
      </x:c>
      <x:c r="P454" s="89" t="str">
        <x:v>Текущий проект — ближайший этап</x:v>
      </x:c>
      <x:c r="Q454" s="89" t="str">
        <x:v>Рецепт предназначен для ближайших сессий демон-принца и связан с уже завершённой масляной проливкой.</x:v>
      </x:c>
    </x:row>
    <x:row r="455">
      <x:c r="A455" s="90" t="n">
        <x:v>451</x:v>
      </x:c>
      <x:c r="B455" s="666" t="str">
        <x:v>Сессионный процесс</x:v>
      </x:c>
      <x:c r="C455" s="666" t="str">
        <x:v>Тестовый участок S01 после масляной проливки</x:v>
      </x:c>
      <x:c r="D455" s="89" t="str">
        <x:v>Один сегмент перед всей моделью</x:v>
      </x:c>
      <x:c r="E455" s="89" t="str">
        <x:v>Полностью высохшая масляная поверхность</x:v>
      </x:c>
      <x:c r="F455" s="89" t="str">
        <x:v>Выбранный основной skin tone + Lahmian Medium 1:3</x:v>
      </x:c>
      <x:c r="G455" s="89" t="str">
        <x:v>Не трогать самое глубокое углубление</x:v>
      </x:c>
      <x:c r="H455" s="89" t="str">
        <x:v>Вернуть цвет на участке 10–15 мм</x:v>
      </x:c>
      <x:c r="I455" s="89" t="str">
        <x:v>Добавить один более светлый тон</x:v>
      </x:c>
      <x:c r="J455" s="89" t="str">
        <x:v>Pale Flesh только на верхней кромке</x:v>
      </x:c>
      <x:c r="K455" s="89" t="str">
        <x:v>—</x:v>
      </x:c>
      <x:c r="L455" s="89" t="str">
        <x:v>Skin tone 1:10 для объединения</x:v>
      </x:c>
      <x:c r="M455" s="89" t="str">
        <x:v>Без финального лака</x:v>
      </x:c>
      <x:c r="N455" s="90" t="str">
        <x:v>Низкая</x:v>
      </x:c>
      <x:c r="O455" s="89" t="str">
        <x:v>Тест проводится на задней или нижней части плеча. Распространять смесь на торс только после проверки цвета, гладкости и сохранения масляной тени.</x:v>
      </x:c>
      <x:c r="P455" s="89" t="str">
        <x:v>S01 — основной процесс</x:v>
      </x:c>
      <x:c r="Q455" s="89" t="str">
        <x:v>Рецепт входит в ближайшую сессию восстановления крупных плоскостей после масляной проливки.</x:v>
      </x:c>
    </x:row>
    <x:row r="456">
      <x:c r="A456" s="90" t="n">
        <x:v>452</x:v>
      </x:c>
      <x:c r="B456" s="666" t="str">
        <x:v>Сессионный процесс</x:v>
      </x:c>
      <x:c r="C456" s="666" t="str">
        <x:v>Возврат среднего тона кистью</x:v>
      </x:c>
      <x:c r="D456" s="89" t="str">
        <x:v>Мягкая glaze большими мазками</x:v>
      </x:c>
      <x:c r="E456" s="89" t="str">
        <x:v>Высохшее масло</x:v>
      </x:c>
      <x:c r="F456" s="89" t="str">
        <x:v>Skin midtone + Lahmian Medium 1:2–1:4</x:v>
      </x:c>
      <x:c r="G456" s="89" t="str">
        <x:v>Глубокие складки оставить без акрила</x:v>
      </x:c>
      <x:c r="H456" s="89" t="str">
        <x:v>Два–четыре тонких слоя на открытых плоскостях</x:v>
      </x:c>
      <x:c r="I456" s="89" t="str">
        <x:v>Светлый midtone только на верхней половине</x:v>
      </x:c>
      <x:c r="J456" s="89" t="str">
        <x:v>—</x:v>
      </x:c>
      <x:c r="K456" s="89" t="str">
        <x:v>—</x:v>
      </x:c>
      <x:c r="L456" s="89" t="str">
        <x:v>Финальная skin glaze 1:10</x:v>
      </x:c>
      <x:c r="M456" s="89" t="str">
        <x:v>Без финального лака</x:v>
      </x:c>
      <x:c r="N456" s="90" t="str">
        <x:v>Средняя</x:v>
      </x:c>
      <x:c r="O456" s="89" t="str">
        <x:v>Кисть подходит для контроля около рельефа. Каждый слой полностью высушивается; повторное прохождение по подсыхающей glaze создаёт пятна.</x:v>
      </x:c>
      <x:c r="P456" s="89" t="str">
        <x:v>S01 — вспомогательная техника</x:v>
      </x:c>
      <x:c r="Q456" s="89" t="str">
        <x:v>Процесс поддерживает воспроизводимость смеси, крупную форму и закрытие рабочей сессии.</x:v>
      </x:c>
    </x:row>
    <x:row r="457">
      <x:c r="A457" s="90" t="n">
        <x:v>453</x:v>
      </x:c>
      <x:c r="B457" s="666" t="str">
        <x:v>Сессионный процесс</x:v>
      </x:c>
      <x:c r="C457" s="666" t="str">
        <x:v>Возврат среднего тона аэрографом</x:v>
      </x:c>
      <x:c r="D457" s="89" t="str">
        <x:v>Локальный прозрачный распыл</x:v>
      </x:c>
      <x:c r="E457" s="89" t="str">
        <x:v>Высохшее масло; модель закреплена в одном положении</x:v>
      </x:c>
      <x:c r="F457" s="89" t="str">
        <x:v>Skin midtone, разведённый до прозрачного слоя</x:v>
      </x:c>
      <x:c r="G457" s="89" t="str">
        <x:v>Теневая сторона прикрыта карточкой или направлением распыла</x:v>
      </x:c>
      <x:c r="H457" s="89" t="str">
        <x:v>Три–пять лёгких проходов</x:v>
      </x:c>
      <x:c r="I457" s="89" t="str">
        <x:v>Светлый midtone меньшей зоной</x:v>
      </x:c>
      <x:c r="J457" s="89" t="str">
        <x:v>—</x:v>
      </x:c>
      <x:c r="K457" s="89" t="str">
        <x:v>—</x:v>
      </x:c>
      <x:c r="L457" s="89" t="str">
        <x:v>Skin tone прозрачным фильтром при необходимости</x:v>
      </x:c>
      <x:c r="M457" s="89" t="str">
        <x:v>Без финального лака</x:v>
      </x:c>
      <x:c r="N457" s="90" t="str">
        <x:v>Высокая</x:v>
      </x:c>
      <x:c r="O457" s="89" t="str">
        <x:v>Рабочий слой должен наращивать цвет постепенно. Один мокрый проход перекроет масляную тень и создаст блестящую кромку.</x:v>
      </x:c>
      <x:c r="P457" s="89" t="str">
        <x:v>S01 — вспомогательная техника</x:v>
      </x:c>
      <x:c r="Q457" s="89" t="str">
        <x:v>Процесс поддерживает воспроизводимость смеси, крупную форму и закрытие рабочей сессии.</x:v>
      </x:c>
    </x:row>
    <x:row r="458">
      <x:c r="A458" s="90" t="n">
        <x:v>454</x:v>
      </x:c>
      <x:c r="B458" s="666" t="str">
        <x:v>Сессионный процесс</x:v>
      </x:c>
      <x:c r="C458" s="666" t="str">
        <x:v>Гибридный возврат среднего тона</x:v>
      </x:c>
      <x:c r="D458" s="89" t="str">
        <x:v>Аэрограф по плоскости + кисть около рельефа</x:v>
      </x:c>
      <x:c r="E458" s="89" t="str">
        <x:v>Высохшее масло</x:v>
      </x:c>
      <x:c r="F458" s="89" t="str">
        <x:v>Skin midtone аэрографом на крупнейшие плоскости</x:v>
      </x:c>
      <x:c r="G458" s="89" t="str">
        <x:v>Кистью оставить и уточнить масляные углубления</x:v>
      </x:c>
      <x:c r="H458" s="89" t="str">
        <x:v>Glaze кистью соединить края аэрографного пятна</x:v>
      </x:c>
      <x:c r="I458" s="89" t="str">
        <x:v>Светлый midtone локально</x:v>
      </x:c>
      <x:c r="J458" s="89" t="str">
        <x:v>—</x:v>
      </x:c>
      <x:c r="K458" s="89" t="str">
        <x:v>—</x:v>
      </x:c>
      <x:c r="L458" s="89" t="str">
        <x:v>Финальный skin filter 1:12</x:v>
      </x:c>
      <x:c r="M458" s="89" t="str">
        <x:v>Без финального лака</x:v>
      </x:c>
      <x:c r="N458" s="90" t="str">
        <x:v>Высокая</x:v>
      </x:c>
      <x:c r="O458" s="89" t="str">
        <x:v>Для демон-принца это наиболее управляемый вариант: аэрограф возвращает масштаб формы, кисть защищает глубокие анатомические тени.</x:v>
      </x:c>
      <x:c r="P458" s="89" t="str">
        <x:v>S01 — основной процесс</x:v>
      </x:c>
      <x:c r="Q458" s="89" t="str">
        <x:v>Рецепт входит в ближайшую сессию восстановления крупных плоскостей после масляной проливки.</x:v>
      </x:c>
    </x:row>
    <x:row r="459">
      <x:c r="A459" s="90" t="n">
        <x:v>455</x:v>
      </x:c>
      <x:c r="B459" s="667" t="str">
        <x:v>Контроль качества</x:v>
      </x:c>
      <x:c r="C459" s="667" t="str">
        <x:v>Сохранение самой глубокой масляной тени</x:v>
      </x:c>
      <x:c r="D459" s="89" t="str">
        <x:v>Контрольная зона без перекрытия</x:v>
      </x:c>
      <x:c r="E459" s="89" t="str">
        <x:v>Высохшее масло</x:v>
      </x:c>
      <x:c r="F459" s="89" t="str">
        <x:v>Акрил не наносится в выбранную контрольную впадину</x:v>
      </x:c>
      <x:c r="G459" s="89" t="str">
        <x:v>Соседняя плоскость восстанавливается до среднего тона</x:v>
      </x:c>
      <x:c r="H459" s="89" t="str">
        <x:v>Сравнить контраст до и после</x:v>
      </x:c>
      <x:c r="I459" s="89" t="str">
        <x:v>При необходимости смягчить край glaze</x:v>
      </x:c>
      <x:c r="J459" s="89" t="str">
        <x:v>—</x:v>
      </x:c>
      <x:c r="K459" s="89" t="str">
        <x:v>—</x:v>
      </x:c>
      <x:c r="L459" s="89" t="str">
        <x:v>Фото при боковом свете</x:v>
      </x:c>
      <x:c r="M459" s="89" t="str">
        <x:v>Без лака</x:v>
      </x:c>
      <x:c r="N459" s="90" t="str">
        <x:v>Низкая</x:v>
      </x:c>
      <x:c r="O459" s="89" t="str">
        <x:v>На каждой крупной зоне оставить минимум одну контрольную тень. Если она исчезла, дальнейшее восстановление останавливается и смесь делается прозрачнее.</x:v>
      </x:c>
      <x:c r="P459" s="89" t="str">
        <x:v>S01 — контрольный gate</x:v>
      </x:c>
      <x:c r="Q459" s="89" t="str">
        <x:v>Рецепт определяет безопасность поверхности, сохранение тени, фото-контроль или формальный критерий остановки.</x:v>
      </x:c>
    </x:row>
    <x:row r="460">
      <x:c r="A460" s="90" t="n">
        <x:v>456</x:v>
      </x:c>
      <x:c r="B460" s="668" t="str">
        <x:v>Монстры и демоны</x:v>
      </x:c>
      <x:c r="C460" s="668" t="str">
        <x:v>Восстановление грудных плоскостей</x:v>
      </x:c>
      <x:c r="D460" s="89" t="str">
        <x:v>Широкие световые массы</x:v>
      </x:c>
      <x:c r="E460" s="89" t="str">
        <x:v>Рецепт 451 подтверждён</x:v>
      </x:c>
      <x:c r="F460" s="89" t="str">
        <x:v>Skin midtone на центральные грудные плоскости</x:v>
      </x:c>
      <x:c r="G460" s="89" t="str">
        <x:v>Тень сохранить под мышцами и у грудины</x:v>
      </x:c>
      <x:c r="H460" s="89" t="str">
        <x:v>Светлый midtone на верхней половине</x:v>
      </x:c>
      <x:c r="I460" s="89" t="str">
        <x:v>Pale Flesh на верхнем изгибе</x:v>
      </x:c>
      <x:c r="J460" s="89" t="str">
        <x:v>Pallid точечно только при сильном ключевом свете</x:v>
      </x:c>
      <x:c r="K460" s="89" t="str">
        <x:v>—</x:v>
      </x:c>
      <x:c r="L460" s="89" t="str">
        <x:v>Skin glaze по переходам</x:v>
      </x:c>
      <x:c r="M460" s="89" t="str">
        <x:v>Без финального лака</x:v>
      </x:c>
      <x:c r="N460" s="90" t="str">
        <x:v>Средняя</x:v>
      </x:c>
      <x:c r="O460" s="89" t="str">
        <x:v>Грудь читается двумя–четырьмя крупными плоскостями. Не строить мелкую сетку отдельных мышечных высветлений.</x:v>
      </x:c>
      <x:c r="P460" s="89" t="str">
        <x:v>S01 — основной процесс</x:v>
      </x:c>
      <x:c r="Q460" s="89" t="str">
        <x:v>Рецепт входит в ближайшую сессию восстановления крупных плоскостей после масляной проливки.</x:v>
      </x:c>
    </x:row>
    <x:row r="461">
      <x:c r="A461" s="90" t="n">
        <x:v>457</x:v>
      </x:c>
      <x:c r="B461" s="668" t="str">
        <x:v>Монстры и демоны</x:v>
      </x:c>
      <x:c r="C461" s="668" t="str">
        <x:v>Восстановление плеч</x:v>
      </x:c>
      <x:c r="D461" s="89" t="str">
        <x:v>Сферический световой переход</x:v>
      </x:c>
      <x:c r="E461" s="89" t="str">
        <x:v>Рецепт 451 подтверждён</x:v>
      </x:c>
      <x:c r="F461" s="89" t="str">
        <x:v>Skin midtone на обращённой к свету половине плеча</x:v>
      </x:c>
      <x:c r="G461" s="89" t="str">
        <x:v>Масляная тень оставить снизу и у соединения с торсом</x:v>
      </x:c>
      <x:c r="H461" s="89" t="str">
        <x:v>Светлый skin tone по верхней дуге</x:v>
      </x:c>
      <x:c r="I461" s="89" t="str">
        <x:v>Pale Flesh меньшей дугой</x:v>
      </x:c>
      <x:c r="J461" s="89" t="str">
        <x:v>Pallid точечно</x:v>
      </x:c>
      <x:c r="K461" s="89" t="str">
        <x:v>—</x:v>
      </x:c>
      <x:c r="L461" s="89" t="str">
        <x:v>Skin tone 1:12 для смягчения</x:v>
      </x:c>
      <x:c r="M461" s="89" t="str">
        <x:v>Без финального лака</x:v>
      </x:c>
      <x:c r="N461" s="90" t="str">
        <x:v>Средняя</x:v>
      </x:c>
      <x:c r="O461" s="89" t="str">
        <x:v>Плечо читается как крупная сфера: одна широкая дуга света и единая нижняя тень, а не множество отдельных коротких бликов.</x:v>
      </x:c>
      <x:c r="P461" s="89" t="str">
        <x:v>S01 — основной процесс</x:v>
      </x:c>
      <x:c r="Q461" s="89" t="str">
        <x:v>Рецепт входит в ближайшую сессию восстановления крупных плоскостей после масляной проливки.</x:v>
      </x:c>
    </x:row>
    <x:row r="462">
      <x:c r="A462" s="90" t="n">
        <x:v>458</x:v>
      </x:c>
      <x:c r="B462" s="668" t="str">
        <x:v>Монстры и демоны</x:v>
      </x:c>
      <x:c r="C462" s="668" t="str">
        <x:v>Восстановление верхних рук</x:v>
      </x:c>
      <x:c r="D462" s="89" t="str">
        <x:v>Цилиндрическая модуляция</x:v>
      </x:c>
      <x:c r="E462" s="89" t="str">
        <x:v>Рецепт 451 подтверждён</x:v>
      </x:c>
      <x:c r="F462" s="89" t="str">
        <x:v>Skin midtone на стороне ключевого света</x:v>
      </x:c>
      <x:c r="G462" s="89" t="str">
        <x:v>Тень оставить на внутренней/нижней стороне</x:v>
      </x:c>
      <x:c r="H462" s="89" t="str">
        <x:v>Светлый skin tone узкой продольной зоной</x:v>
      </x:c>
      <x:c r="I462" s="89" t="str">
        <x:v>Pale Flesh на верхнем изгибе</x:v>
      </x:c>
      <x:c r="J462" s="89" t="str">
        <x:v>—</x:v>
      </x:c>
      <x:c r="K462" s="89" t="str">
        <x:v>—</x:v>
      </x:c>
      <x:c r="L462" s="89" t="str">
        <x:v>Skin glaze поперёк границы света</x:v>
      </x:c>
      <x:c r="M462" s="89" t="str">
        <x:v>Без финального лака</x:v>
      </x:c>
      <x:c r="N462" s="90" t="str">
        <x:v>Средняя</x:v>
      </x:c>
      <x:c r="O462" s="89" t="str">
        <x:v>Свет идёт вдоль цилиндрической формы руки. Поперечные кольца света уменьшают ощущение массы.</x:v>
      </x:c>
      <x:c r="P462" s="89" t="str">
        <x:v>S01 — основной процесс</x:v>
      </x:c>
      <x:c r="Q462" s="89" t="str">
        <x:v>Рецепт входит в ближайшую сессию восстановления крупных плоскостей после масляной проливки.</x:v>
      </x:c>
    </x:row>
    <x:row r="463">
      <x:c r="A463" s="90" t="n">
        <x:v>459</x:v>
      </x:c>
      <x:c r="B463" s="668" t="str">
        <x:v>Монстры и демоны</x:v>
      </x:c>
      <x:c r="C463" s="668" t="str">
        <x:v>Восстановление верхней спины</x:v>
      </x:c>
      <x:c r="D463" s="89" t="str">
        <x:v>Крупные лопаточные плоскости</x:v>
      </x:c>
      <x:c r="E463" s="89" t="str">
        <x:v>Рецепт 451 подтверждён</x:v>
      </x:c>
      <x:c r="F463" s="89" t="str">
        <x:v>Skin midtone по лопаткам и верхнему гребню</x:v>
      </x:c>
      <x:c r="G463" s="89" t="str">
        <x:v>Масляные тени сохранить между лопатками и под крыльями</x:v>
      </x:c>
      <x:c r="H463" s="89" t="str">
        <x:v>Светлый midtone на обращённых вверх плоскостях</x:v>
      </x:c>
      <x:c r="I463" s="89" t="str">
        <x:v>Pale Flesh на гребнях</x:v>
      </x:c>
      <x:c r="J463" s="89" t="str">
        <x:v>—</x:v>
      </x:c>
      <x:c r="K463" s="89" t="str">
        <x:v>—</x:v>
      </x:c>
      <x:c r="L463" s="89" t="str">
        <x:v>Skin glaze объединяет спину и плечи</x:v>
      </x:c>
      <x:c r="M463" s="89" t="str">
        <x:v>Без финального лака</x:v>
      </x:c>
      <x:c r="N463" s="90" t="str">
        <x:v>Средняя</x:v>
      </x:c>
      <x:c r="O463" s="89" t="str">
        <x:v>Спина должна продолжать свет торса. Под основаниями крыльев тени глубже, но не превращаются в сплошное чёрное пятно.</x:v>
      </x:c>
      <x:c r="P463" s="89" t="str">
        <x:v>S01 — основной процесс</x:v>
      </x:c>
      <x:c r="Q463" s="89" t="str">
        <x:v>Рецепт входит в ближайшую сессию восстановления крупных плоскостей после масляной проливки.</x:v>
      </x:c>
    </x:row>
    <x:row r="464">
      <x:c r="A464" s="90" t="n">
        <x:v>460</x:v>
      </x:c>
      <x:c r="B464" s="666" t="str">
        <x:v>Сессионный процесс</x:v>
      </x:c>
      <x:c r="C464" s="666" t="str">
        <x:v>Соединение восстановленных зон</x:v>
      </x:c>
      <x:c r="D464" s="89" t="str">
        <x:v>Общий прозрачный фильтр</x:v>
      </x:c>
      <x:c r="E464" s="89" t="str">
        <x:v>Грудь, плечи, руки и спина восстановлены</x:v>
      </x:c>
      <x:c r="F464" s="89" t="str">
        <x:v>Основной skin tone + Medium 1:10–1:15</x:v>
      </x:c>
      <x:c r="G464" s="89" t="str">
        <x:v>Нанести только на границы отдельных рабочих зон</x:v>
      </x:c>
      <x:c r="H464" s="89" t="str">
        <x:v>Не покрывать всю модель одинаково</x:v>
      </x:c>
      <x:c r="I464" s="89" t="str">
        <x:v>Вернуть один-два максимальных света</x:v>
      </x:c>
      <x:c r="J464" s="89" t="str">
        <x:v>—</x:v>
      </x:c>
      <x:c r="K464" s="89" t="str">
        <x:v>—</x:v>
      </x:c>
      <x:c r="L464" s="89" t="str">
        <x:v>Повторить только после полного высыхания</x:v>
      </x:c>
      <x:c r="M464" s="89" t="str">
        <x:v>Без финального лака</x:v>
      </x:c>
      <x:c r="N464" s="90" t="str">
        <x:v>Средняя</x:v>
      </x:c>
      <x:c r="O464" s="89" t="str">
        <x:v>Фильтр нужен для устранения видимых границ сессии. Общая заливка всей кожи снова уменьшит глубину масляных теней.</x:v>
      </x:c>
      <x:c r="P464" s="89" t="str">
        <x:v>S01 — вспомогательная техника</x:v>
      </x:c>
      <x:c r="Q464" s="89" t="str">
        <x:v>Процесс поддерживает воспроизводимость смеси, крупную форму и закрытие рабочей сессии.</x:v>
      </x:c>
    </x:row>
    <x:row r="465">
      <x:c r="A465" s="90" t="n">
        <x:v>461</x:v>
      </x:c>
      <x:c r="B465" s="669" t="str">
        <x:v>Коррекция</x:v>
      </x:c>
      <x:c r="C465" s="669" t="str">
        <x:v>Исправление акриловой заплаты поверх масла</x:v>
      </x:c>
      <x:c r="D465" s="89" t="str">
        <x:v>Сужение и прозрачное объединение</x:v>
      </x:c>
      <x:c r="E465" s="89" t="str">
        <x:v>Локальная слишком укрывистая зона</x:v>
      </x:c>
      <x:c r="F465" s="89" t="str">
        <x:v>Skin midtone + Medium 1:8 по краю заплаты</x:v>
      </x:c>
      <x:c r="G465" s="89" t="str">
        <x:v>Глубокую сторону затемнить Targor/Dreadful 1:10</x:v>
      </x:c>
      <x:c r="H465" s="89" t="str">
        <x:v>Светлую сторону растянуть исходным midtone</x:v>
      </x:c>
      <x:c r="I465" s="89" t="str">
        <x:v>Вернуть локальный свет</x:v>
      </x:c>
      <x:c r="J465" s="89" t="str">
        <x:v>—</x:v>
      </x:c>
      <x:c r="K465" s="89" t="str">
        <x:v>—</x:v>
      </x:c>
      <x:c r="L465" s="89" t="str">
        <x:v>Skin glaze на более широкую переходную область</x:v>
      </x:c>
      <x:c r="M465" s="89" t="str">
        <x:v>Без финального лака</x:v>
      </x:c>
      <x:c r="N465" s="90" t="str">
        <x:v>Средняя</x:v>
      </x:c>
      <x:c r="O465" s="89" t="str">
        <x:v>Не увеличивать заплату новым укрывистым слоем. Коррекция расширяет только прозрачную переходную область.</x:v>
      </x:c>
      <x:c r="P465" s="89" t="str">
        <x:v>S01 — коррекция</x:v>
      </x:c>
      <x:c r="Q465" s="89" t="str">
        <x:v>Использовать только при конкретном дефекте; не применять профилактически по всей модели.</x:v>
      </x:c>
    </x:row>
    <x:row r="466">
      <x:c r="A466" s="90" t="n">
        <x:v>462</x:v>
      </x:c>
      <x:c r="B466" s="669" t="str">
        <x:v>Коррекция</x:v>
      </x:c>
      <x:c r="C466" s="669" t="str">
        <x:v>Возврат насыщенности после серого масла</x:v>
      </x:c>
      <x:c r="D466" s="89" t="str">
        <x:v>Цветная skin glaze</x:v>
      </x:c>
      <x:c r="E466" s="89" t="str">
        <x:v>Объём восстановлен, но кожа остаётся серой</x:v>
      </x:c>
      <x:c r="F466" s="89" t="str">
        <x:v>Исходный насыщенный skin colour + Medium 1:10–1:15</x:v>
      </x:c>
      <x:c r="G466" s="89" t="str">
        <x:v>Нанести только на средние тона</x:v>
      </x:c>
      <x:c r="H466" s="89" t="str">
        <x:v>Оставить холодные масляные тени</x:v>
      </x:c>
      <x:c r="I466" s="89" t="str">
        <x:v>Света сохранить чистыми</x:v>
      </x:c>
      <x:c r="J466" s="89" t="str">
        <x:v>—</x:v>
      </x:c>
      <x:c r="K466" s="89" t="str">
        <x:v>—</x:v>
      </x:c>
      <x:c r="L466" s="89" t="str">
        <x:v>Повторять малыми слоями</x:v>
      </x:c>
      <x:c r="M466" s="89" t="str">
        <x:v>Без финального лака</x:v>
      </x:c>
      <x:c r="N466" s="90" t="str">
        <x:v>Средняя</x:v>
      </x:c>
      <x:c r="O466" s="89" t="str">
        <x:v>Насыщенность возвращается в средние значения, а не в самые тёмные и самые светлые зоны.</x:v>
      </x:c>
      <x:c r="P466" s="89" t="str">
        <x:v>S01 — коррекция</x:v>
      </x:c>
      <x:c r="Q466" s="89" t="str">
        <x:v>Использовать только при конкретном дефекте; не применять профилактически по всей модели.</x:v>
      </x:c>
    </x:row>
    <x:row r="467">
      <x:c r="A467" s="90" t="n">
        <x:v>463</x:v>
      </x:c>
      <x:c r="B467" s="666" t="str">
        <x:v>Сессионный процесс</x:v>
      </x:c>
      <x:c r="C467" s="666" t="str">
        <x:v>Тёплый вариант среднего тона S01</x:v>
      </x:c>
      <x:c r="D467" s="89" t="str">
        <x:v>Незаметный температурный сдвиг</x:v>
      </x:c>
      <x:c r="E467" s="89" t="str">
        <x:v>Базовый midtone определён</x:v>
      </x:c>
      <x:c r="F467" s="89" t="str">
        <x:v>Skin midtone + очень малая доля Cadian Fleshtone или Sickly Pink</x:v>
      </x:c>
      <x:c r="G467" s="89" t="str">
        <x:v>Использовать на груди и лице со стороны света</x:v>
      </x:c>
      <x:c r="H467" s="89" t="str">
        <x:v>Обычный midtone оставить на соседних плоскостях</x:v>
      </x:c>
      <x:c r="I467" s="89" t="str">
        <x:v>Pale Flesh на максимуме</x:v>
      </x:c>
      <x:c r="J467" s="89" t="str">
        <x:v>—</x:v>
      </x:c>
      <x:c r="K467" s="89" t="str">
        <x:v>—</x:v>
      </x:c>
      <x:c r="L467" s="89" t="str">
        <x:v>Общий skin glaze</x:v>
      </x:c>
      <x:c r="M467" s="89" t="str">
        <x:v>Без финального лака</x:v>
      </x:c>
      <x:c r="N467" s="90" t="str">
        <x:v>Высокая</x:v>
      </x:c>
      <x:c r="O467" s="89" t="str">
        <x:v>Тёплый вариант должен отличаться только при сравнении рядом. Явно розовая грудь будет выглядеть отдельным материалом.</x:v>
      </x:c>
      <x:c r="P467" s="89" t="str">
        <x:v>S01 — вспомогательная техника</x:v>
      </x:c>
      <x:c r="Q467" s="89" t="str">
        <x:v>Процесс поддерживает воспроизводимость смеси, крупную форму и закрытие рабочей сессии.</x:v>
      </x:c>
    </x:row>
    <x:row r="468">
      <x:c r="A468" s="90" t="n">
        <x:v>464</x:v>
      </x:c>
      <x:c r="B468" s="666" t="str">
        <x:v>Сессионный процесс</x:v>
      </x:c>
      <x:c r="C468" s="666" t="str">
        <x:v>Холодный вариант среднего тона S01</x:v>
      </x:c>
      <x:c r="D468" s="89" t="str">
        <x:v>Незаметный температурный сдвиг</x:v>
      </x:c>
      <x:c r="E468" s="89" t="str">
        <x:v>Базовый midtone определён</x:v>
      </x:c>
      <x:c r="F468" s="89" t="str">
        <x:v>Skin midtone + малая доля Deepkin Flesh или Dreadful Visage</x:v>
      </x:c>
      <x:c r="G468" s="89" t="str">
        <x:v>Использовать на теневой стороне и верхней спине</x:v>
      </x:c>
      <x:c r="H468" s="89" t="str">
        <x:v>Обычный midtone вернуть на переход</x:v>
      </x:c>
      <x:c r="I468" s="89" t="str">
        <x:v>Света не охлаждать полностью</x:v>
      </x:c>
      <x:c r="J468" s="89" t="str">
        <x:v>—</x:v>
      </x:c>
      <x:c r="K468" s="89" t="str">
        <x:v>—</x:v>
      </x:c>
      <x:c r="L468" s="89" t="str">
        <x:v>Skin glaze</x:v>
      </x:c>
      <x:c r="M468" s="89" t="str">
        <x:v>Без финального лака</x:v>
      </x:c>
      <x:c r="N468" s="90" t="str">
        <x:v>Высокая</x:v>
      </x:c>
      <x:c r="O468" s="89" t="str">
        <x:v>Холодный вариант поддерживает масляную тень, но не должен превращать кожу в серо-лиловую отдельную зону.</x:v>
      </x:c>
      <x:c r="P468" s="89" t="str">
        <x:v>S01 — вспомогательная техника</x:v>
      </x:c>
      <x:c r="Q468" s="89" t="str">
        <x:v>Процесс поддерживает воспроизводимость смеси, крупную форму и закрытие рабочей сессии.</x:v>
      </x:c>
    </x:row>
    <x:row r="469">
      <x:c r="A469" s="90" t="n">
        <x:v>465</x:v>
      </x:c>
      <x:c r="B469" s="669" t="str">
        <x:v>Коррекция</x:v>
      </x:c>
      <x:c r="C469" s="669" t="str">
        <x:v>Устранение кольца от glaze</x:v>
      </x:c>
      <x:c r="D469" s="89" t="str">
        <x:v>Повторное смачивание только новым слоем</x:v>
      </x:c>
      <x:c r="E469" s="89" t="str">
        <x:v>Полностью высохшее кольцо</x:v>
      </x:c>
      <x:c r="F469" s="89" t="str">
        <x:v>Skin midtone непрозрачно-точно внутри худшей части</x:v>
      </x:c>
      <x:c r="G469" s="89" t="str">
        <x:v>Высушить</x:v>
      </x:c>
      <x:c r="H469" s="89" t="str">
        <x:v>Skin tone + Medium 1:10 нанести шире кольца</x:v>
      </x:c>
      <x:c r="I469" s="89" t="str">
        <x:v>Снять излишек с края чистой кистью</x:v>
      </x:c>
      <x:c r="J469" s="89" t="str">
        <x:v>—</x:v>
      </x:c>
      <x:c r="K469" s="89" t="str">
        <x:v>—</x:v>
      </x:c>
      <x:c r="L469" s="89" t="str">
        <x:v>Повторить после полного высыхания</x:v>
      </x:c>
      <x:c r="M469" s="89" t="str">
        <x:v>Без финального лака</x:v>
      </x:c>
      <x:c r="N469" s="90" t="str">
        <x:v>Средняя</x:v>
      </x:c>
      <x:c r="O469" s="89" t="str">
        <x:v>Не пытаться размыть подсыхающее кольцо водой: это создаст ещё более заметную границу.</x:v>
      </x:c>
      <x:c r="P469" s="89" t="str">
        <x:v>S01 — коррекция</x:v>
      </x:c>
      <x:c r="Q469" s="89" t="str">
        <x:v>Использовать только при конкретном дефекте; не применять профилактически по всей модели.</x:v>
      </x:c>
    </x:row>
    <x:row r="470">
      <x:c r="A470" s="90" t="n">
        <x:v>466</x:v>
      </x:c>
      <x:c r="B470" s="666" t="str">
        <x:v>Сессионный процесс</x:v>
      </x:c>
      <x:c r="C470" s="666" t="str">
        <x:v>Минимальные света после S01</x:v>
      </x:c>
      <x:c r="D470" s="89" t="str">
        <x:v>Только проверка направления</x:v>
      </x:c>
      <x:c r="E470" s="89" t="str">
        <x:v>Основной цвет крупных плоскостей восстановлен</x:v>
      </x:c>
      <x:c r="F470" s="89" t="str">
        <x:v>Светлый skin tone на 10–20% площади</x:v>
      </x:c>
      <x:c r="G470" s="89" t="str">
        <x:v>Pale Flesh на 3–5% площади</x:v>
      </x:c>
      <x:c r="H470" s="89" t="str">
        <x:v>Не использовать Pallid/White широко</x:v>
      </x:c>
      <x:c r="I470" s="89" t="str">
        <x:v>Сравнить с лицом, которое ещё не закончено</x:v>
      </x:c>
      <x:c r="J470" s="89" t="str">
        <x:v>—</x:v>
      </x:c>
      <x:c r="K470" s="89" t="str">
        <x:v>—</x:v>
      </x:c>
      <x:c r="L470" s="89" t="str">
        <x:v>Skin glaze при чрезмерной резкости</x:v>
      </x:c>
      <x:c r="M470" s="89" t="str">
        <x:v>Без финального лака</x:v>
      </x:c>
      <x:c r="N470" s="90" t="str">
        <x:v>Низкая</x:v>
      </x:c>
      <x:c r="O470" s="89" t="str">
        <x:v>S01 не является финальным высветлением кожи. Цель — обозначить направление света, оставив запас яркости для лица и поздних сессий.</x:v>
      </x:c>
      <x:c r="P470" s="89" t="str">
        <x:v>S01 — вспомогательная техника</x:v>
      </x:c>
      <x:c r="Q470" s="89" t="str">
        <x:v>Процесс поддерживает воспроизводимость смеси, крупную форму и закрытие рабочей сессии.</x:v>
      </x:c>
    </x:row>
    <x:row r="471">
      <x:c r="A471" s="90" t="n">
        <x:v>467</x:v>
      </x:c>
      <x:c r="B471" s="667" t="str">
        <x:v>Контроль качества</x:v>
      </x:c>
      <x:c r="C471" s="667" t="str">
        <x:v>Запрет микродетализации до завершения S02</x:v>
      </x:c>
      <x:c r="D471" s="89" t="str">
        <x:v>Проектный gate</x:v>
      </x:c>
      <x:c r="E471" s="89" t="str">
        <x:v>S01 завершена</x:v>
      </x:c>
      <x:c r="F471" s="89" t="str">
        <x:v>Не добавлять вены, поры, шрамы, кровь и пятна</x:v>
      </x:c>
      <x:c r="G471" s="89" t="str">
        <x:v>Разрешены только исправления midtone и света</x:v>
      </x:c>
      <x:c r="H471" s="89" t="str">
        <x:v>Перейти к мышцам и брюху S02</x:v>
      </x:c>
      <x:c r="I471" s="89" t="str">
        <x:v>—</x:v>
      </x:c>
      <x:c r="J471" s="89" t="str">
        <x:v>—</x:v>
      </x:c>
      <x:c r="K471" s="89" t="str">
        <x:v>—</x:v>
      </x:c>
      <x:c r="L471" s="89" t="str">
        <x:v>Статус проекта обновить</x:v>
      </x:c>
      <x:c r="M471" s="89" t="str">
        <x:v>Не требуется</x:v>
      </x:c>
      <x:c r="N471" s="90" t="str">
        <x:v>Низкая</x:v>
      </x:c>
      <x:c r="O471" s="89" t="str">
        <x:v>Gate сохраняет крупные формы. Детализация разрешается после подтверждения анатомии в чёрно-белом фото.</x:v>
      </x:c>
      <x:c r="P471" s="89" t="str">
        <x:v>S01 — контрольный gate</x:v>
      </x:c>
      <x:c r="Q471" s="89" t="str">
        <x:v>Рецепт определяет безопасность поверхности, сохранение тени, фото-контроль или формальный критерий остановки.</x:v>
      </x:c>
    </x:row>
    <x:row r="472">
      <x:c r="A472" s="90" t="n">
        <x:v>468</x:v>
      </x:c>
      <x:c r="B472" s="667" t="str">
        <x:v>Контроль качества</x:v>
      </x:c>
      <x:c r="C472" s="667" t="str">
        <x:v>Нейтральное фото S01</x:v>
      </x:c>
      <x:c r="D472" s="89" t="str">
        <x:v>Фронт, профиль и верх</x:v>
      </x:c>
      <x:c r="E472" s="89" t="str">
        <x:v>Сессия завершена, поверхность сухая</x:v>
      </x:c>
      <x:c r="F472" s="89" t="str">
        <x:v>Одинаковый нейтральный свет и фон</x:v>
      </x:c>
      <x:c r="G472" s="89" t="str">
        <x:v>Фронт проверяет фокус</x:v>
      </x:c>
      <x:c r="H472" s="89" t="str">
        <x:v>Профиль проверяет теневую сторону</x:v>
      </x:c>
      <x:c r="I472" s="89" t="str">
        <x:v>Верх проверяет плечи и спину</x:v>
      </x:c>
      <x:c r="J472" s="89" t="str">
        <x:v>Чёрно-белая копия фронта</x:v>
      </x:c>
      <x:c r="K472" s="89" t="str">
        <x:v>—</x:v>
      </x:c>
      <x:c r="L472" s="89" t="str">
        <x:v>Сохранить ссылки в проектном листе</x:v>
      </x:c>
      <x:c r="M472" s="89" t="str">
        <x:v>Не требуется</x:v>
      </x:c>
      <x:c r="N472" s="90" t="str">
        <x:v>Низкая</x:v>
      </x:c>
      <x:c r="O472" s="89" t="str">
        <x:v>Фото выполняются до любой микродетализации. Они должны показать, сохранилась ли масляная тень и совпадает ли свет на крупных плоскостях.</x:v>
      </x:c>
      <x:c r="P472" s="89" t="str">
        <x:v>S01 — контрольный gate</x:v>
      </x:c>
      <x:c r="Q472" s="89" t="str">
        <x:v>Рецепт определяет безопасность поверхности, сохранение тени, фото-контроль или формальный критерий остановки.</x:v>
      </x:c>
    </x:row>
    <x:row r="473">
      <x:c r="A473" s="90" t="n">
        <x:v>469</x:v>
      </x:c>
      <x:c r="B473" s="667" t="str">
        <x:v>Контроль качества</x:v>
      </x:c>
      <x:c r="C473" s="667" t="str">
        <x:v>Чёрно-белая проверка S01</x:v>
      </x:c>
      <x:c r="D473" s="89" t="str">
        <x:v>Пять уровней значения</x:v>
      </x:c>
      <x:c r="E473" s="89" t="str">
        <x:v>Нейтральное фото S01</x:v>
      </x:c>
      <x:c r="F473" s="89" t="str">
        <x:v>1 — глубокие масляные впадины</x:v>
      </x:c>
      <x:c r="G473" s="89" t="str">
        <x:v>2 — теневые плоскости</x:v>
      </x:c>
      <x:c r="H473" s="89" t="str">
        <x:v>3 — восстановленный midtone</x:v>
      </x:c>
      <x:c r="I473" s="89" t="str">
        <x:v>4 — светлый midtone</x:v>
      </x:c>
      <x:c r="J473" s="89" t="str">
        <x:v>5 — редкий Pale Flesh</x:v>
      </x:c>
      <x:c r="K473" s="89" t="str">
        <x:v>—</x:v>
      </x:c>
      <x:c r="L473" s="89" t="str">
        <x:v>Исправить только отсутствующий уровень</x:v>
      </x:c>
      <x:c r="M473" s="89" t="str">
        <x:v>Не требуется</x:v>
      </x:c>
      <x:c r="N473" s="90" t="str">
        <x:v>Средняя</x:v>
      </x:c>
      <x:c r="O473" s="89" t="str">
        <x:v>Если уровни 1–2 исчезли, цвет восстановлен слишком укрывисто. Если отсутствует 3, кожа остаётся серой и не восстановлена.</x:v>
      </x:c>
      <x:c r="P473" s="89" t="str">
        <x:v>S01 — контрольный gate</x:v>
      </x:c>
      <x:c r="Q473" s="89" t="str">
        <x:v>Рецепт определяет безопасность поверхности, сохранение тени, фото-контроль или формальный критерий остановки.</x:v>
      </x:c>
    </x:row>
    <x:row r="474">
      <x:c r="A474" s="90" t="n">
        <x:v>470</x:v>
      </x:c>
      <x:c r="B474" s="667" t="str">
        <x:v>Контроль качества</x:v>
      </x:c>
      <x:c r="C474" s="667" t="str">
        <x:v>Критерий остановки S01</x:v>
      </x:c>
      <x:c r="D474" s="89" t="str">
        <x:v>Формальная проверка</x:v>
      </x:c>
      <x:c r="E474" s="89" t="str">
        <x:v>Все зоны S01 обработаны</x:v>
      </x:c>
      <x:c r="F474" s="89" t="str">
        <x:v>Сохранение теней не ниже 4/5</x:v>
      </x:c>
      <x:c r="G474" s="89" t="str">
        <x:v>Возврат цвета не ниже 4/5</x:v>
      </x:c>
      <x:c r="H474" s="89" t="str">
        <x:v>Гладкость не ниже 3/5</x:v>
      </x:c>
      <x:c r="I474" s="89" t="str">
        <x:v>Нет мокрых колец и укрывистых заплат</x:v>
      </x:c>
      <x:c r="J474" s="89" t="str">
        <x:v>Есть фронтальное фото</x:v>
      </x:c>
      <x:c r="K474" s="89" t="str">
        <x:v>—</x:v>
      </x:c>
      <x:c r="L474" s="89" t="str">
        <x:v>Обновить статус S01 на «Готово»</x:v>
      </x:c>
      <x:c r="M474" s="89" t="str">
        <x:v>Не требуется</x:v>
      </x:c>
      <x:c r="N474" s="90" t="str">
        <x:v>Низкая</x:v>
      </x:c>
      <x:c r="O474" s="89" t="str">
        <x:v>Если критерий не выполнен, исправляется только одна худшая зона. Не начинать новые материалы и эффекты.</x:v>
      </x:c>
      <x:c r="P474" s="89" t="str">
        <x:v>S01 — основной процесс</x:v>
      </x:c>
      <x:c r="Q474" s="89" t="str">
        <x:v>Рецепт входит в ближайшую сессию восстановления крупных плоскостей после масляной проливки.</x:v>
      </x:c>
    </x:row>
    <x:row r="475">
      <x:c r="A475" s="90" t="n">
        <x:v>471</x:v>
      </x:c>
      <x:c r="B475" s="667" t="str">
        <x:v>Контроль качества</x:v>
      </x:c>
      <x:c r="C475" s="667" t="str">
        <x:v>Запись фактической смеси S01</x:v>
      </x:c>
      <x:c r="D475" s="89" t="str">
        <x:v>Персональная валидация</x:v>
      </x:c>
      <x:c r="E475" s="89" t="str">
        <x:v>Тестовый участок подтверждён</x:v>
      </x:c>
      <x:c r="F475" s="89" t="str">
        <x:v>Записать Base и Medium</x:v>
      </x:c>
      <x:c r="G475" s="89" t="str">
        <x:v>Записать фактическое соотношение</x:v>
      </x:c>
      <x:c r="H475" s="89" t="str">
        <x:v>Записать кисть/сопло и PSI</x:v>
      </x:c>
      <x:c r="I475" s="89" t="str">
        <x:v>Записать количество проходов</x:v>
      </x:c>
      <x:c r="J475" s="89" t="str">
        <x:v>Записать время высыхания</x:v>
      </x:c>
      <x:c r="K475" s="89" t="str">
        <x:v>—</x:v>
      </x:c>
      <x:c r="L475" s="89" t="str">
        <x:v>Добавить фото тестовой зоны</x:v>
      </x:c>
      <x:c r="M475" s="89" t="str">
        <x:v>Не требуется</x:v>
      </x:c>
      <x:c r="N475" s="90" t="str">
        <x:v>Низкая</x:v>
      </x:c>
      <x:c r="O475" s="89" t="str">
        <x:v>Запись делается сразу после успешного участка, пока смесь и настройки ещё находятся на рабочем месте.</x:v>
      </x:c>
      <x:c r="P475" s="89" t="str">
        <x:v>S01 — контрольный gate</x:v>
      </x:c>
      <x:c r="Q475" s="89" t="str">
        <x:v>Рецепт определяет безопасность поверхности, сохранение тени, фото-контроль или формальный критерий остановки.</x:v>
      </x:c>
    </x:row>
    <x:row r="476">
      <x:c r="A476" s="90" t="n">
        <x:v>472</x:v>
      </x:c>
      <x:c r="B476" s="666" t="str">
        <x:v>Сессионный процесс</x:v>
      </x:c>
      <x:c r="C476" s="666" t="str">
        <x:v>Загрузка кисти для крупной glaze</x:v>
      </x:c>
      <x:c r="D476" s="89" t="str">
        <x:v>Контроль влаги</x:v>
      </x:c>
      <x:c r="E476" s="89" t="str">
        <x:v>Смесь подготовлена</x:v>
      </x:c>
      <x:c r="F476" s="89" t="str">
        <x:v>Набрать краску в кисть</x:v>
      </x:c>
      <x:c r="G476" s="89" t="str">
        <x:v>Снять излишек о влажную палитру или салфетку</x:v>
      </x:c>
      <x:c r="H476" s="89" t="str">
        <x:v>Кисть должна оставлять прозрачный след без капли</x:v>
      </x:c>
      <x:c r="I476" s="89" t="str">
        <x:v>Мазок вести от тени к свету или по форме</x:v>
      </x:c>
      <x:c r="J476" s="89" t="str">
        <x:v>Собрать излишек чистой кистью</x:v>
      </x:c>
      <x:c r="K476" s="89" t="str">
        <x:v>—</x:v>
      </x:c>
      <x:c r="L476" s="89" t="str">
        <x:v>Полностью высушить перед повтором</x:v>
      </x:c>
      <x:c r="M476" s="89" t="str">
        <x:v>Не требуется</x:v>
      </x:c>
      <x:c r="N476" s="90" t="str">
        <x:v>Низкая</x:v>
      </x:c>
      <x:c r="O476" s="89" t="str">
        <x:v>Излишне мокрая кисть создаёт кольца и затекает в масляные углубления, которые требуется сохранить.</x:v>
      </x:c>
      <x:c r="P476" s="89" t="str">
        <x:v>S01 — вспомогательная техника</x:v>
      </x:c>
      <x:c r="Q476" s="89" t="str">
        <x:v>Процесс поддерживает воспроизводимость смеси, крупную форму и закрытие рабочей сессии.</x:v>
      </x:c>
    </x:row>
    <x:row r="477">
      <x:c r="A477" s="90" t="n">
        <x:v>473</x:v>
      </x:c>
      <x:c r="B477" s="666" t="str">
        <x:v>Сессионный процесс</x:v>
      </x:c>
      <x:c r="C477" s="666" t="str">
        <x:v>Проходы аэрографа для S01</x:v>
      </x:c>
      <x:c r="D477" s="89" t="str">
        <x:v>Сухое наращивание прозрачности</x:v>
      </x:c>
      <x:c r="E477" s="89" t="str">
        <x:v>Смесь проверена на карточке</x:v>
      </x:c>
      <x:c r="F477" s="89" t="str">
        <x:v>Первый проход — только цветовой намёк</x:v>
      </x:c>
      <x:c r="G477" s="89" t="str">
        <x:v>Второй — определить форму</x:v>
      </x:c>
      <x:c r="H477" s="89" t="str">
        <x:v>Третий–пятый — вернуть насыщенность</x:v>
      </x:c>
      <x:c r="I477" s="89" t="str">
        <x:v>Между проходами дать поверхности стать матовой</x:v>
      </x:c>
      <x:c r="J477" s="89" t="str">
        <x:v>Остановиться раньше полной укрывистости</x:v>
      </x:c>
      <x:c r="K477" s="89" t="str">
        <x:v>—</x:v>
      </x:c>
      <x:c r="L477" s="89" t="str">
        <x:v>Кистью уточнить рельеф</x:v>
      </x:c>
      <x:c r="M477" s="89" t="str">
        <x:v>Без финального лака</x:v>
      </x:c>
      <x:c r="N477" s="90" t="str">
        <x:v>Средняя</x:v>
      </x:c>
      <x:c r="O477" s="89" t="str">
        <x:v>Прозрачность оценивается после высыхания каждого прохода. Мокрая поверхность выглядит темнее и насыщеннее фактического результата.</x:v>
      </x:c>
      <x:c r="P477" s="89" t="str">
        <x:v>S01 — вспомогательная техника</x:v>
      </x:c>
      <x:c r="Q477" s="89" t="str">
        <x:v>Процесс поддерживает воспроизводимость смеси, крупную форму и закрытие рабочей сессии.</x:v>
      </x:c>
    </x:row>
    <x:row r="478">
      <x:c r="A478" s="90" t="n">
        <x:v>474</x:v>
      </x:c>
      <x:c r="B478" s="667" t="str">
        <x:v>Контроль качества</x:v>
      </x:c>
      <x:c r="C478" s="667" t="str">
        <x:v>Проверка высыхания масла перед S01</x:v>
      </x:c>
      <x:c r="D478" s="89" t="str">
        <x:v>Тест скрытой зоны</x:v>
      </x:c>
      <x:c r="E478" s="89" t="str">
        <x:v>Модель после масляной проливки</x:v>
      </x:c>
      <x:c r="F478" s="89" t="str">
        <x:v>Коснуться чистой сухой кистью скрытой зоны</x:v>
      </x:c>
      <x:c r="G478" s="89" t="str">
        <x:v>Проверить отсутствие переноса пигмента</x:v>
      </x:c>
      <x:c r="H478" s="89" t="str">
        <x:v>Проверить отсутствие липкого следа</x:v>
      </x:c>
      <x:c r="I478" s="89" t="str">
        <x:v>При сомнении отложить акриловый слой</x:v>
      </x:c>
      <x:c r="J478" s="89" t="str">
        <x:v>—</x:v>
      </x:c>
      <x:c r="K478" s="89" t="str">
        <x:v>—</x:v>
      </x:c>
      <x:c r="L478" s="89" t="str">
        <x:v>Не наносить защитный лак только ради ускорения</x:v>
      </x:c>
      <x:c r="M478" s="89" t="str">
        <x:v>Не требуется</x:v>
      </x:c>
      <x:c r="N478" s="90" t="str">
        <x:v>Низкая</x:v>
      </x:c>
      <x:c r="O478" s="89" t="str">
        <x:v>Акрил поверх неотверждённого масла может собраться, растрескаться или изменить блеск. Срок определяется фактическим состоянием, а не календарём.</x:v>
      </x:c>
      <x:c r="P478" s="89" t="str">
        <x:v>S01 — контрольный gate</x:v>
      </x:c>
      <x:c r="Q478" s="89" t="str">
        <x:v>Рецепт определяет безопасность поверхности, сохранение тени, фото-контроль или формальный критерий остановки.</x:v>
      </x:c>
    </x:row>
    <x:row r="479">
      <x:c r="A479" s="90" t="n">
        <x:v>475</x:v>
      </x:c>
      <x:c r="B479" s="667" t="str">
        <x:v>Контроль качества</x:v>
      </x:c>
      <x:c r="C479" s="667" t="str">
        <x:v>Тест совместимости акрила с масляной поверхностью</x:v>
      </x:c>
      <x:c r="D479" s="89" t="str">
        <x:v>Малый прозрачный участок</x:v>
      </x:c>
      <x:c r="E479" s="89" t="str">
        <x:v>Масло кажется сухим</x:v>
      </x:c>
      <x:c r="F479" s="89" t="str">
        <x:v>Нанести skin glaze на скрытый участок</x:v>
      </x:c>
      <x:c r="G479" s="89" t="str">
        <x:v>Проверить смачивание и растекание</x:v>
      </x:c>
      <x:c r="H479" s="89" t="str">
        <x:v>После высыхания проверить сцепление мягкой кистью</x:v>
      </x:c>
      <x:c r="I479" s="89" t="str">
        <x:v>При отталкивании прекратить работу</x:v>
      </x:c>
      <x:c r="J479" s="89" t="str">
        <x:v>—</x:v>
      </x:c>
      <x:c r="K479" s="89" t="str">
        <x:v>—</x:v>
      </x:c>
      <x:c r="L479" s="89" t="str">
        <x:v>Очистить/дать дополнительное время</x:v>
      </x:c>
      <x:c r="M479" s="89" t="str">
        <x:v>Не требуется</x:v>
      </x:c>
      <x:c r="N479" s="90" t="str">
        <x:v>Средняя</x:v>
      </x:c>
      <x:c r="O479" s="89" t="str">
        <x:v>Тест выявляет остаточный разбавитель, жирный блеск или несовместимую поверхность до работы на лице и торсе.</x:v>
      </x:c>
      <x:c r="P479" s="89" t="str">
        <x:v>S01 — контрольный gate</x:v>
      </x:c>
      <x:c r="Q479" s="89" t="str">
        <x:v>Рецепт определяет безопасность поверхности, сохранение тени, фото-контроль или формальный критерий остановки.</x:v>
      </x:c>
    </x:row>
    <x:row r="480">
      <x:c r="A480" s="90" t="n">
        <x:v>476</x:v>
      </x:c>
      <x:c r="B480" s="667" t="str">
        <x:v>Контроль качества</x:v>
      </x:c>
      <x:c r="C480" s="667" t="str">
        <x:v>Проверка существующего лакового барьера</x:v>
      </x:c>
      <x:c r="D480" s="89" t="str">
        <x:v>Определение поверхности</x:v>
      </x:c>
      <x:c r="E480" s="89" t="str">
        <x:v>До S01</x:v>
      </x:c>
      <x:c r="F480" s="89" t="str">
        <x:v>Осмотреть блеск под боковой лампой</x:v>
      </x:c>
      <x:c r="G480" s="89" t="str">
        <x:v>Gloss даёт быстрое стекание glaze</x:v>
      </x:c>
      <x:c r="H480" s="89" t="str">
        <x:v>Satin даёт управляемое растекание</x:v>
      </x:c>
      <x:c r="I480" s="89" t="str">
        <x:v>Matt сильнее окрашивает всю поверхность</x:v>
      </x:c>
      <x:c r="J480" s="89" t="str">
        <x:v>—</x:v>
      </x:c>
      <x:c r="K480" s="89" t="str">
        <x:v>—</x:v>
      </x:c>
      <x:c r="L480" s="89" t="str">
        <x:v>Корректировать загрузку кисти и разбавление</x:v>
      </x:c>
      <x:c r="M480" s="89" t="str">
        <x:v>Не требуется</x:v>
      </x:c>
      <x:c r="N480" s="90" t="str">
        <x:v>Средняя</x:v>
      </x:c>
      <x:c r="O480" s="89" t="str">
        <x:v>Не добавлять новый лак автоматически. Сначала определить фактический финиш после масла и выбрать метод работы.</x:v>
      </x:c>
      <x:c r="P480" s="89" t="str">
        <x:v>S01 — контрольный gate</x:v>
      </x:c>
      <x:c r="Q480" s="89" t="str">
        <x:v>Рецепт определяет безопасность поверхности, сохранение тени, фото-контроль или формальный критерий остановки.</x:v>
      </x:c>
    </x:row>
    <x:row r="481">
      <x:c r="A481" s="90" t="n">
        <x:v>477</x:v>
      </x:c>
      <x:c r="B481" s="666" t="str">
        <x:v>Сессионный процесс</x:v>
      </x:c>
      <x:c r="C481" s="666" t="str">
        <x:v>Удержание крупной модели в S01</x:v>
      </x:c>
      <x:c r="D481" s="89" t="str">
        <x:v>Фиксированная ориентация света</x:v>
      </x:c>
      <x:c r="E481" s="89" t="str">
        <x:v>Модель надёжно закреплена</x:v>
      </x:c>
      <x:c r="F481" s="89" t="str">
        <x:v>Выбрать фронт и сторону ключевого света</x:v>
      </x:c>
      <x:c r="G481" s="89" t="str">
        <x:v>Отметить положение на подставке/держателе</x:v>
      </x:c>
      <x:c r="H481" s="89" t="str">
        <x:v>Не вращать модель во время аэрографного света</x:v>
      </x:c>
      <x:c r="I481" s="89" t="str">
        <x:v>Для кисти вращать только для доступа и возвращать ориентацию</x:v>
      </x:c>
      <x:c r="J481" s="89" t="str">
        <x:v>—</x:v>
      </x:c>
      <x:c r="K481" s="89" t="str">
        <x:v>—</x:v>
      </x:c>
      <x:c r="L481" s="89" t="str">
        <x:v>Фото контрольной позиции</x:v>
      </x:c>
      <x:c r="M481" s="89" t="str">
        <x:v>Не требуется</x:v>
      </x:c>
      <x:c r="N481" s="90" t="str">
        <x:v>Низкая</x:v>
      </x:c>
      <x:c r="O481" s="89" t="str">
        <x:v>Фиксированная ориентация предотвращает симметричное высветление и помогает сравнивать зоны торса, плеч и спины.</x:v>
      </x:c>
      <x:c r="P481" s="89" t="str">
        <x:v>S01 — вспомогательная техника</x:v>
      </x:c>
      <x:c r="Q481" s="89" t="str">
        <x:v>Процесс поддерживает воспроизводимость смеси, крупную форму и закрытие рабочей сессии.</x:v>
      </x:c>
    </x:row>
    <x:row r="482">
      <x:c r="A482" s="90" t="n">
        <x:v>478</x:v>
      </x:c>
      <x:c r="B482" s="666" t="str">
        <x:v>Сессионный процесс</x:v>
      </x:c>
      <x:c r="C482" s="666" t="str">
        <x:v>Карточная маска теневой стороны S01</x:v>
      </x:c>
      <x:c r="D482" s="89" t="str">
        <x:v>Защита масляной глубины</x:v>
      </x:c>
      <x:c r="E482" s="89" t="str">
        <x:v>Модель закреплена</x:v>
      </x:c>
      <x:c r="F482" s="89" t="str">
        <x:v>Кусок карточки держать между соплом и теневой стороной</x:v>
      </x:c>
      <x:c r="G482" s="89" t="str">
        <x:v>Не касаться окрашенной поверхности</x:v>
      </x:c>
      <x:c r="H482" s="89" t="str">
        <x:v>Распыл вести от маски наружу</x:v>
      </x:c>
      <x:c r="I482" s="89" t="str">
        <x:v>Перемещать маску по форме</x:v>
      </x:c>
      <x:c r="J482" s="89" t="str">
        <x:v>Кистью смягчить границу</x:v>
      </x:c>
      <x:c r="K482" s="89" t="str">
        <x:v>—</x:v>
      </x:c>
      <x:c r="L482" s="89" t="str">
        <x:v>Снять overspray Base-glaze при необходимости</x:v>
      </x:c>
      <x:c r="M482" s="89" t="str">
        <x:v>Без лака</x:v>
      </x:c>
      <x:c r="N482" s="90" t="str">
        <x:v>Средняя</x:v>
      </x:c>
      <x:c r="O482" s="89" t="str">
        <x:v>Карточка не создаёт жёсткую геометрическую маску, а лишь уменьшает количество проходов на теневой стороне.</x:v>
      </x:c>
      <x:c r="P482" s="89" t="str">
        <x:v>S01 — вспомогательная техника</x:v>
      </x:c>
      <x:c r="Q482" s="89" t="str">
        <x:v>Процесс поддерживает воспроизводимость смеси, крупную форму и закрытие рабочей сессии.</x:v>
      </x:c>
    </x:row>
    <x:row r="483">
      <x:c r="A483" s="90" t="n">
        <x:v>479</x:v>
      </x:c>
      <x:c r="B483" s="666" t="str">
        <x:v>Сессионный процесс</x:v>
      </x:c>
      <x:c r="C483" s="666" t="str">
        <x:v>Закрытие рабочей палитры S01</x:v>
      </x:c>
      <x:c r="D483" s="89" t="str">
        <x:v>Сохранение воспроизводимости</x:v>
      </x:c>
      <x:c r="E483" s="89" t="str">
        <x:v>Сессия закончена</x:v>
      </x:c>
      <x:c r="F483" s="89" t="str">
        <x:v>Сфотографировать палитру и подписи смесей</x:v>
      </x:c>
      <x:c r="G483" s="89" t="str">
        <x:v>Записать ratio и использованные краски</x:v>
      </x:c>
      <x:c r="H483" s="89" t="str">
        <x:v>Очистить аэрограф до высыхания акрила</x:v>
      </x:c>
      <x:c r="I483" s="89" t="str">
        <x:v>Закрыть/утилизировать масляный разбавитель безопасно</x:v>
      </x:c>
      <x:c r="J483" s="89" t="str">
        <x:v>Очистить кисти</x:v>
      </x:c>
      <x:c r="K483" s="89" t="str">
        <x:v>—</x:v>
      </x:c>
      <x:c r="L483" s="89" t="str">
        <x:v>Обновить журналы</x:v>
      </x:c>
      <x:c r="M483" s="89" t="str">
        <x:v>Не требуется</x:v>
      </x:c>
      <x:c r="N483" s="90" t="str">
        <x:v>Низкая</x:v>
      </x:c>
      <x:c r="O483" s="89" t="str">
        <x:v>Рабочее место закрывается после записи результата, иначе следующая сессия начнётся с повторного поиска смеси.</x:v>
      </x:c>
      <x:c r="P483" s="89" t="str">
        <x:v>S01 — вспомогательная техника</x:v>
      </x:c>
      <x:c r="Q483" s="89" t="str">
        <x:v>Процесс поддерживает воспроизводимость смеси, крупную форму и закрытие рабочей сессии.</x:v>
      </x:c>
    </x:row>
    <x:row r="484">
      <x:c r="A484" s="90" t="n">
        <x:v>480</x:v>
      </x:c>
      <x:c r="B484" s="670" t="str">
        <x:v>Проектный процесс</x:v>
      </x:c>
      <x:c r="C484" s="670" t="str">
        <x:v>Переход от S01 к S02</x:v>
      </x:c>
      <x:c r="D484" s="89" t="str">
        <x:v>Обновление статусов и зависимостей</x:v>
      </x:c>
      <x:c r="E484" s="89" t="str">
        <x:v>Критерий 470 выполнен</x:v>
      </x:c>
      <x:c r="F484" s="89" t="str">
        <x:v>Статус S01 → «Готово»</x:v>
      </x:c>
      <x:c r="G484" s="89" t="str">
        <x:v>Этап 2 проекта → «Готово»</x:v>
      </x:c>
      <x:c r="H484" s="89" t="str">
        <x:v>S02 → «Следующая»</x:v>
      </x:c>
      <x:c r="I484" s="89" t="str">
        <x:v>Записать фактический результат и фото</x:v>
      </x:c>
      <x:c r="J484" s="89" t="str">
        <x:v>Сохранить смесь midtone</x:v>
      </x:c>
      <x:c r="K484" s="89" t="str">
        <x:v>—</x:v>
      </x:c>
      <x:c r="L484" s="89" t="str">
        <x:v>Не менять остальные статусы</x:v>
      </x:c>
      <x:c r="M484" s="89" t="str">
        <x:v>Не требуется</x:v>
      </x:c>
      <x:c r="N484" s="90" t="str">
        <x:v>Низкая</x:v>
      </x:c>
      <x:c r="O484" s="89" t="str">
        <x:v>Переход выполняется только после формального закрытия S01. Это предотвращает одновременную работу над анатомией, крыльями и мелкими эффектами.</x:v>
      </x:c>
      <x:c r="P484" s="89" t="str">
        <x:v>S01 — основной процесс</x:v>
      </x:c>
      <x:c r="Q484" s="89" t="str">
        <x:v>Рецепт входит в ближайшую сессию восстановления крупных плоскостей после масляной проливки.</x:v>
      </x:c>
    </x:row>
    <x:row r="485">
      <x:c r="A485" s="90" t="n">
        <x:v>481</x:v>
      </x:c>
      <x:c r="B485" s="720" t="str">
        <x:v>Проектный процесс</x:v>
      </x:c>
      <x:c r="C485" s="720" t="str">
        <x:v>Разблокировка S02 после закрытия S01</x:v>
      </x:c>
      <x:c r="D485" s="89" t="str">
        <x:v>Формальный dependency gate</x:v>
      </x:c>
      <x:c r="E485" s="89" t="str">
        <x:v>Лист S01 показывает CLOSE S01</x:v>
      </x:c>
      <x:c r="F485" s="89" t="str">
        <x:v>Подтвердить шесть PASS-зон</x:v>
      </x:c>
      <x:c r="G485" s="89" t="str">
        <x:v>Подтвердить фото и записанную смесь</x:v>
      </x:c>
      <x:c r="H485" s="89" t="str">
        <x:v>Статус S01 → Готово</x:v>
      </x:c>
      <x:c r="I485" s="89" t="str">
        <x:v>Статус S02 → Следующая</x:v>
      </x:c>
      <x:c r="J485" s="89" t="str">
        <x:v>—</x:v>
      </x:c>
      <x:c r="K485" s="89" t="str">
        <x:v>—</x:v>
      </x:c>
      <x:c r="L485" s="89" t="str">
        <x:v>Не менять S03 и последующие статусы</x:v>
      </x:c>
      <x:c r="M485" s="89" t="str">
        <x:v>Не требуется</x:v>
      </x:c>
      <x:c r="N485" s="90" t="str">
        <x:v>Низкая</x:v>
      </x:c>
      <x:c r="O485" s="89" t="str">
        <x:v>S02 заблокирована, пока S01 не закрыта формально. Это сохраняет крупные цветовые массы до анатомического разделения.</x:v>
      </x:c>
      <x:c r="P485" s="89" t="str">
        <x:v>S02 — dependency gate</x:v>
      </x:c>
      <x:c r="Q485" s="89" t="str">
        <x:v>Рецепт управляет разблокировкой, закрытием или переходом к следующей сессии.</x:v>
      </x:c>
    </x:row>
    <x:row r="486">
      <x:c r="A486" s="90" t="n">
        <x:v>482</x:v>
      </x:c>
      <x:c r="B486" s="721" t="str">
        <x:v>Сессионный процесс</x:v>
      </x:c>
      <x:c r="C486" s="721" t="str">
        <x:v>Тест анатомического разделения S02</x:v>
      </x:c>
      <x:c r="D486" s="89" t="str">
        <x:v>Одна мышечная граница</x:v>
      </x:c>
      <x:c r="E486" s="89" t="str">
        <x:v>S01 закрыта; основной цвет восстановлен</x:v>
      </x:c>
      <x:c r="F486" s="89" t="str">
        <x:v>Targor Rageshade или Dreadful Visage + Medium 1:6–1:10</x:v>
      </x:c>
      <x:c r="G486" s="89" t="str">
        <x:v>Нанести только в одну естественную глубокую границу</x:v>
      </x:c>
      <x:c r="H486" s="89" t="str">
        <x:v>Skin midtone вернуть по обеим сторонам</x:v>
      </x:c>
      <x:c r="I486" s="89" t="str">
        <x:v>Light midtone на верхней плоскости</x:v>
      </x:c>
      <x:c r="J486" s="89" t="str">
        <x:v>Pale Flesh точечно при необходимости</x:v>
      </x:c>
      <x:c r="K486" s="89" t="str">
        <x:v>—</x:v>
      </x:c>
      <x:c r="L486" s="89" t="str">
        <x:v>Skin glaze по переходу</x:v>
      </x:c>
      <x:c r="M486" s="89" t="str">
        <x:v>Без финального лака</x:v>
      </x:c>
      <x:c r="N486" s="90" t="str">
        <x:v>Низкая</x:v>
      </x:c>
      <x:c r="O486" s="89" t="str">
        <x:v>Тест выполняется у грудины или под дельтой. Если граница выглядит нарисованной линией, смесь делается прозрачнее.</x:v>
      </x:c>
      <x:c r="P486" s="89" t="str">
        <x:v>S02 — контрольный процесс</x:v>
      </x:c>
      <x:c r="Q486" s="89" t="str">
        <x:v>Рецепт проверяет анатомию и свет до добавления фактуры.</x:v>
      </x:c>
    </x:row>
    <x:row r="487">
      <x:c r="A487" s="90" t="n">
        <x:v>483</x:v>
      </x:c>
      <x:c r="B487" s="722" t="str">
        <x:v>Контроль качества</x:v>
      </x:c>
      <x:c r="C487" s="722" t="str">
        <x:v>Пятиуровневая карта анатомии S02</x:v>
      </x:c>
      <x:c r="D487" s="89" t="str">
        <x:v>Чёрно-белое планирование</x:v>
      </x:c>
      <x:c r="E487" s="89" t="str">
        <x:v>Нейтральное фото после S01</x:v>
      </x:c>
      <x:c r="F487" s="89" t="str">
        <x:v>Уровень 1 — глубочайшие масляные впадины</x:v>
      </x:c>
      <x:c r="G487" s="89" t="str">
        <x:v>Уровень 2 — теневые плоскости</x:v>
      </x:c>
      <x:c r="H487" s="89" t="str">
        <x:v>Уровень 3 — основной midtone</x:v>
      </x:c>
      <x:c r="I487" s="89" t="str">
        <x:v>Уровень 4 — световые плоскости</x:v>
      </x:c>
      <x:c r="J487" s="89" t="str">
        <x:v>Уровень 5 — редкий Pale Flesh</x:v>
      </x:c>
      <x:c r="K487" s="89" t="str">
        <x:v>—</x:v>
      </x:c>
      <x:c r="L487" s="89" t="str">
        <x:v>Сначала пометить зоны на фото, затем красить</x:v>
      </x:c>
      <x:c r="M487" s="89" t="str">
        <x:v>Не требуется</x:v>
      </x:c>
      <x:c r="N487" s="90" t="str">
        <x:v>Средняя</x:v>
      </x:c>
      <x:c r="O487" s="89" t="str">
        <x:v>Каждая крупная мышечная группа использует не все пять уровней. Максимум 5 остаётся на верхних плоскостях и будущем фокусе.</x:v>
      </x:c>
      <x:c r="P487" s="89" t="str">
        <x:v>S02 — контрольный процесс</x:v>
      </x:c>
      <x:c r="Q487" s="89" t="str">
        <x:v>Рецепт проверяет анатомию и свет до добавления фактуры.</x:v>
      </x:c>
    </x:row>
    <x:row r="488">
      <x:c r="A488" s="90" t="n">
        <x:v>484</x:v>
      </x:c>
      <x:c r="B488" s="723" t="str">
        <x:v>Монстры и демоны</x:v>
      </x:c>
      <x:c r="C488" s="723" t="str">
        <x:v>Грудные мышцы крупного демона</x:v>
      </x:c>
      <x:c r="D488" s="89" t="str">
        <x:v>Две–четыре большие плоскости</x:v>
      </x:c>
      <x:c r="E488" s="89" t="str">
        <x:v>S01 завершена</x:v>
      </x:c>
      <x:c r="F488" s="89" t="str">
        <x:v>Skin midtone на основной массе груди</x:v>
      </x:c>
      <x:c r="G488" s="89" t="str">
        <x:v>Targor/Dreadful в нижней границе и у грудины</x:v>
      </x:c>
      <x:c r="H488" s="89" t="str">
        <x:v>Light midtone на верхней плоскости</x:v>
      </x:c>
      <x:c r="I488" s="89" t="str">
        <x:v>Pale Flesh на верхнем изгибе</x:v>
      </x:c>
      <x:c r="J488" s="89" t="str">
        <x:v>Pallid только в точке ключевого света</x:v>
      </x:c>
      <x:c r="K488" s="89" t="str">
        <x:v>—</x:v>
      </x:c>
      <x:c r="L488" s="89" t="str">
        <x:v>Skin glaze 1:12</x:v>
      </x:c>
      <x:c r="M488" s="89" t="str">
        <x:v>Без финального лака</x:v>
      </x:c>
      <x:c r="N488" s="90" t="str">
        <x:v>Средняя</x:v>
      </x:c>
      <x:c r="O488" s="89" t="str">
        <x:v>Грудь делится на крупные наклонные плоскости, а не на множество одинаково обведённых мышечных сегментов.</x:v>
      </x:c>
      <x:c r="P488" s="89" t="str">
        <x:v>S02 — рабочая техника</x:v>
      </x:c>
      <x:c r="Q488" s="89" t="str">
        <x:v>Рецепт формирует крупную анатомию после закрытия S01 и до фактурной сессии S03.</x:v>
      </x:c>
    </x:row>
    <x:row r="489">
      <x:c r="A489" s="90" t="n">
        <x:v>485</x:v>
      </x:c>
      <x:c r="B489" s="723" t="str">
        <x:v>Монстры и демоны</x:v>
      </x:c>
      <x:c r="C489" s="723" t="str">
        <x:v>Грудина и ключицы</x:v>
      </x:c>
      <x:c r="D489" s="89" t="str">
        <x:v>Светлая костная ось внутри кожи</x:v>
      </x:c>
      <x:c r="E489" s="89" t="str">
        <x:v>Грудь восстановлена</x:v>
      </x:c>
      <x:c r="F489" s="89" t="str">
        <x:v>Skin midtone вокруг грудины</x:v>
      </x:c>
      <x:c r="G489" s="89" t="str">
        <x:v>Dreadful Visage 1:10 по боковым углублениям</x:v>
      </x:c>
      <x:c r="H489" s="89" t="str">
        <x:v>Light midtone на ключицах</x:v>
      </x:c>
      <x:c r="I489" s="89" t="str">
        <x:v>Pale Flesh узко по верхнему гребню</x:v>
      </x:c>
      <x:c r="J489" s="89" t="str">
        <x:v>Pallid точечно в центре ключицы</x:v>
      </x:c>
      <x:c r="K489" s="89" t="str">
        <x:v>—</x:v>
      </x:c>
      <x:c r="L489" s="89" t="str">
        <x:v>Carroburg Crimson 1:15 при натянутой коже</x:v>
      </x:c>
      <x:c r="M489" s="89" t="str">
        <x:v>Без финального лака</x:v>
      </x:c>
      <x:c r="N489" s="90" t="str">
        <x:v>Высокая</x:v>
      </x:c>
      <x:c r="O489" s="89" t="str">
        <x:v>Грудина не является белой линией. Светлая ось прерывается и исчезает там, где форма уходит от источника.</x:v>
      </x:c>
      <x:c r="P489" s="89" t="str">
        <x:v>S02 — рабочая техника</x:v>
      </x:c>
      <x:c r="Q489" s="89" t="str">
        <x:v>Рецепт формирует крупную анатомию после закрытия S01 и до фактурной сессии S03.</x:v>
      </x:c>
    </x:row>
    <x:row r="490">
      <x:c r="A490" s="90" t="n">
        <x:v>486</x:v>
      </x:c>
      <x:c r="B490" s="723" t="str">
        <x:v>Монстры и демоны</x:v>
      </x:c>
      <x:c r="C490" s="723" t="str">
        <x:v>Дельтовидная мышца</x:v>
      </x:c>
      <x:c r="D490" s="89" t="str">
        <x:v>Сферическая группа из трёх плоскостей</x:v>
      </x:c>
      <x:c r="E490" s="89" t="str">
        <x:v>Плечо восстановлено после S01</x:v>
      </x:c>
      <x:c r="F490" s="89" t="str">
        <x:v>Skin midtone на основной сфере</x:v>
      </x:c>
      <x:c r="G490" s="89" t="str">
        <x:v>Тень под дельтой и у соединения с грудью</x:v>
      </x:c>
      <x:c r="H490" s="89" t="str">
        <x:v>Light midtone по верхней дуге</x:v>
      </x:c>
      <x:c r="I490" s="89" t="str">
        <x:v>Pale Flesh меньшей дугой</x:v>
      </x:c>
      <x:c r="J490" s="89" t="str">
        <x:v>—</x:v>
      </x:c>
      <x:c r="K490" s="89" t="str">
        <x:v>—</x:v>
      </x:c>
      <x:c r="L490" s="89" t="str">
        <x:v>Skin glaze смягчает границу с рукой</x:v>
      </x:c>
      <x:c r="M490" s="89" t="str">
        <x:v>Без финального лака</x:v>
      </x:c>
      <x:c r="N490" s="90" t="str">
        <x:v>Средняя</x:v>
      </x:c>
      <x:c r="O490" s="89" t="str">
        <x:v>Дельта читается как единая сферическая масса. Не отделять три её части тремя одинаковыми тёмными линиями.</x:v>
      </x:c>
      <x:c r="P490" s="89" t="str">
        <x:v>S02 — рабочая техника</x:v>
      </x:c>
      <x:c r="Q490" s="89" t="str">
        <x:v>Рецепт формирует крупную анатомию после закрытия S01 и до фактурной сессии S03.</x:v>
      </x:c>
    </x:row>
    <x:row r="491">
      <x:c r="A491" s="90" t="n">
        <x:v>487</x:v>
      </x:c>
      <x:c r="B491" s="723" t="str">
        <x:v>Монстры и демоны</x:v>
      </x:c>
      <x:c r="C491" s="723" t="str">
        <x:v>Бицепс и трицепс крупной руки</x:v>
      </x:c>
      <x:c r="D491" s="89" t="str">
        <x:v>Две продольные массы</x:v>
      </x:c>
      <x:c r="E491" s="89" t="str">
        <x:v>Верхняя рука восстановлена</x:v>
      </x:c>
      <x:c r="F491" s="89" t="str">
        <x:v>Skin midtone на обеих массах</x:v>
      </x:c>
      <x:c r="G491" s="89" t="str">
        <x:v>Тень между ними только в глубокой части</x:v>
      </x:c>
      <x:c r="H491" s="89" t="str">
        <x:v>Light midtone по обращённой к свету мышце</x:v>
      </x:c>
      <x:c r="I491" s="89" t="str">
        <x:v>Pale Flesh на верхнем изгибе</x:v>
      </x:c>
      <x:c r="J491" s="89" t="str">
        <x:v>—</x:v>
      </x:c>
      <x:c r="K491" s="89" t="str">
        <x:v>—</x:v>
      </x:c>
      <x:c r="L491" s="89" t="str">
        <x:v>Skin glaze поперёк перехода</x:v>
      </x:c>
      <x:c r="M491" s="89" t="str">
        <x:v>Без финального лака</x:v>
      </x:c>
      <x:c r="N491" s="90" t="str">
        <x:v>Средняя</x:v>
      </x:c>
      <x:c r="O491" s="89" t="str">
        <x:v>Одна мышца может быть световой, другая теневой. Не высветлять бицепс и трицепс зеркально.</x:v>
      </x:c>
      <x:c r="P491" s="89" t="str">
        <x:v>S02 — рабочая техника</x:v>
      </x:c>
      <x:c r="Q491" s="89" t="str">
        <x:v>Рецепт формирует крупную анатомию после закрытия S01 и до фактурной сессии S03.</x:v>
      </x:c>
    </x:row>
    <x:row r="492">
      <x:c r="A492" s="90" t="n">
        <x:v>488</x:v>
      </x:c>
      <x:c r="B492" s="723" t="str">
        <x:v>Монстры и демоны</x:v>
      </x:c>
      <x:c r="C492" s="723" t="str">
        <x:v>Подмышка и переход руки в торс</x:v>
      </x:c>
      <x:c r="D492" s="89" t="str">
        <x:v>Глубина без чёрной дыры</x:v>
      </x:c>
      <x:c r="E492" s="89" t="str">
        <x:v>Грудь и рука окрашены</x:v>
      </x:c>
      <x:c r="F492" s="89" t="str">
        <x:v>Dreadful Visage/Targor 1:6 в самой глубине</x:v>
      </x:c>
      <x:c r="G492" s="89" t="str">
        <x:v>Skin midtone вокруг перехода</x:v>
      </x:c>
      <x:c r="H492" s="89" t="str">
        <x:v>Light midtone на переднем крае груди или руки</x:v>
      </x:c>
      <x:c r="I492" s="89" t="str">
        <x:v>Pale Flesh только на натянутом крае</x:v>
      </x:c>
      <x:c r="J492" s="89" t="str">
        <x:v>—</x:v>
      </x:c>
      <x:c r="K492" s="89" t="str">
        <x:v>—</x:v>
      </x:c>
      <x:c r="L492" s="89" t="str">
        <x:v>Общий skin filter соединяет две формы</x:v>
      </x:c>
      <x:c r="M492" s="89" t="str">
        <x:v>Без финального лака</x:v>
      </x:c>
      <x:c r="N492" s="90" t="str">
        <x:v>Высокая</x:v>
      </x:c>
      <x:c r="O492" s="89" t="str">
        <x:v>Подмышка остаётся глубокой, но внутри сохраняется оттенок кожи; чистый Black используется только в физически закрытом отверстии.</x:v>
      </x:c>
      <x:c r="P492" s="89" t="str">
        <x:v>S02 — рабочая техника</x:v>
      </x:c>
      <x:c r="Q492" s="89" t="str">
        <x:v>Рецепт формирует крупную анатомию после закрытия S01 и до фактурной сессии S03.</x:v>
      </x:c>
    </x:row>
    <x:row r="493">
      <x:c r="A493" s="90" t="n">
        <x:v>489</x:v>
      </x:c>
      <x:c r="B493" s="723" t="str">
        <x:v>Монстры и демоны</x:v>
      </x:c>
      <x:c r="C493" s="723" t="str">
        <x:v>Шея и трапеции</x:v>
      </x:c>
      <x:c r="D493" s="89" t="str">
        <x:v>Переход фокуса головы в торс</x:v>
      </x:c>
      <x:c r="E493" s="89" t="str">
        <x:v>S01 закрыта</x:v>
      </x:c>
      <x:c r="F493" s="89" t="str">
        <x:v>Skin midtone на трапециях</x:v>
      </x:c>
      <x:c r="G493" s="89" t="str">
        <x:v>Тень у основания шеи и под челюстью</x:v>
      </x:c>
      <x:c r="H493" s="89" t="str">
        <x:v>Light midtone по верхним гребням</x:v>
      </x:c>
      <x:c r="I493" s="89" t="str">
        <x:v>Pale Flesh ближе к лицу</x:v>
      </x:c>
      <x:c r="J493" s="89" t="str">
        <x:v>Pallid не использовать широко</x:v>
      </x:c>
      <x:c r="K493" s="89" t="str">
        <x:v>—</x:v>
      </x:c>
      <x:c r="L493" s="89" t="str">
        <x:v>Skin glaze от торса к голове</x:v>
      </x:c>
      <x:c r="M493" s="89" t="str">
        <x:v>Без финального лака</x:v>
      </x:c>
      <x:c r="N493" s="90" t="str">
        <x:v>Высокая</x:v>
      </x:c>
      <x:c r="O493" s="89" t="str">
        <x:v>Трапеции направляют взгляд к голове. Их максимум слабее лица, но сильнее большинства спинных плоскостей.</x:v>
      </x:c>
      <x:c r="P493" s="89" t="str">
        <x:v>S02 — рабочая техника</x:v>
      </x:c>
      <x:c r="Q493" s="89" t="str">
        <x:v>Рецепт формирует крупную анатомию после закрытия S01 и до фактурной сессии S03.</x:v>
      </x:c>
    </x:row>
    <x:row r="494">
      <x:c r="A494" s="90" t="n">
        <x:v>490</x:v>
      </x:c>
      <x:c r="B494" s="723" t="str">
        <x:v>Монстры и демоны</x:v>
      </x:c>
      <x:c r="C494" s="723" t="str">
        <x:v>Лопаточные плоскости</x:v>
      </x:c>
      <x:c r="D494" s="89" t="str">
        <x:v>Две крупные наклонные массы</x:v>
      </x:c>
      <x:c r="E494" s="89" t="str">
        <x:v>Верхняя спина восстановлена</x:v>
      </x:c>
      <x:c r="F494" s="89" t="str">
        <x:v>Skin midtone по лопаткам</x:v>
      </x:c>
      <x:c r="G494" s="89" t="str">
        <x:v>Тень между лопатками и под крыльями</x:v>
      </x:c>
      <x:c r="H494" s="89" t="str">
        <x:v>Light midtone на верхней лопатке со стороны света</x:v>
      </x:c>
      <x:c r="I494" s="89" t="str">
        <x:v>Pale Flesh по верхнему гребню</x:v>
      </x:c>
      <x:c r="J494" s="89" t="str">
        <x:v>—</x:v>
      </x:c>
      <x:c r="K494" s="89" t="str">
        <x:v>—</x:v>
      </x:c>
      <x:c r="L494" s="89" t="str">
        <x:v>Skin glaze соединяет со спиной</x:v>
      </x:c>
      <x:c r="M494" s="89" t="str">
        <x:v>Без финального лака</x:v>
      </x:c>
      <x:c r="N494" s="90" t="str">
        <x:v>Средняя</x:v>
      </x:c>
      <x:c r="O494" s="89" t="str">
        <x:v>Лопатки не обязаны быть симметричны по свету. Сторона ключевого света получает более широкую световую плоскость.</x:v>
      </x:c>
      <x:c r="P494" s="89" t="str">
        <x:v>S02 — рабочая техника</x:v>
      </x:c>
      <x:c r="Q494" s="89" t="str">
        <x:v>Рецепт формирует крупную анатомию после закрытия S01 и до фактурной сессии S03.</x:v>
      </x:c>
    </x:row>
    <x:row r="495">
      <x:c r="A495" s="90" t="n">
        <x:v>491</x:v>
      </x:c>
      <x:c r="B495" s="723" t="str">
        <x:v>Монстры и демоны</x:v>
      </x:c>
      <x:c r="C495" s="723" t="str">
        <x:v>Широчайшие и бок торса</x:v>
      </x:c>
      <x:c r="D495" s="89" t="str">
        <x:v>Большая боковая теневая плоскость</x:v>
      </x:c>
      <x:c r="E495" s="89" t="str">
        <x:v>Торс и спина восстановлены</x:v>
      </x:c>
      <x:c r="F495" s="89" t="str">
        <x:v>Skin midtone на боковой массе</x:v>
      </x:c>
      <x:c r="G495" s="89" t="str">
        <x:v>Dreadful/Targor в нижней границе</x:v>
      </x:c>
      <x:c r="H495" s="89" t="str">
        <x:v>Light midtone узко ближе к верхнему свету</x:v>
      </x:c>
      <x:c r="I495" s="89" t="str">
        <x:v>Pale Flesh редко</x:v>
      </x:c>
      <x:c r="J495" s="89" t="str">
        <x:v>—</x:v>
      </x:c>
      <x:c r="K495" s="89" t="str">
        <x:v>—</x:v>
      </x:c>
      <x:c r="L495" s="89" t="str">
        <x:v>Skin glaze соединяет грудь и спину</x:v>
      </x:c>
      <x:c r="M495" s="89" t="str">
        <x:v>Без финального лака</x:v>
      </x:c>
      <x:c r="N495" s="90" t="str">
        <x:v>Средняя</x:v>
      </x:c>
      <x:c r="O495" s="89" t="str">
        <x:v>Бок торса обычно темнее груди и верхней спины. Слишком широкий свет разрушит объём грудной клетки.</x:v>
      </x:c>
      <x:c r="P495" s="89" t="str">
        <x:v>S02 — рабочая техника</x:v>
      </x:c>
      <x:c r="Q495" s="89" t="str">
        <x:v>Рецепт формирует крупную анатомию после закрытия S01 и до фактурной сессии S03.</x:v>
      </x:c>
    </x:row>
    <x:row r="496">
      <x:c r="A496" s="90" t="n">
        <x:v>492</x:v>
      </x:c>
      <x:c r="B496" s="723" t="str">
        <x:v>Монстры и демоны</x:v>
      </x:c>
      <x:c r="C496" s="723" t="str">
        <x:v>Рёберная дуга под кожей</x:v>
      </x:c>
      <x:c r="D496" s="89" t="str">
        <x:v>Намёк на структуру без полосатости</x:v>
      </x:c>
      <x:c r="E496" s="89" t="str">
        <x:v>Бок торса завершён</x:v>
      </x:c>
      <x:c r="F496" s="89" t="str">
        <x:v>Light midtone короткими прерывистыми дугами</x:v>
      </x:c>
      <x:c r="G496" s="89" t="str">
        <x:v>Основной skin tone частично перекрывает дуги</x:v>
      </x:c>
      <x:c r="H496" s="89" t="str">
        <x:v>Pale Flesh только на 1–2 верхних рёбрах</x:v>
      </x:c>
      <x:c r="I496" s="89" t="str">
        <x:v>Dreadful Visage 1:15 под нижней дугой</x:v>
      </x:c>
      <x:c r="J496" s="89" t="str">
        <x:v>—</x:v>
      </x:c>
      <x:c r="K496" s="89" t="str">
        <x:v>—</x:v>
      </x:c>
      <x:c r="L496" s="89" t="str">
        <x:v>Общий skin glaze</x:v>
      </x:c>
      <x:c r="M496" s="89" t="str">
        <x:v>Без финального лака</x:v>
      </x:c>
      <x:c r="N496" s="90" t="str">
        <x:v>Высокая</x:v>
      </x:c>
      <x:c r="O496" s="89" t="str">
        <x:v>Рёбра лишь намечаются через кожу. Равномерные параллельные светлые полосы выглядят скелетной бронёй.</x:v>
      </x:c>
      <x:c r="P496" s="89" t="str">
        <x:v>S02 — рабочая техника</x:v>
      </x:c>
      <x:c r="Q496" s="89" t="str">
        <x:v>Рецепт формирует крупную анатомию после закрытия S01 и до фактурной сессии S03.</x:v>
      </x:c>
    </x:row>
    <x:row r="497">
      <x:c r="A497" s="90" t="n">
        <x:v>493</x:v>
      </x:c>
      <x:c r="B497" s="723" t="str">
        <x:v>Монстры и демоны</x:v>
      </x:c>
      <x:c r="C497" s="723" t="str">
        <x:v>Мягкое брюхо — базовый countershade</x:v>
      </x:c>
      <x:c r="D497" s="89" t="str">
        <x:v>Светлая локальная окраска</x:v>
      </x:c>
      <x:c r="E497" s="89" t="str">
        <x:v>S01 закрыта</x:v>
      </x:c>
      <x:c r="F497" s="89" t="str">
        <x:v>Skin midtone + Rakarth Flesh 1:1</x:v>
      </x:c>
      <x:c r="G497" s="89" t="str">
        <x:v>Dreadful Visage 1:10 в нижних складках</x:v>
      </x:c>
      <x:c r="H497" s="89" t="str">
        <x:v>Deepkin Flesh в центре</x:v>
      </x:c>
      <x:c r="I497" s="89" t="str">
        <x:v>Pale Flesh на натянутой верхней части</x:v>
      </x:c>
      <x:c r="J497" s="89" t="str">
        <x:v>Pallid точечно</x:v>
      </x:c>
      <x:c r="K497" s="89" t="str">
        <x:v>—</x:v>
      </x:c>
      <x:c r="L497" s="89" t="str">
        <x:v>Основной skin tone 1:12 по боковой границе</x:v>
      </x:c>
      <x:c r="M497" s="89" t="str">
        <x:v>Без финального лака</x:v>
      </x:c>
      <x:c r="N497" s="90" t="str">
        <x:v>Высокая</x:v>
      </x:c>
      <x:c r="O497" s="89" t="str">
        <x:v>Брюхо светлее по пигментации, но подчиняется общему свету и остаётся темнее обращённых вверх плеч.</x:v>
      </x:c>
      <x:c r="P497" s="89" t="str">
        <x:v>S02 — рабочая техника</x:v>
      </x:c>
      <x:c r="Q497" s="89" t="str">
        <x:v>Рецепт формирует крупную анатомию после закрытия S01 и до фактурной сессии S03.</x:v>
      </x:c>
    </x:row>
    <x:row r="498">
      <x:c r="A498" s="90" t="n">
        <x:v>494</x:v>
      </x:c>
      <x:c r="B498" s="723" t="str">
        <x:v>Монстры и демоны</x:v>
      </x:c>
      <x:c r="C498" s="723" t="str">
        <x:v>Косые мышцы живота</x:v>
      </x:c>
      <x:c r="D498" s="89" t="str">
        <x:v>Мягкие диагональные переходы</x:v>
      </x:c>
      <x:c r="E498" s="89" t="str">
        <x:v>Countershade брюха нанесён</x:v>
      </x:c>
      <x:c r="F498" s="89" t="str">
        <x:v>Skin midtone по боковой части живота</x:v>
      </x:c>
      <x:c r="G498" s="89" t="str">
        <x:v>Targor/Dreadful 1:10 в одной–двух глубоких диагоналях</x:v>
      </x:c>
      <x:c r="H498" s="89" t="str">
        <x:v>Light belly tone на верхней стороне складки</x:v>
      </x:c>
      <x:c r="I498" s="89" t="str">
        <x:v>Pale Flesh ограниченно</x:v>
      </x:c>
      <x:c r="J498" s="89" t="str">
        <x:v>—</x:v>
      </x:c>
      <x:c r="K498" s="89" t="str">
        <x:v>—</x:v>
      </x:c>
      <x:c r="L498" s="89" t="str">
        <x:v>Belly glaze объединяет</x:v>
      </x:c>
      <x:c r="M498" s="89" t="str">
        <x:v>Без финального лака</x:v>
      </x:c>
      <x:c r="N498" s="90" t="str">
        <x:v>Высокая</x:v>
      </x:c>
      <x:c r="O498" s="89" t="str">
        <x:v>Косые мышцы мягче грудных. Тёмные диагонали прерываются и не образуют жёсткую сетку.</x:v>
      </x:c>
      <x:c r="P498" s="89" t="str">
        <x:v>S02 — рабочая техника</x:v>
      </x:c>
      <x:c r="Q498" s="89" t="str">
        <x:v>Рецепт формирует крупную анатомию после закрытия S01 и до фактурной сессии S03.</x:v>
      </x:c>
    </x:row>
    <x:row r="499">
      <x:c r="A499" s="90" t="n">
        <x:v>495</x:v>
      </x:c>
      <x:c r="B499" s="723" t="str">
        <x:v>Монстры и демоны</x:v>
      </x:c>
      <x:c r="C499" s="723" t="str">
        <x:v>Пупок и мягкие складки брюха</x:v>
      </x:c>
      <x:c r="D499" s="89" t="str">
        <x:v>Глубокая точка + мягкий объём</x:v>
      </x:c>
      <x:c r="E499" s="89" t="str">
        <x:v>Брюхо завершено</x:v>
      </x:c>
      <x:c r="F499" s="89" t="str">
        <x:v>Dreadful Visage/Targor в пупок</x:v>
      </x:c>
      <x:c r="G499" s="89" t="str">
        <x:v>Belly midtone вокруг</x:v>
      </x:c>
      <x:c r="H499" s="89" t="str">
        <x:v>Light belly tone на верхней стороне складки</x:v>
      </x:c>
      <x:c r="I499" s="89" t="str">
        <x:v>Pale Flesh только на натянутой коже</x:v>
      </x:c>
      <x:c r="J499" s="89" t="str">
        <x:v>—</x:v>
      </x:c>
      <x:c r="K499" s="89" t="str">
        <x:v>—</x:v>
      </x:c>
      <x:c r="L499" s="89" t="str">
        <x:v>Carroburg Crimson 1:15 при раздражении</x:v>
      </x:c>
      <x:c r="M499" s="89" t="str">
        <x:v>Без финального лака</x:v>
      </x:c>
      <x:c r="N499" s="90" t="str">
        <x:v>Средняя</x:v>
      </x:c>
      <x:c r="O499" s="89" t="str">
        <x:v>Пупок является локальной глубокой точкой, но не превращается в чёрное отверстие; окружающая кожа остаётся мягкой.</x:v>
      </x:c>
      <x:c r="P499" s="89" t="str">
        <x:v>S02 — рабочая техника</x:v>
      </x:c>
      <x:c r="Q499" s="89" t="str">
        <x:v>Рецепт формирует крупную анатомию после закрытия S01 и до фактурной сессии S03.</x:v>
      </x:c>
    </x:row>
    <x:row r="500">
      <x:c r="A500" s="90" t="n">
        <x:v>496</x:v>
      </x:c>
      <x:c r="B500" s="723" t="str">
        <x:v>Монстры и демоны</x:v>
      </x:c>
      <x:c r="C500" s="723" t="str">
        <x:v>Переход грудной клетки в мягкое брюхо</x:v>
      </x:c>
      <x:c r="D500" s="89" t="str">
        <x:v>Смена структуры и температуры</x:v>
      </x:c>
      <x:c r="E500" s="89" t="str">
        <x:v>Грудь и брюхо окрашены</x:v>
      </x:c>
      <x:c r="F500" s="89" t="str">
        <x:v>Смесь chest midtone : belly midtone 3:1</x:v>
      </x:c>
      <x:c r="G500" s="89" t="str">
        <x:v>Следующая полоса 1:1</x:v>
      </x:c>
      <x:c r="H500" s="89" t="str">
        <x:v>Нижняя полоса 1:3</x:v>
      </x:c>
      <x:c r="I500" s="89" t="str">
        <x:v>Свет пройти единым направлением</x:v>
      </x:c>
      <x:c r="J500" s="89" t="str">
        <x:v>Pale Flesh оставить на верхней стороне</x:v>
      </x:c>
      <x:c r="K500" s="89" t="str">
        <x:v>—</x:v>
      </x:c>
      <x:c r="L500" s="89" t="str">
        <x:v>Общий skin glaze по границе</x:v>
      </x:c>
      <x:c r="M500" s="89" t="str">
        <x:v>Без финального лака</x:v>
      </x:c>
      <x:c r="N500" s="90" t="str">
        <x:v>Очень высокая</x:v>
      </x:c>
      <x:c r="O500" s="89" t="str">
        <x:v>Переход меняет пигментацию и мягкость формы, но не должен выглядеть отдельной белой вставкой на животе.</x:v>
      </x:c>
      <x:c r="P500" s="89" t="str">
        <x:v>S02 — рабочая техника</x:v>
      </x:c>
      <x:c r="Q500" s="89" t="str">
        <x:v>Рецепт формирует крупную анатомию после закрытия S01 и до фактурной сессии S03.</x:v>
      </x:c>
    </x:row>
    <x:row r="501">
      <x:c r="A501" s="90" t="n">
        <x:v>497</x:v>
      </x:c>
      <x:c r="B501" s="721" t="str">
        <x:v>Сессионный процесс</x:v>
      </x:c>
      <x:c r="C501" s="721" t="str">
        <x:v>S02 кистью: анатомическая glaze</x:v>
      </x:c>
      <x:c r="D501" s="89" t="str">
        <x:v>Точная работа около границ</x:v>
      </x:c>
      <x:c r="E501" s="89" t="str">
        <x:v>S01 закрыта; тест 482 подтверждён</x:v>
      </x:c>
      <x:c r="F501" s="89" t="str">
        <x:v>Targor/Dreadful + Medium для глубины</x:v>
      </x:c>
      <x:c r="G501" s="89" t="str">
        <x:v>Skin midtone для сужения тени</x:v>
      </x:c>
      <x:c r="H501" s="89" t="str">
        <x:v>Light midtone для верхней плоскости</x:v>
      </x:c>
      <x:c r="I501" s="89" t="str">
        <x:v>Pale Flesh ограниченно</x:v>
      </x:c>
      <x:c r="J501" s="89" t="str">
        <x:v>—</x:v>
      </x:c>
      <x:c r="K501" s="89" t="str">
        <x:v>—</x:v>
      </x:c>
      <x:c r="L501" s="89" t="str">
        <x:v>Каждый слой полностью высушивать</x:v>
      </x:c>
      <x:c r="M501" s="89" t="str">
        <x:v>Без финального лака</x:v>
      </x:c>
      <x:c r="N501" s="90" t="str">
        <x:v>Средняя</x:v>
      </x:c>
      <x:c r="O501" s="89" t="str">
        <x:v>Кистевой метод лучше для грудины, подмышек, рёбер и мягких складок; широкие зоны не строятся мелкой штриховкой.</x:v>
      </x:c>
      <x:c r="P501" s="89" t="str">
        <x:v>S02 — рабочая техника</x:v>
      </x:c>
      <x:c r="Q501" s="89" t="str">
        <x:v>Рецепт формирует крупную анатомию после закрытия S01 и до фактурной сессии S03.</x:v>
      </x:c>
    </x:row>
    <x:row r="502">
      <x:c r="A502" s="90" t="n">
        <x:v>498</x:v>
      </x:c>
      <x:c r="B502" s="721" t="str">
        <x:v>Сессионный процесс</x:v>
      </x:c>
      <x:c r="C502" s="721" t="str">
        <x:v>S02 аэрографом: крупные анатомические плоскости</x:v>
      </x:c>
      <x:c r="D502" s="89" t="str">
        <x:v>Карточка + прозрачный midtone</x:v>
      </x:c>
      <x:c r="E502" s="89" t="str">
        <x:v>S01 закрыта</x:v>
      </x:c>
      <x:c r="F502" s="89" t="str">
        <x:v>Light midtone прозрачным слоем по выбранной плоскости</x:v>
      </x:c>
      <x:c r="G502" s="89" t="str">
        <x:v>Карточка уменьшает overspray на соседнюю тень</x:v>
      </x:c>
      <x:c r="H502" s="89" t="str">
        <x:v>Skin midtone возвращает границу</x:v>
      </x:c>
      <x:c r="I502" s="89" t="str">
        <x:v>Pale Flesh только кистью</x:v>
      </x:c>
      <x:c r="J502" s="89" t="str">
        <x:v>—</x:v>
      </x:c>
      <x:c r="K502" s="89" t="str">
        <x:v>—</x:v>
      </x:c>
      <x:c r="L502" s="89" t="str">
        <x:v>Кистью уточнить углубления</x:v>
      </x:c>
      <x:c r="M502" s="89" t="str">
        <x:v>Без финального лака</x:v>
      </x:c>
      <x:c r="N502" s="90" t="str">
        <x:v>Высокая</x:v>
      </x:c>
      <x:c r="O502" s="89" t="str">
        <x:v>Аэрограф используется только для крупных плоскостей груди, дельт и лопаток; мелкие анатомические границы остаются кистевыми.</x:v>
      </x:c>
      <x:c r="P502" s="89" t="str">
        <x:v>S02 — рабочая техника</x:v>
      </x:c>
      <x:c r="Q502" s="89" t="str">
        <x:v>Рецепт формирует крупную анатомию после закрытия S01 и до фактурной сессии S03.</x:v>
      </x:c>
    </x:row>
    <x:row r="503">
      <x:c r="A503" s="90" t="n">
        <x:v>499</x:v>
      </x:c>
      <x:c r="B503" s="721" t="str">
        <x:v>Сессионный процесс</x:v>
      </x:c>
      <x:c r="C503" s="721" t="str">
        <x:v>S02 гибридный метод</x:v>
      </x:c>
      <x:c r="D503" s="89" t="str">
        <x:v>Аэрограф формы + кисть разделения</x:v>
      </x:c>
      <x:c r="E503" s="89" t="str">
        <x:v>Тест 482 подтверждён</x:v>
      </x:c>
      <x:c r="F503" s="89" t="str">
        <x:v>Аэрографом определить 4–5 крупных световых плоскостей</x:v>
      </x:c>
      <x:c r="G503" s="89" t="str">
        <x:v>Кистью углубить только реальные стыки</x:v>
      </x:c>
      <x:c r="H503" s="89" t="str">
        <x:v>Skin midtone сузить тени</x:v>
      </x:c>
      <x:c r="I503" s="89" t="str">
        <x:v>Light midtone и Pale Flesh локально</x:v>
      </x:c>
      <x:c r="J503" s="89" t="str">
        <x:v>—</x:v>
      </x:c>
      <x:c r="K503" s="89" t="str">
        <x:v>—</x:v>
      </x:c>
      <x:c r="L503" s="89" t="str">
        <x:v>Skin glaze по стыкам методов</x:v>
      </x:c>
      <x:c r="M503" s="89" t="str">
        <x:v>Без финального лака</x:v>
      </x:c>
      <x:c r="N503" s="90" t="str">
        <x:v>Высокая</x:v>
      </x:c>
      <x:c r="O503" s="89" t="str">
        <x:v>Гибридный метод сохраняет масштаб модели и избегает одновременно плоского аэрографа и комиксной кистевой обводки.</x:v>
      </x:c>
      <x:c r="P503" s="89" t="str">
        <x:v>S02 — рабочая техника</x:v>
      </x:c>
      <x:c r="Q503" s="89" t="str">
        <x:v>Рецепт формирует крупную анатомию после закрытия S01 и до фактурной сессии S03.</x:v>
      </x:c>
    </x:row>
    <x:row r="504">
      <x:c r="A504" s="90" t="n">
        <x:v>500</x:v>
      </x:c>
      <x:c r="B504" s="723" t="str">
        <x:v>Монстры и демоны</x:v>
      </x:c>
      <x:c r="C504" s="723" t="str">
        <x:v>Тёплая грудь и холодное брюхо</x:v>
      </x:c>
      <x:c r="D504" s="89" t="str">
        <x:v>Слабая температурная иерархия</x:v>
      </x:c>
      <x:c r="E504" s="89" t="str">
        <x:v>Грудь и брюхо построены по значениям</x:v>
      </x:c>
      <x:c r="F504" s="89" t="str">
        <x:v>Cadian Fleshtone в chest midtone в малой доле</x:v>
      </x:c>
      <x:c r="G504" s="89" t="str">
        <x:v>Deepkin Flesh/Dreadful в belly midtone в малой доле</x:v>
      </x:c>
      <x:c r="H504" s="89" t="str">
        <x:v>Обычный skin midtone между зонами</x:v>
      </x:c>
      <x:c r="I504" s="89" t="str">
        <x:v>Pale Flesh общий свет</x:v>
      </x:c>
      <x:c r="J504" s="89" t="str">
        <x:v>—</x:v>
      </x:c>
      <x:c r="K504" s="89" t="str">
        <x:v>—</x:v>
      </x:c>
      <x:c r="L504" s="89" t="str">
        <x:v>Skin glaze 1:15</x:v>
      </x:c>
      <x:c r="M504" s="89" t="str">
        <x:v>Без финального лака</x:v>
      </x:c>
      <x:c r="N504" s="90" t="str">
        <x:v>Высокая</x:v>
      </x:c>
      <x:c r="O504" s="89" t="str">
        <x:v>Температура вторична по отношению к значениям. Разницу должно быть заметно только при прямом сравнении зон.</x:v>
      </x:c>
      <x:c r="P504" s="89" t="str">
        <x:v>S02 — рабочая техника</x:v>
      </x:c>
      <x:c r="Q504" s="89" t="str">
        <x:v>Рецепт формирует крупную анатомию после закрытия S01 и до фактурной сессии S03.</x:v>
      </x:c>
    </x:row>
    <x:row r="505">
      <x:c r="A505" s="90" t="n">
        <x:v>501</x:v>
      </x:c>
      <x:c r="B505" s="724" t="str">
        <x:v>Переходы материалов</x:v>
      </x:c>
      <x:c r="C505" s="724" t="str">
        <x:v>Гладкое брюхо и грубая спина</x:v>
      </x:c>
      <x:c r="D505" s="89" t="str">
        <x:v>Одна кожа, две фактуры</x:v>
      </x:c>
      <x:c r="E505" s="89" t="str">
        <x:v>Анатомия S02 завершена</x:v>
      </x:c>
      <x:c r="F505" s="89" t="str">
        <x:v>Брюхо оставить гладкими glaze</x:v>
      </x:c>
      <x:c r="G505" s="89" t="str">
        <x:v>Спину и плечи позже обработать stippling в S03</x:v>
      </x:c>
      <x:c r="H505" s="89" t="str">
        <x:v>Бок торса — переходная плотность</x:v>
      </x:c>
      <x:c r="I505" s="89" t="str">
        <x:v>Световые значения остаются общими</x:v>
      </x:c>
      <x:c r="J505" s="89" t="str">
        <x:v>—</x:v>
      </x:c>
      <x:c r="K505" s="89" t="str">
        <x:v>—</x:v>
      </x:c>
      <x:c r="L505" s="89" t="str">
        <x:v>Matt Varnish по всей коже</x:v>
      </x:c>
      <x:c r="M505" s="89" t="str">
        <x:v>Без финального лака</x:v>
      </x:c>
      <x:c r="N505" s="90" t="str">
        <x:v>Средняя</x:v>
      </x:c>
      <x:c r="O505" s="89" t="str">
        <x:v>S02 формирует объём, но не завершает фактуру. Грубая кожа откладывается до S03, чтобы не потерять анатомию.</x:v>
      </x:c>
      <x:c r="P505" s="89" t="str">
        <x:v>S02 — рабочая техника</x:v>
      </x:c>
      <x:c r="Q505" s="89" t="str">
        <x:v>Рецепт формирует крупную анатомию после закрытия S01 и до фактурной сессии S03.</x:v>
      </x:c>
    </x:row>
    <x:row r="506">
      <x:c r="A506" s="90" t="n">
        <x:v>502</x:v>
      </x:c>
      <x:c r="B506" s="725" t="str">
        <x:v>Коррекция</x:v>
      </x:c>
      <x:c r="C506" s="725" t="str">
        <x:v>Устранение чёрной обводки мышц</x:v>
      </x:c>
      <x:c r="D506" s="89" t="str">
        <x:v>Сужение тени цветом кожи</x:v>
      </x:c>
      <x:c r="E506" s="89" t="str">
        <x:v>Тёмная линия выглядит нарисованной</x:v>
      </x:c>
      <x:c r="F506" s="89" t="str">
        <x:v>Skin midtone + Medium 1:4 по обеим сторонам линии</x:v>
      </x:c>
      <x:c r="G506" s="89" t="str">
        <x:v>Оставить темноту только в глубочайшем центре</x:v>
      </x:c>
      <x:c r="H506" s="89" t="str">
        <x:v>Light midtone вернуть на верхнюю плоскость</x:v>
      </x:c>
      <x:c r="I506" s="89" t="str">
        <x:v>—</x:v>
      </x:c>
      <x:c r="J506" s="89" t="str">
        <x:v>—</x:v>
      </x:c>
      <x:c r="K506" s="89" t="str">
        <x:v>—</x:v>
      </x:c>
      <x:c r="L506" s="89" t="str">
        <x:v>Skin glaze по всей группе</x:v>
      </x:c>
      <x:c r="M506" s="89" t="str">
        <x:v>Без финального лака</x:v>
      </x:c>
      <x:c r="N506" s="90" t="str">
        <x:v>Средняя</x:v>
      </x:c>
      <x:c r="O506" s="89" t="str">
        <x:v>Не перекрывать линию полностью одним непрозрачным слоем: тень сохраняется, но становится уже и мягче.</x:v>
      </x:c>
      <x:c r="P506" s="89" t="str">
        <x:v>S02 — коррекция</x:v>
      </x:c>
      <x:c r="Q506" s="89" t="str">
        <x:v>Использовать только при конкретном дефекте анатомии или направления света.</x:v>
      </x:c>
    </x:row>
    <x:row r="507">
      <x:c r="A507" s="90" t="n">
        <x:v>503</x:v>
      </x:c>
      <x:c r="B507" s="725" t="str">
        <x:v>Коррекция</x:v>
      </x:c>
      <x:c r="C507" s="725" t="str">
        <x:v>Слишком раздробленная анатомия</x:v>
      </x:c>
      <x:c r="D507" s="89" t="str">
        <x:v>Объединение мышц крупными массами</x:v>
      </x:c>
      <x:c r="E507" s="89" t="str">
        <x:v>Модель покрыта множеством мелких светов</x:v>
      </x:c>
      <x:c r="F507" s="89" t="str">
        <x:v>Skin midtone glaze по группе соседних мышц</x:v>
      </x:c>
      <x:c r="G507" s="89" t="str">
        <x:v>Оставить один общий теневой разрыв</x:v>
      </x:c>
      <x:c r="H507" s="89" t="str">
        <x:v>Вернуть один крупный light plane</x:v>
      </x:c>
      <x:c r="I507" s="89" t="str">
        <x:v>Pale Flesh только в одном максимуме</x:v>
      </x:c>
      <x:c r="J507" s="89" t="str">
        <x:v>—</x:v>
      </x:c>
      <x:c r="K507" s="89" t="str">
        <x:v>—</x:v>
      </x:c>
      <x:c r="L507" s="89" t="str">
        <x:v>Общий skin filter</x:v>
      </x:c>
      <x:c r="M507" s="89" t="str">
        <x:v>Без финального лака</x:v>
      </x:c>
      <x:c r="N507" s="90" t="str">
        <x:v>Средняя</x:v>
      </x:c>
      <x:c r="O507" s="89" t="str">
        <x:v>На крупной модели соседние мышцы часто читаются как одна масса с несколькими локальными изменениями, а не как отдельные миниатюры.</x:v>
      </x:c>
      <x:c r="P507" s="89" t="str">
        <x:v>S02 — коррекция</x:v>
      </x:c>
      <x:c r="Q507" s="89" t="str">
        <x:v>Использовать только при конкретном дефекте анатомии или направления света.</x:v>
      </x:c>
    </x:row>
    <x:row r="508">
      <x:c r="A508" s="90" t="n">
        <x:v>504</x:v>
      </x:c>
      <x:c r="B508" s="725" t="str">
        <x:v>Коррекция</x:v>
      </x:c>
      <x:c r="C508" s="725" t="str">
        <x:v>Плоская мышца без объёма</x:v>
      </x:c>
      <x:c r="D508" s="89" t="str">
        <x:v>Возврат противоположных значений</x:v>
      </x:c>
      <x:c r="E508" s="89" t="str">
        <x:v>Группа имеет один равномерный midtone</x:v>
      </x:c>
      <x:c r="F508" s="89" t="str">
        <x:v>Углубить закрытую сторону Targor/Dreadful</x:v>
      </x:c>
      <x:c r="G508" s="89" t="str">
        <x:v>Вернуть midtone в центр</x:v>
      </x:c>
      <x:c r="H508" s="89" t="str">
        <x:v>Light midtone на сторону источника</x:v>
      </x:c>
      <x:c r="I508" s="89" t="str">
        <x:v>Pale Flesh ограниченно</x:v>
      </x:c>
      <x:c r="J508" s="89" t="str">
        <x:v>—</x:v>
      </x:c>
      <x:c r="K508" s="89" t="str">
        <x:v>—</x:v>
      </x:c>
      <x:c r="L508" s="89" t="str">
        <x:v>Skin glaze соединяет</x:v>
      </x:c>
      <x:c r="M508" s="89" t="str">
        <x:v>Без финального лака</x:v>
      </x:c>
      <x:c r="N508" s="90" t="str">
        <x:v>Средняя</x:v>
      </x:c>
      <x:c r="O508" s="89" t="str">
        <x:v>Объём требует одновременно тени и света. Добавление только ещё одного светлого слоя не исправляет плоскую форму.</x:v>
      </x:c>
      <x:c r="P508" s="89" t="str">
        <x:v>S02 — коррекция</x:v>
      </x:c>
      <x:c r="Q508" s="89" t="str">
        <x:v>Использовать только при конкретном дефекте анатомии или направления света.</x:v>
      </x:c>
    </x:row>
    <x:row r="509">
      <x:c r="A509" s="90" t="n">
        <x:v>505</x:v>
      </x:c>
      <x:c r="B509" s="725" t="str">
        <x:v>Коррекция</x:v>
      </x:c>
      <x:c r="C509" s="725" t="str">
        <x:v>Несовпадающий свет груди и рук</x:v>
      </x:c>
      <x:c r="D509" s="89" t="str">
        <x:v>Возврат единого источника</x:v>
      </x:c>
      <x:c r="E509" s="89" t="str">
        <x:v>Грудь и руки имеют разные направления света</x:v>
      </x:c>
      <x:c r="F509" s="89" t="str">
        <x:v>На неверной стороне вернуть skin midtone</x:v>
      </x:c>
      <x:c r="G509" s="89" t="str">
        <x:v>На правильной стороне добавить light midtone</x:v>
      </x:c>
      <x:c r="H509" s="89" t="str">
        <x:v>Сохранить общую теневую сторону</x:v>
      </x:c>
      <x:c r="I509" s="89" t="str">
        <x:v>—</x:v>
      </x:c>
      <x:c r="J509" s="89" t="str">
        <x:v>—</x:v>
      </x:c>
      <x:c r="K509" s="89" t="str">
        <x:v>—</x:v>
      </x:c>
      <x:c r="L509" s="89" t="str">
        <x:v>Skin glaze по переходу плеча</x:v>
      </x:c>
      <x:c r="M509" s="89" t="str">
        <x:v>Без финального лака</x:v>
      </x:c>
      <x:c r="N509" s="90" t="str">
        <x:v>Высокая</x:v>
      </x:c>
      <x:c r="O509" s="89" t="str">
        <x:v>Сравнивать грудь, дельту и верхнюю руку как одну связанную форму; сухая геометрия источника важнее локальной красоты каждой мышцы.</x:v>
      </x:c>
      <x:c r="P509" s="89" t="str">
        <x:v>S02 — коррекция</x:v>
      </x:c>
      <x:c r="Q509" s="89" t="str">
        <x:v>Использовать только при конкретном дефекте анатомии или направления света.</x:v>
      </x:c>
    </x:row>
    <x:row r="510">
      <x:c r="A510" s="90" t="n">
        <x:v>506</x:v>
      </x:c>
      <x:c r="B510" s="722" t="str">
        <x:v>Контроль качества</x:v>
      </x:c>
      <x:c r="C510" s="722" t="str">
        <x:v>Фото-контроль анатомии S02</x:v>
      </x:c>
      <x:c r="D510" s="89" t="str">
        <x:v>Фронт, профили, спина и grayscale</x:v>
      </x:c>
      <x:c r="E510" s="89" t="str">
        <x:v>S02 почти завершена</x:v>
      </x:c>
      <x:c r="F510" s="89" t="str">
        <x:v>Фронт проверяет грудь и брюхо</x:v>
      </x:c>
      <x:c r="G510" s="89" t="str">
        <x:v>Профили проверяют грудь–рука и бок</x:v>
      </x:c>
      <x:c r="H510" s="89" t="str">
        <x:v>Спина проверяет трапеции и лопатки</x:v>
      </x:c>
      <x:c r="I510" s="89" t="str">
        <x:v>Grayscale проверяет пять уровней</x:v>
      </x:c>
      <x:c r="J510" s="89" t="str">
        <x:v>—</x:v>
      </x:c>
      <x:c r="K510" s="89" t="str">
        <x:v>—</x:v>
      </x:c>
      <x:c r="L510" s="89" t="str">
        <x:v>Записать максимум три исправления</x:v>
      </x:c>
      <x:c r="M510" s="89" t="str">
        <x:v>Не требуется</x:v>
      </x:c>
      <x:c r="N510" s="90" t="str">
        <x:v>Низкая</x:v>
      </x:c>
      <x:c r="O510" s="89" t="str">
        <x:v>Фото делаются до пор, вен и пигментации. Мелкая фактура не должна скрывать ошибки крупной анатомии.</x:v>
      </x:c>
      <x:c r="P510" s="89" t="str">
        <x:v>S02 — контрольный процесс</x:v>
      </x:c>
      <x:c r="Q510" s="89" t="str">
        <x:v>Рецепт проверяет анатомию и свет до добавления фактуры.</x:v>
      </x:c>
    </x:row>
    <x:row r="511">
      <x:c r="A511" s="90" t="n">
        <x:v>507</x:v>
      </x:c>
      <x:c r="B511" s="722" t="str">
        <x:v>Контроль качества</x:v>
      </x:c>
      <x:c r="C511" s="722" t="str">
        <x:v>Gate пяти значений S02</x:v>
      </x:c>
      <x:c r="D511" s="89" t="str">
        <x:v>Формальная проверка</x:v>
      </x:c>
      <x:c r="E511" s="89" t="str">
        <x:v>Фото 506 готовы</x:v>
      </x:c>
      <x:c r="F511" s="89" t="str">
        <x:v>Уровень 1 присутствует в глубоких впадинах</x:v>
      </x:c>
      <x:c r="G511" s="89" t="str">
        <x:v>Уровень 2 отделён от уровня 3</x:v>
      </x:c>
      <x:c r="H511" s="89" t="str">
        <x:v>Уровень 3 остаётся основной массой</x:v>
      </x:c>
      <x:c r="I511" s="89" t="str">
        <x:v>Уровень 4 показывает источник</x:v>
      </x:c>
      <x:c r="J511" s="89" t="str">
        <x:v>Уровень 5 занимает менее 5% кожи</x:v>
      </x:c>
      <x:c r="K511" s="89" t="str">
        <x:v>—</x:v>
      </x:c>
      <x:c r="L511" s="89" t="str">
        <x:v>BLOCK при отсутствии уровня 1, 3 или 4</x:v>
      </x:c>
      <x:c r="M511" s="89" t="str">
        <x:v>Не требуется</x:v>
      </x:c>
      <x:c r="N511" s="90" t="str">
        <x:v>Средняя</x:v>
      </x:c>
      <x:c r="O511" s="89" t="str">
        <x:v>Не каждая зона обязана содержать уровень 5, но вся модель должна иметь ясную иерархию от глубины до ограниченного максимума.</x:v>
      </x:c>
      <x:c r="P511" s="89" t="str">
        <x:v>S02 — контрольный процесс</x:v>
      </x:c>
      <x:c r="Q511" s="89" t="str">
        <x:v>Рецепт проверяет анатомию и свет до добавления фактуры.</x:v>
      </x:c>
    </x:row>
    <x:row r="512">
      <x:c r="A512" s="90" t="n">
        <x:v>508</x:v>
      </x:c>
      <x:c r="B512" s="722" t="str">
        <x:v>Контроль качества</x:v>
      </x:c>
      <x:c r="C512" s="722" t="str">
        <x:v>Оценка зон S02</x:v>
      </x:c>
      <x:c r="D512" s="89" t="str">
        <x:v>Три показателя и фото</x:v>
      </x:c>
      <x:c r="E512" s="89" t="str">
        <x:v>Каждая зона обработана</x:v>
      </x:c>
      <x:c r="F512" s="89" t="str">
        <x:v>Анатомия 1–5</x:v>
      </x:c>
      <x:c r="G512" s="89" t="str">
        <x:v>Единый свет 1–5</x:v>
      </x:c>
      <x:c r="H512" s="89" t="str">
        <x:v>Мягкость перехода 1–5</x:v>
      </x:c>
      <x:c r="I512" s="89" t="str">
        <x:v>Фото подтверждено</x:v>
      </x:c>
      <x:c r="J512" s="89" t="str">
        <x:v>Средняя автоматически</x:v>
      </x:c>
      <x:c r="K512" s="89" t="str">
        <x:v>—</x:v>
      </x:c>
      <x:c r="L512" s="89" t="str">
        <x:v>PASS: анатомия и свет ≥4; мягкость ≥3</x:v>
      </x:c>
      <x:c r="M512" s="89" t="str">
        <x:v>Не требуется</x:v>
      </x:c>
      <x:c r="N512" s="90" t="str">
        <x:v>Низкая</x:v>
      </x:c>
      <x:c r="O512" s="89" t="str">
        <x:v>Оценка нужна не для абсолютной красоты, а для допуска к S03, где фактура может скрыть оставшиеся ошибки.</x:v>
      </x:c>
      <x:c r="P512" s="89" t="str">
        <x:v>S02 — контрольный процесс</x:v>
      </x:c>
      <x:c r="Q512" s="89" t="str">
        <x:v>Рецепт проверяет анатомию и свет до добавления фактуры.</x:v>
      </x:c>
    </x:row>
    <x:row r="513">
      <x:c r="A513" s="90" t="n">
        <x:v>509</x:v>
      </x:c>
      <x:c r="B513" s="722" t="str">
        <x:v>Контроль качества</x:v>
      </x:c>
      <x:c r="C513" s="722" t="str">
        <x:v>Критерий закрытия S02</x:v>
      </x:c>
      <x:c r="D513" s="89" t="str">
        <x:v>Формальный session gate</x:v>
      </x:c>
      <x:c r="E513" s="89" t="str">
        <x:v>Все зоны S02 обработаны</x:v>
      </x:c>
      <x:c r="F513" s="89" t="str">
        <x:v>Все зоны PASS</x:v>
      </x:c>
      <x:c r="G513" s="89" t="str">
        <x:v>Пятиуровневый gate PASS</x:v>
      </x:c>
      <x:c r="H513" s="89" t="str">
        <x:v>Фронт, профили и спина сняты</x:v>
      </x:c>
      <x:c r="I513" s="89" t="str">
        <x:v>Записаны три исправления или указано «нет»</x:v>
      </x:c>
      <x:c r="J513" s="89" t="str">
        <x:v>S01 остаётся закрыта</x:v>
      </x:c>
      <x:c r="K513" s="89" t="str">
        <x:v>—</x:v>
      </x:c>
      <x:c r="L513" s="89" t="str">
        <x:v>Итог листа → CLOSE S02</x:v>
      </x:c>
      <x:c r="M513" s="89" t="str">
        <x:v>Не требуется</x:v>
      </x:c>
      <x:c r="N513" s="90" t="str">
        <x:v>Низкая</x:v>
      </x:c>
      <x:c r="O513" s="89" t="str">
        <x:v>Если S02 не закрыта, не начинать stippling, вены, поры и пигментные пятна S03.</x:v>
      </x:c>
      <x:c r="P513" s="89" t="str">
        <x:v>S02 — dependency gate</x:v>
      </x:c>
      <x:c r="Q513" s="89" t="str">
        <x:v>Рецепт управляет разблокировкой, закрытием или переходом к следующей сессии.</x:v>
      </x:c>
    </x:row>
    <x:row r="514">
      <x:c r="A514" s="90" t="n">
        <x:v>510</x:v>
      </x:c>
      <x:c r="B514" s="720" t="str">
        <x:v>Проектный процесс</x:v>
      </x:c>
      <x:c r="C514" s="720" t="str">
        <x:v>Переход S02 → S03</x:v>
      </x:c>
      <x:c r="D514" s="89" t="str">
        <x:v>Статусы и сохранение анатомии</x:v>
      </x:c>
      <x:c r="E514" s="89" t="str">
        <x:v>Итог S02 = CLOSE S02</x:v>
      </x:c>
      <x:c r="F514" s="89" t="str">
        <x:v>S02 → Готово</x:v>
      </x:c>
      <x:c r="G514" s="89" t="str">
        <x:v>S03 → Следующая</x:v>
      </x:c>
      <x:c r="H514" s="89" t="str">
        <x:v>Зафиксировать фотографии без фактуры</x:v>
      </x:c>
      <x:c r="I514" s="89" t="str">
        <x:v>Сохранить midtone и light mix</x:v>
      </x:c>
      <x:c r="J514" s="89" t="str">
        <x:v>—</x:v>
      </x:c>
      <x:c r="K514" s="89" t="str">
        <x:v>—</x:v>
      </x:c>
      <x:c r="L514" s="89" t="str">
        <x:v>Разрешить рецепты 393–395 и 425–427</x:v>
      </x:c>
      <x:c r="M514" s="89" t="str">
        <x:v>Не требуется</x:v>
      </x:c>
      <x:c r="N514" s="90" t="str">
        <x:v>Низкая</x:v>
      </x:c>
      <x:c r="O514" s="89" t="str">
        <x:v>Фактура S03 наносится поверх подтверждённой анатомии. Статусы дальнейших сессий не меняются.</x:v>
      </x:c>
      <x:c r="P514" s="89" t="str">
        <x:v>S02 — dependency gate</x:v>
      </x:c>
      <x:c r="Q514" s="89" t="str">
        <x:v>Рецепт управляет разблокировкой, закрытием или переходом к следующей сессии.</x:v>
      </x:c>
    </x:row>
    <x:row r="515">
      <x:c r="A515" s="90" t="n">
        <x:v>511</x:v>
      </x:c>
      <x:c r="B515" s="760" t="str">
        <x:v>Проектный процесс</x:v>
      </x:c>
      <x:c r="C515" s="760" t="str">
        <x:v>Разблокировка S03 после закрытия S02</x:v>
      </x:c>
      <x:c r="D515" s="89" t="str">
        <x:v>Dependency gate</x:v>
      </x:c>
      <x:c r="E515" s="89" t="str">
        <x:v>Итог S02 = CLOSE S02</x:v>
      </x:c>
      <x:c r="F515" s="89" t="str">
        <x:v>Подтвердить 12 PASS-зон</x:v>
      </x:c>
      <x:c r="G515" s="89" t="str">
        <x:v>Подтвердить пятиуровневый gate и фотографии</x:v>
      </x:c>
      <x:c r="H515" s="89" t="str">
        <x:v>S02 → Готово</x:v>
      </x:c>
      <x:c r="I515" s="89" t="str">
        <x:v>S03 → Следующая</x:v>
      </x:c>
      <x:c r="J515" s="89" t="str">
        <x:v>—</x:v>
      </x:c>
      <x:c r="K515" s="89" t="str">
        <x:v>—</x:v>
      </x:c>
      <x:c r="L515" s="89" t="str">
        <x:v>Не менять S04 и последующие статусы</x:v>
      </x:c>
      <x:c r="M515" s="89" t="str">
        <x:v>Не требуется</x:v>
      </x:c>
      <x:c r="N515" s="90" t="str">
        <x:v>Низкая</x:v>
      </x:c>
      <x:c r="O515" s="89" t="str">
        <x:v>Фактура не должна скрывать ошибки анатомии. S03 остаётся LOCKED до формального закрытия S02.</x:v>
      </x:c>
      <x:c r="P515" s="89" t="str">
        <x:v>S03 — dependency gate</x:v>
      </x:c>
      <x:c r="Q515" s="89" t="str">
        <x:v>Разблокировка или переход к следующей сессии.</x:v>
      </x:c>
    </x:row>
    <x:row r="516">
      <x:c r="A516" s="90" t="n">
        <x:v>512</x:v>
      </x:c>
      <x:c r="B516" s="761" t="str">
        <x:v>Сессионный процесс</x:v>
      </x:c>
      <x:c r="C516" s="761" t="str">
        <x:v>Тест stippling-плотности S03</x:v>
      </x:c>
      <x:c r="D516" s="89" t="str">
        <x:v>Три плотности на скрытой зоне</x:v>
      </x:c>
      <x:c r="E516" s="89" t="str">
        <x:v>S02 закрыта; кожа сухая</x:v>
      </x:c>
      <x:c r="F516" s="89" t="str">
        <x:v>Skin midtone — редкие точки</x:v>
      </x:c>
      <x:c r="G516" s="89" t="str">
        <x:v>Dark skin tone — ещё более редкие точки</x:v>
      </x:c>
      <x:c r="H516" s="89" t="str">
        <x:v>Light skin tone — плотнее на световой стороне</x:v>
      </x:c>
      <x:c r="I516" s="89" t="str">
        <x:v>Сравнить три участка: 20% / 40% / 60% покрытия</x:v>
      </x:c>
      <x:c r="J516" s="89" t="str">
        <x:v>Выбрать самый естественный</x:v>
      </x:c>
      <x:c r="K516" s="89" t="str">
        <x:v>—</x:v>
      </x:c>
      <x:c r="L516" s="89" t="str">
        <x:v>Skin glaze 1:12 при чрезмерной резкости</x:v>
      </x:c>
      <x:c r="M516" s="89" t="str">
        <x:v>Без финального лака</x:v>
      </x:c>
      <x:c r="N516" s="90" t="str">
        <x:v>Низкая</x:v>
      </x:c>
      <x:c r="O516" s="89" t="str">
        <x:v>Тест проводится на задней стороне плеча или бедра. Выбранная плотность должна исчезать с игровой дистанции.</x:v>
      </x:c>
      <x:c r="P516" s="89" t="str">
        <x:v>S03 — контрольный процесс</x:v>
      </x:c>
      <x:c r="Q516" s="89" t="str">
        <x:v>Тест масштаба фактуры или финальный фото-gate.</x:v>
      </x:c>
    </x:row>
    <x:row r="517">
      <x:c r="A517" s="90" t="n">
        <x:v>513</x:v>
      </x:c>
      <x:c r="B517" s="762" t="str">
        <x:v>Монстры и демоны</x:v>
      </x:c>
      <x:c r="C517" s="762" t="str">
        <x:v>Кластеры фактуры трёх размеров</x:v>
      </x:c>
      <x:c r="D517" s="89" t="str">
        <x:v>Крупные, средние и мелкие группы</x:v>
      </x:c>
      <x:c r="E517" s="89" t="str">
        <x:v>Готовая анатомия</x:v>
      </x:c>
      <x:c r="F517" s="89" t="str">
        <x:v>Крупные кластеры skin midtone</x:v>
      </x:c>
      <x:c r="G517" s="89" t="str">
        <x:v>Средние кластеры dark/light variants</x:v>
      </x:c>
      <x:c r="H517" s="89" t="str">
        <x:v>Мелкие точки только внутри части кластеров</x:v>
      </x:c>
      <x:c r="I517" s="89" t="str">
        <x:v>Оставить большие чистые зоны</x:v>
      </x:c>
      <x:c r="J517" s="89" t="str">
        <x:v>—</x:v>
      </x:c>
      <x:c r="K517" s="89" t="str">
        <x:v>—</x:v>
      </x:c>
      <x:c r="L517" s="89" t="str">
        <x:v>Общий skin glaze по краям кластеров</x:v>
      </x:c>
      <x:c r="M517" s="89" t="str">
        <x:v>Matt Varnish</x:v>
      </x:c>
      <x:c r="N517" s="90" t="str">
        <x:v>Высокая</x:v>
      </x:c>
      <x:c r="O517" s="89" t="str">
        <x:v>Фактура строится группами разного масштаба. Равномерное распределение одинаковых точек превращает кожу в печатный узор.</x:v>
      </x:c>
      <x:c r="P517" s="89" t="str">
        <x:v>S03 — рабочая техника</x:v>
      </x:c>
      <x:c r="Q517" s="89" t="str">
        <x:v>Фактура и физиология поверх подтверждённой анатомии S02.</x:v>
      </x:c>
    </x:row>
    <x:row r="518">
      <x:c r="A518" s="90" t="n">
        <x:v>514</x:v>
      </x:c>
      <x:c r="B518" s="762" t="str">
        <x:v>Монстры и демоны</x:v>
      </x:c>
      <x:c r="C518" s="762" t="str">
        <x:v>Среднетоновый stippling крупной кожи</x:v>
      </x:c>
      <x:c r="D518" s="89" t="str">
        <x:v>Возврат естественной неоднородности</x:v>
      </x:c>
      <x:c r="E518" s="89" t="str">
        <x:v>S02 завершена</x:v>
      </x:c>
      <x:c r="F518" s="89" t="str">
        <x:v>Основной skin midtone полусухой кистью точками</x:v>
      </x:c>
      <x:c r="G518" s="89" t="str">
        <x:v>Плотность выше на плечах и спине</x:v>
      </x:c>
      <x:c r="H518" s="89" t="str">
        <x:v>Плотность ниже на груди и мягких зонах</x:v>
      </x:c>
      <x:c r="I518" s="89" t="str">
        <x:v>Сохранять световые плоскости S02</x:v>
      </x:c>
      <x:c r="J518" s="89" t="str">
        <x:v>—</x:v>
      </x:c>
      <x:c r="K518" s="89" t="str">
        <x:v>—</x:v>
      </x:c>
      <x:c r="L518" s="89" t="str">
        <x:v>Skin glaze 1:15 только при необходимости</x:v>
      </x:c>
      <x:c r="M518" s="89" t="str">
        <x:v>Matt Varnish</x:v>
      </x:c>
      <x:c r="N518" s="90" t="str">
        <x:v>Средняя</x:v>
      </x:c>
      <x:c r="O518" s="89" t="str">
        <x:v>Среднетоновая фактура не меняет объём. Она следует уже построенным значениям и не перекрывает анатомические тени.</x:v>
      </x:c>
      <x:c r="P518" s="89" t="str">
        <x:v>S03 — рабочая техника</x:v>
      </x:c>
      <x:c r="Q518" s="89" t="str">
        <x:v>Фактура и физиология поверх подтверждённой анатомии S02.</x:v>
      </x:c>
    </x:row>
    <x:row r="519">
      <x:c r="A519" s="90" t="n">
        <x:v>515</x:v>
      </x:c>
      <x:c r="B519" s="762" t="str">
        <x:v>Монстры и демоны</x:v>
      </x:c>
      <x:c r="C519" s="762" t="str">
        <x:v>Тёмные поры и углубления</x:v>
      </x:c>
      <x:c r="D519" s="89" t="str">
        <x:v>Редкие микроточки</x:v>
      </x:c>
      <x:c r="E519" s="89" t="str">
        <x:v>Среднетоновая фактура завершена</x:v>
      </x:c>
      <x:c r="F519" s="89" t="str">
        <x:v>AK Deep Brown + skin shadow 1:1</x:v>
      </x:c>
      <x:c r="G519" s="89" t="str">
        <x:v>Нанести очень редкими точками в грубых зонах</x:v>
      </x:c>
      <x:c r="H519" s="89" t="str">
        <x:v>Часть точек перекрыть skin midtone</x:v>
      </x:c>
      <x:c r="I519" s="89" t="str">
        <x:v>Не ставить поры на лице и мягком брюхе</x:v>
      </x:c>
      <x:c r="J519" s="89" t="str">
        <x:v>—</x:v>
      </x:c>
      <x:c r="K519" s="89" t="str">
        <x:v>—</x:v>
      </x:c>
      <x:c r="L519" s="89" t="str">
        <x:v>Targor/Dreadful 1:15 локально объединить</x:v>
      </x:c>
      <x:c r="M519" s="89" t="str">
        <x:v>Ultra Matt или Matt</x:v>
      </x:c>
      <x:c r="N519" s="90" t="str">
        <x:v>Высокая</x:v>
      </x:c>
      <x:c r="O519" s="89" t="str">
        <x:v>Тёмные поры заметны только вблизи и концентрируются на плечах, верхней спине, локтях и внешней стороне рук.</x:v>
      </x:c>
      <x:c r="P519" s="89" t="str">
        <x:v>S03 — рабочая техника</x:v>
      </x:c>
      <x:c r="Q519" s="89" t="str">
        <x:v>Фактура и физиология поверх подтверждённой анатомии S02.</x:v>
      </x:c>
    </x:row>
    <x:row r="520">
      <x:c r="A520" s="90" t="n">
        <x:v>516</x:v>
      </x:c>
      <x:c r="B520" s="762" t="str">
        <x:v>Монстры и демоны</x:v>
      </x:c>
      <x:c r="C520" s="762" t="str">
        <x:v>Светлая микрофактура</x:v>
      </x:c>
      <x:c r="D520" s="89" t="str">
        <x:v>Точки по верхнему рельефу</x:v>
      </x:c>
      <x:c r="E520" s="89" t="str">
        <x:v>Среднетоновая фактура завершена</x:v>
      </x:c>
      <x:c r="F520" s="89" t="str">
        <x:v>Light skin tone редкими точками</x:v>
      </x:c>
      <x:c r="G520" s="89" t="str">
        <x:v>Pale Flesh только на наиболее открытых верхних зонах</x:v>
      </x:c>
      <x:c r="H520" s="89" t="str">
        <x:v>Точки собирать в кластеры</x:v>
      </x:c>
      <x:c r="I520" s="89" t="str">
        <x:v>Не пересекать теневую сторону</x:v>
      </x:c>
      <x:c r="J520" s="89" t="str">
        <x:v>—</x:v>
      </x:c>
      <x:c r="K520" s="89" t="str">
        <x:v>—</x:v>
      </x:c>
      <x:c r="L520" s="89" t="str">
        <x:v>Skin glaze смягчает отдельные чрезмерно светлые точки</x:v>
      </x:c>
      <x:c r="M520" s="89" t="str">
        <x:v>Matt Varnish</x:v>
      </x:c>
      <x:c r="N520" s="90" t="str">
        <x:v>Высокая</x:v>
      </x:c>
      <x:c r="O520" s="89" t="str">
        <x:v>Светлая фактура меньше по площади, чем среднетоновая. Она усиливает направление света, а не создаёт равномерный шум.</x:v>
      </x:c>
      <x:c r="P520" s="89" t="str">
        <x:v>S03 — рабочая техника</x:v>
      </x:c>
      <x:c r="Q520" s="89" t="str">
        <x:v>Фактура и физиология поверх подтверждённой анатомии S02.</x:v>
      </x:c>
    </x:row>
    <x:row r="521">
      <x:c r="A521" s="90" t="n">
        <x:v>517</x:v>
      </x:c>
      <x:c r="B521" s="760" t="str">
        <x:v>Проектный процесс</x:v>
      </x:c>
      <x:c r="C521" s="760" t="str">
        <x:v>Градиент детализации по фокусу</x:v>
      </x:c>
      <x:c r="D521" s="89" t="str">
        <x:v>Три уровня плотности</x:v>
      </x:c>
      <x:c r="E521" s="89" t="str">
        <x:v>Карта фокуса проекта</x:v>
      </x:c>
      <x:c r="F521" s="89" t="str">
        <x:v>Уровень 1: лицо и верх груди — точная, но умеренная фактура</x:v>
      </x:c>
      <x:c r="G521" s="89" t="str">
        <x:v>Уровень 2: плечи и спина — максимальная грубая фактура</x:v>
      </x:c>
      <x:c r="H521" s="89" t="str">
        <x:v>Уровень 3: ноги, низ крыльев и база — упрощённая фактура</x:v>
      </x:c>
      <x:c r="I521" s="89" t="str">
        <x:v>Мягкое брюхо оставить гладким</x:v>
      </x:c>
      <x:c r="J521" s="89" t="str">
        <x:v>—</x:v>
      </x:c>
      <x:c r="K521" s="89" t="str">
        <x:v>—</x:v>
      </x:c>
      <x:c r="L521" s="89" t="str">
        <x:v>Общий цветовой filter сохраняет единство</x:v>
      </x:c>
      <x:c r="M521" s="89" t="str">
        <x:v>Matt Varnish</x:v>
      </x:c>
      <x:c r="N521" s="90" t="str">
        <x:v>Средняя</x:v>
      </x:c>
      <x:c r="O521" s="89" t="str">
        <x:v>Плотность детализации не совпадает с яркостью: грубая спина может быть фактурнее лица, но лицо остаётся главным фокусом по контрасту.</x:v>
      </x:c>
      <x:c r="P521" s="89" t="str">
        <x:v>S03 — рабочая техника</x:v>
      </x:c>
      <x:c r="Q521" s="89" t="str">
        <x:v>Фактура и физиология поверх подтверждённой анатомии S02.</x:v>
      </x:c>
    </x:row>
    <x:row r="522">
      <x:c r="A522" s="90" t="n">
        <x:v>518</x:v>
      </x:c>
      <x:c r="B522" s="762" t="str">
        <x:v>Монстры и демоны</x:v>
      </x:c>
      <x:c r="C522" s="762" t="str">
        <x:v>Сохранение гладкой кожи лица</x:v>
      </x:c>
      <x:c r="D522" s="89" t="str">
        <x:v>Зона исключения S03</x:v>
      </x:c>
      <x:c r="E522" s="89" t="str">
        <x:v>Лицо построено по значениям, но не завершено</x:v>
      </x:c>
      <x:c r="F522" s="89" t="str">
        <x:v>Не добавлять тёмные поры</x:v>
      </x:c>
      <x:c r="G522" s="89" t="str">
        <x:v>Допустим только очень мелкий skin midtone stipple на висках</x:v>
      </x:c>
      <x:c r="H522" s="89" t="str">
        <x:v>Щёки, веки и губы оставить гладкими</x:v>
      </x:c>
      <x:c r="I522" s="89" t="str">
        <x:v>Финальную физиологию лица перенести в S04</x:v>
      </x:c>
      <x:c r="J522" s="89" t="str">
        <x:v>—</x:v>
      </x:c>
      <x:c r="K522" s="89" t="str">
        <x:v>—</x:v>
      </x:c>
      <x:c r="L522" s="89" t="str">
        <x:v>Skin glaze при случайной фактуре</x:v>
      </x:c>
      <x:c r="M522" s="89" t="str">
        <x:v>Matt; влажные зоны позже</x:v>
      </x:c>
      <x:c r="N522" s="90" t="str">
        <x:v>Низкая</x:v>
      </x:c>
      <x:c r="O522" s="89" t="str">
        <x:v>S03 не должна преждевременно закончить лицо. Гладкость лица помогает отделить его от грубой кожи туловища.</x:v>
      </x:c>
      <x:c r="P522" s="89" t="str">
        <x:v>S03 — рабочая техника</x:v>
      </x:c>
      <x:c r="Q522" s="89" t="str">
        <x:v>Фактура и физиология поверх подтверждённой анатомии S02.</x:v>
      </x:c>
    </x:row>
    <x:row r="523">
      <x:c r="A523" s="90" t="n">
        <x:v>519</x:v>
      </x:c>
      <x:c r="B523" s="762" t="str">
        <x:v>Монстры и демоны</x:v>
      </x:c>
      <x:c r="C523" s="762" t="str">
        <x:v>Грубая кожа плеч</x:v>
      </x:c>
      <x:c r="D523" s="89" t="str">
        <x:v>Максимальная плотность S03</x:v>
      </x:c>
      <x:c r="E523" s="89" t="str">
        <x:v>Дельты подтверждены S02</x:v>
      </x:c>
      <x:c r="F523" s="89" t="str">
        <x:v>Skin midtone stipple средней плотности</x:v>
      </x:c>
      <x:c r="G523" s="89" t="str">
        <x:v>Dark pores на нижней/внешней стороне</x:v>
      </x:c>
      <x:c r="H523" s="89" t="str">
        <x:v>Light texture по верхней дуге</x:v>
      </x:c>
      <x:c r="I523" s="89" t="str">
        <x:v>Оставить чистую световую плоскость у шеи</x:v>
      </x:c>
      <x:c r="J523" s="89" t="str">
        <x:v>—</x:v>
      </x:c>
      <x:c r="K523" s="89" t="str">
        <x:v>—</x:v>
      </x:c>
      <x:c r="L523" s="89" t="str">
        <x:v>Skin glaze по переходу в грудь</x:v>
      </x:c>
      <x:c r="M523" s="89" t="str">
        <x:v>Matt Varnish</x:v>
      </x:c>
      <x:c r="N523" s="90" t="str">
        <x:v>Средняя</x:v>
      </x:c>
      <x:c r="O523" s="89" t="str">
        <x:v>Плечи выдерживают наиболее выраженную фактуру, но сферический свет дельты остаётся читаемым.</x:v>
      </x:c>
      <x:c r="P523" s="89" t="str">
        <x:v>S03 — рабочая техника</x:v>
      </x:c>
      <x:c r="Q523" s="89" t="str">
        <x:v>Фактура и физиология поверх подтверждённой анатомии S02.</x:v>
      </x:c>
    </x:row>
    <x:row r="524">
      <x:c r="A524" s="90" t="n">
        <x:v>520</x:v>
      </x:c>
      <x:c r="B524" s="762" t="str">
        <x:v>Монстры и демоны</x:v>
      </x:c>
      <x:c r="C524" s="762" t="str">
        <x:v>Огрубевшая верхняя спина</x:v>
      </x:c>
      <x:c r="D524" s="89" t="str">
        <x:v>Кластеры, поры и сухие гребни</x:v>
      </x:c>
      <x:c r="E524" s="89" t="str">
        <x:v>Лопатки и трапеции подтверждены</x:v>
      </x:c>
      <x:c r="F524" s="89" t="str">
        <x:v>Skin midtone крупными кластерами</x:v>
      </x:c>
      <x:c r="G524" s="89" t="str">
        <x:v>Deep Brown микропоры между кластерами</x:v>
      </x:c>
      <x:c r="H524" s="89" t="str">
        <x:v>Stormvermin Fur + skin tone 1:1 на сухих гребнях</x:v>
      </x:c>
      <x:c r="I524" s="89" t="str">
        <x:v>Pale Sand единично</x:v>
      </x:c>
      <x:c r="J524" s="89" t="str">
        <x:v>—</x:v>
      </x:c>
      <x:c r="K524" s="89" t="str">
        <x:v>—</x:v>
      </x:c>
      <x:c r="L524" s="89" t="str">
        <x:v>Умбра жжёная очень локально у глубоких складок</x:v>
      </x:c>
      <x:c r="M524" s="89" t="str">
        <x:v>Ultra Matt</x:v>
      </x:c>
      <x:c r="N524" s="90" t="str">
        <x:v>Высокая</x:v>
      </x:c>
      <x:c r="O524" s="89" t="str">
        <x:v>Фактура спины крупнее плечевой и постепенно исчезает к шее, чтобы не конкурировать с головой.</x:v>
      </x:c>
      <x:c r="P524" s="89" t="str">
        <x:v>S03 — рабочая техника</x:v>
      </x:c>
      <x:c r="Q524" s="89" t="str">
        <x:v>Фактура и физиология поверх подтверждённой анатомии S02.</x:v>
      </x:c>
    </x:row>
    <x:row r="525">
      <x:c r="A525" s="90" t="n">
        <x:v>521</x:v>
      </x:c>
      <x:c r="B525" s="762" t="str">
        <x:v>Монстры и демоны</x:v>
      </x:c>
      <x:c r="C525" s="762" t="str">
        <x:v>Фактура внешней стороны рук</x:v>
      </x:c>
      <x:c r="D525" s="89" t="str">
        <x:v>Продольные кластеры</x:v>
      </x:c>
      <x:c r="E525" s="89" t="str">
        <x:v>Бицепс/трицепс подтверждены</x:v>
      </x:c>
      <x:c r="F525" s="89" t="str">
        <x:v>Skin midtone stipple вдоль формы руки</x:v>
      </x:c>
      <x:c r="G525" s="89" t="str">
        <x:v>Dark pores на внешней и нижней стороне</x:v>
      </x:c>
      <x:c r="H525" s="89" t="str">
        <x:v>Light texture на стороне ключевого света</x:v>
      </x:c>
      <x:c r="I525" s="89" t="str">
        <x:v>Внутреннюю сторону оставить гладче</x:v>
      </x:c>
      <x:c r="J525" s="89" t="str">
        <x:v>—</x:v>
      </x:c>
      <x:c r="K525" s="89" t="str">
        <x:v>—</x:v>
      </x:c>
      <x:c r="L525" s="89" t="str">
        <x:v>Skin glaze соединяет с дельтой</x:v>
      </x:c>
      <x:c r="M525" s="89" t="str">
        <x:v>Matt Varnish</x:v>
      </x:c>
      <x:c r="N525" s="90" t="str">
        <x:v>Средняя</x:v>
      </x:c>
      <x:c r="O525" s="89" t="str">
        <x:v>Кластеры вытягиваются вдоль цилиндрической формы. Поперечные полосы фактуры уменьшают ощущение длины и массы руки.</x:v>
      </x:c>
      <x:c r="P525" s="89" t="str">
        <x:v>S03 — рабочая техника</x:v>
      </x:c>
      <x:c r="Q525" s="89" t="str">
        <x:v>Фактура и физиология поверх подтверждённой анатомии S02.</x:v>
      </x:c>
    </x:row>
    <x:row r="526">
      <x:c r="A526" s="90" t="n">
        <x:v>522</x:v>
      </x:c>
      <x:c r="B526" s="762" t="str">
        <x:v>Монстры и демоны</x:v>
      </x:c>
      <x:c r="C526" s="762" t="str">
        <x:v>Огрубевшие локти и колени</x:v>
      </x:c>
      <x:c r="D526" s="89" t="str">
        <x:v>Сухая матовая мозоль</x:v>
      </x:c>
      <x:c r="E526" s="89" t="str">
        <x:v>Суставы построены</x:v>
      </x:c>
      <x:c r="F526" s="89" t="str">
        <x:v>Stormvermin Fur + skin midtone 1:1 stippling</x:v>
      </x:c>
      <x:c r="G526" s="89" t="str">
        <x:v>Baneblade Brown редкими точками</x:v>
      </x:c>
      <x:c r="H526" s="89" t="str">
        <x:v>Karak Stone по выступам</x:v>
      </x:c>
      <x:c r="I526" s="89" t="str">
        <x:v>Pale Sand единично</x:v>
      </x:c>
      <x:c r="J526" s="89" t="str">
        <x:v>Targor Rageshade в складки</x:v>
      </x:c>
      <x:c r="K526" s="89" t="str">
        <x:v>—</x:v>
      </x:c>
      <x:c r="L526" s="89" t="str">
        <x:v>Skin glaze по внешнему краю мозоли</x:v>
      </x:c>
      <x:c r="M526" s="89" t="str">
        <x:v>Ultra Matt</x:v>
      </x:c>
      <x:c r="N526" s="90" t="str">
        <x:v>Средняя</x:v>
      </x:c>
      <x:c r="O526" s="89" t="str">
        <x:v>Суставная мозоль светлее и суше окружающей кожи; красное раздражение и сухая мозоль не покрывают одну и ту же площадь полностью.</x:v>
      </x:c>
      <x:c r="P526" s="89" t="str">
        <x:v>S03 — рабочая техника</x:v>
      </x:c>
      <x:c r="Q526" s="89" t="str">
        <x:v>Фактура и физиология поверх подтверждённой анатомии S02.</x:v>
      </x:c>
    </x:row>
    <x:row r="527">
      <x:c r="A527" s="90" t="n">
        <x:v>523</x:v>
      </x:c>
      <x:c r="B527" s="762" t="str">
        <x:v>Монстры и демоны</x:v>
      </x:c>
      <x:c r="C527" s="762" t="str">
        <x:v>Костяшки и суставы пальцев</x:v>
      </x:c>
      <x:c r="D527" s="89" t="str">
        <x:v>Малые сухие выступы</x:v>
      </x:c>
      <x:c r="E527" s="89" t="str">
        <x:v>Кисти и пальцы окрашены</x:v>
      </x:c>
      <x:c r="F527" s="89" t="str">
        <x:v>Skin midtone вернуть на костяшки</x:v>
      </x:c>
      <x:c r="G527" s="89" t="str">
        <x:v>Carroburg Crimson 1:12 вокруг напряжённых складок</x:v>
      </x:c>
      <x:c r="H527" s="89" t="str">
        <x:v>Light skin tone на верхних выступах</x:v>
      </x:c>
      <x:c r="I527" s="89" t="str">
        <x:v>Pale Flesh точечно</x:v>
      </x:c>
      <x:c r="J527" s="89" t="str">
        <x:v>Stormvermin Fur единичными сухими точками</x:v>
      </x:c>
      <x:c r="K527" s="89" t="str">
        <x:v>—</x:v>
      </x:c>
      <x:c r="L527" s="89" t="str">
        <x:v>Skin glaze по краям</x:v>
      </x:c>
      <x:c r="M527" s="89" t="str">
        <x:v>Matt; local Satin на раздражённых складках</x:v>
      </x:c>
      <x:c r="N527" s="90" t="str">
        <x:v>Высокая</x:v>
      </x:c>
      <x:c r="O527" s="89" t="str">
        <x:v>Костяшки меньше локтей и требуют более тонкой фактуры. Красный остаётся между выступами, сухой свет — на вершинах.</x:v>
      </x:c>
      <x:c r="P527" s="89" t="str">
        <x:v>S03 — рабочая техника</x:v>
      </x:c>
      <x:c r="Q527" s="89" t="str">
        <x:v>Фактура и физиология поверх подтверждённой анатомии S02.</x:v>
      </x:c>
    </x:row>
    <x:row r="528">
      <x:c r="A528" s="90" t="n">
        <x:v>524</x:v>
      </x:c>
      <x:c r="B528" s="762" t="str">
        <x:v>Монстры и демоны</x:v>
      </x:c>
      <x:c r="C528" s="762" t="str">
        <x:v>Слабая фактура груди</x:v>
      </x:c>
      <x:c r="D528" s="89" t="str">
        <x:v>Низкая плотность без потери света</x:v>
      </x:c>
      <x:c r="E528" s="89" t="str">
        <x:v>Грудь подтверждена S02</x:v>
      </x:c>
      <x:c r="F528" s="89" t="str">
        <x:v>Skin midtone редкими кластерами</x:v>
      </x:c>
      <x:c r="G528" s="89" t="str">
        <x:v>Dark pores только у боковой и нижней границы</x:v>
      </x:c>
      <x:c r="H528" s="89" t="str">
        <x:v>Light texture на 1–2 верхних плоскостях</x:v>
      </x:c>
      <x:c r="I528" s="89" t="str">
        <x:v>Грудину и ключицы оставить чище</x:v>
      </x:c>
      <x:c r="J528" s="89" t="str">
        <x:v>—</x:v>
      </x:c>
      <x:c r="K528" s="89" t="str">
        <x:v>—</x:v>
      </x:c>
      <x:c r="L528" s="89" t="str">
        <x:v>Skin glaze по центральной груди</x:v>
      </x:c>
      <x:c r="M528" s="89" t="str">
        <x:v>Matt Varnish</x:v>
      </x:c>
      <x:c r="N528" s="90" t="str">
        <x:v>Средняя</x:v>
      </x:c>
      <x:c r="O528" s="89" t="str">
        <x:v>Грудь является вторичным фокусом, поэтому фактура здесь тоньше, чем на плечах и спине.</x:v>
      </x:c>
      <x:c r="P528" s="89" t="str">
        <x:v>S03 — рабочая техника</x:v>
      </x:c>
      <x:c r="Q528" s="89" t="str">
        <x:v>Фактура и физиология поверх подтверждённой анатомии S02.</x:v>
      </x:c>
    </x:row>
    <x:row r="529">
      <x:c r="A529" s="90" t="n">
        <x:v>525</x:v>
      </x:c>
      <x:c r="B529" s="762" t="str">
        <x:v>Монстры и демоны</x:v>
      </x:c>
      <x:c r="C529" s="762" t="str">
        <x:v>Сохранение гладкого мягкого брюха</x:v>
      </x:c>
      <x:c r="D529" s="89" t="str">
        <x:v>Минимальная фактура</x:v>
      </x:c>
      <x:c r="E529" s="89" t="str">
        <x:v>Countershade S02 подтверждён</x:v>
      </x:c>
      <x:c r="F529" s="89" t="str">
        <x:v>Не использовать тёмные поры</x:v>
      </x:c>
      <x:c r="G529" s="89" t="str">
        <x:v>Допустим очень слабый midtone stipple у боковой границы</x:v>
      </x:c>
      <x:c r="H529" s="89" t="str">
        <x:v>Центр брюха оставить гладким</x:v>
      </x:c>
      <x:c r="I529" s="89" t="str">
        <x:v>Светлые складки строить glaze, не точками</x:v>
      </x:c>
      <x:c r="J529" s="89" t="str">
        <x:v>—</x:v>
      </x:c>
      <x:c r="K529" s="89" t="str">
        <x:v>—</x:v>
      </x:c>
      <x:c r="L529" s="89" t="str">
        <x:v>Belly glaze объединяет</x:v>
      </x:c>
      <x:c r="M529" s="89" t="str">
        <x:v>Matt Varnish</x:v>
      </x:c>
      <x:c r="N529" s="90" t="str">
        <x:v>Низкая</x:v>
      </x:c>
      <x:c r="O529" s="89" t="str">
        <x:v>Гладкое брюхо служит контрастом грубой спине и плечам. Фактурное различие важнее добавления ещё одного цвета.</x:v>
      </x:c>
      <x:c r="P529" s="89" t="str">
        <x:v>S03 — рабочая техника</x:v>
      </x:c>
      <x:c r="Q529" s="89" t="str">
        <x:v>Фактура и физиология поверх подтверждённой анатомии S02.</x:v>
      </x:c>
    </x:row>
    <x:row r="530">
      <x:c r="A530" s="90" t="n">
        <x:v>526</x:v>
      </x:c>
      <x:c r="B530" s="762" t="str">
        <x:v>Монстры и демоны</x:v>
      </x:c>
      <x:c r="C530" s="762" t="str">
        <x:v>Крупная пятнистая пигментация</x:v>
      </x:c>
      <x:c r="D530" s="89" t="str">
        <x:v>Мягкие прозрачные кластеры</x:v>
      </x:c>
      <x:c r="E530" s="89" t="str">
        <x:v>Фактура midtone завершена</x:v>
      </x:c>
      <x:c r="F530" s="89" t="str">
        <x:v>Dreadful Visage + Medium 1:10 крупными мягкими пятнами</x:v>
      </x:c>
      <x:c r="G530" s="89" t="str">
        <x:v>Оставить 50–70% кожи чистой</x:v>
      </x:c>
      <x:c r="H530" s="89" t="str">
        <x:v>Skin midtone glaze по краям</x:v>
      </x:c>
      <x:c r="I530" s="89" t="str">
        <x:v>Световые максимумы восстановить</x:v>
      </x:c>
      <x:c r="J530" s="89" t="str">
        <x:v>—</x:v>
      </x:c>
      <x:c r="K530" s="89" t="str">
        <x:v>—</x:v>
      </x:c>
      <x:c r="L530" s="89" t="str">
        <x:v>Общий skin glaze 1:15</x:v>
      </x:c>
      <x:c r="M530" s="89" t="str">
        <x:v>Matt Varnish</x:v>
      </x:c>
      <x:c r="N530" s="90" t="str">
        <x:v>Высокая</x:v>
      </x:c>
      <x:c r="O530" s="89" t="str">
        <x:v>Пигментные пятна крупнее пор и stippling. Они не должны повторять форму каждой мышцы.</x:v>
      </x:c>
      <x:c r="P530" s="89" t="str">
        <x:v>S03 — рабочая техника</x:v>
      </x:c>
      <x:c r="Q530" s="89" t="str">
        <x:v>Фактура и физиология поверх подтверждённой анатомии S02.</x:v>
      </x:c>
    </x:row>
    <x:row r="531">
      <x:c r="A531" s="90" t="n">
        <x:v>527</x:v>
      </x:c>
      <x:c r="B531" s="762" t="str">
        <x:v>Монстры и демоны</x:v>
      </x:c>
      <x:c r="C531" s="762" t="str">
        <x:v>Тёплая красная физиология</x:v>
      </x:c>
      <x:c r="D531" s="89" t="str">
        <x:v>Кровоснабжаемые зоны</x:v>
      </x:c>
      <x:c r="E531" s="89" t="str">
        <x:v>Кожа и фактура завершены</x:v>
      </x:c>
      <x:c r="F531" s="89" t="str">
        <x:v>Carroburg Crimson + Medium 1:12</x:v>
      </x:c>
      <x:c r="G531" s="89" t="str">
        <x:v>Нанести на суставы, грудь у шеи, основания рогов и повреждения</x:v>
      </x:c>
      <x:c r="H531" s="89" t="str">
        <x:v>AK Sickly Pink очень локально</x:v>
      </x:c>
      <x:c r="I531" s="89" t="str">
        <x:v>Skin midtone вернуть по краям</x:v>
      </x:c>
      <x:c r="J531" s="89" t="str">
        <x:v>Pale Flesh на натянутой вершине</x:v>
      </x:c>
      <x:c r="K531" s="89" t="str">
        <x:v>—</x:v>
      </x:c>
      <x:c r="L531" s="89" t="str">
        <x:v>Reikland Gloss только на влажных напряжённых точках</x:v>
      </x:c>
      <x:c r="M531" s="89" t="str">
        <x:v>Matt + local Satin/Gloss</x:v>
      </x:c>
      <x:c r="N531" s="90" t="str">
        <x:v>Высокая</x:v>
      </x:c>
      <x:c r="O531" s="89" t="str">
        <x:v>Красная физиология имеет физическую причину. Она не является общим декоративным фильтром всей модели.</x:v>
      </x:c>
      <x:c r="P531" s="89" t="str">
        <x:v>S03 — рабочая техника</x:v>
      </x:c>
      <x:c r="Q531" s="89" t="str">
        <x:v>Фактура и физиология поверх подтверждённой анатомии S02.</x:v>
      </x:c>
    </x:row>
    <x:row r="532">
      <x:c r="A532" s="90" t="n">
        <x:v>528</x:v>
      </x:c>
      <x:c r="B532" s="762" t="str">
        <x:v>Монстры и демоны</x:v>
      </x:c>
      <x:c r="C532" s="762" t="str">
        <x:v>Холодная фиолетовая физиология</x:v>
      </x:c>
      <x:c r="D532" s="89" t="str">
        <x:v>Теневые и плохо кровоснабжаемые зоны</x:v>
      </x:c>
      <x:c r="E532" s="89" t="str">
        <x:v>Кожа и фактура завершены</x:v>
      </x:c>
      <x:c r="F532" s="89" t="str">
        <x:v>Dreadful Visage + Medium 1:12</x:v>
      </x:c>
      <x:c r="G532" s="89" t="str">
        <x:v>Phoenician Purple/Druchii Violet сверхтонко в глубокой стороне</x:v>
      </x:c>
      <x:c r="H532" s="89" t="str">
        <x:v>Skin midtone вернуть на переход</x:v>
      </x:c>
      <x:c r="I532" s="89" t="str">
        <x:v>Light skin tone оставить чистым</x:v>
      </x:c>
      <x:c r="J532" s="89" t="str">
        <x:v>—</x:v>
      </x:c>
      <x:c r="K532" s="89" t="str">
        <x:v>—</x:v>
      </x:c>
      <x:c r="L532" s="89" t="str">
        <x:v>Общий skin glaze при чрезмерном фиолетовом</x:v>
      </x:c>
      <x:c r="M532" s="89" t="str">
        <x:v>Matt Varnish</x:v>
      </x:c>
      <x:c r="N532" s="90" t="str">
        <x:v>Высокая</x:v>
      </x:c>
      <x:c r="O532" s="89" t="str">
        <x:v>Холодный оттенок концентрируется под крыльями, на теневой стороне и вокруг старых рубцов; он не перекрывает масляную глубину.</x:v>
      </x:c>
      <x:c r="P532" s="89" t="str">
        <x:v>S03 — рабочая техника</x:v>
      </x:c>
      <x:c r="Q532" s="89" t="str">
        <x:v>Фактура и физиология поверх подтверждённой анатомии S02.</x:v>
      </x:c>
    </x:row>
    <x:row r="533">
      <x:c r="A533" s="90" t="n">
        <x:v>529</x:v>
      </x:c>
      <x:c r="B533" s="762" t="str">
        <x:v>Монстры и демоны</x:v>
      </x:c>
      <x:c r="C533" s="762" t="str">
        <x:v>Желтовато-болезненные зоны</x:v>
      </x:c>
      <x:c r="D533" s="89" t="str">
        <x:v>Слабый локальный filter</x:v>
      </x:c>
      <x:c r="E533" s="89" t="str">
        <x:v>Кожа завершена</x:v>
      </x:c>
      <x:c r="F533" s="89" t="str">
        <x:v>Plaguebearer Flesh + Medium 1:12–1:15</x:v>
      </x:c>
      <x:c r="G533" s="89" t="str">
        <x:v>Нанести на отдельные мягкие или воспалённые зоны</x:v>
      </x:c>
      <x:c r="H533" s="89" t="str">
        <x:v>Pale Sand точечно на сухих вершинах</x:v>
      </x:c>
      <x:c r="I533" s="89" t="str">
        <x:v>Skin midtone вернуть по границе</x:v>
      </x:c>
      <x:c r="J533" s="89" t="str">
        <x:v>—</x:v>
      </x:c>
      <x:c r="K533" s="89" t="str">
        <x:v>—</x:v>
      </x:c>
      <x:c r="L533" s="89" t="str">
        <x:v>Carroburg Crimson рядом только при воспалении</x:v>
      </x:c>
      <x:c r="M533" s="89" t="str">
        <x:v>Matt; local Gloss при влажности</x:v>
      </x:c>
      <x:c r="N533" s="90" t="str">
        <x:v>Высокая</x:v>
      </x:c>
      <x:c r="O533" s="89" t="str">
        <x:v>Жёлто-зелёная зона должна быть малой и связанной с болезнью, гнойником или изменённой тканью.</x:v>
      </x:c>
      <x:c r="P533" s="89" t="str">
        <x:v>S03 — рабочая техника</x:v>
      </x:c>
      <x:c r="Q533" s="89" t="str">
        <x:v>Фактура и физиология поверх подтверждённой анатомии S02.</x:v>
      </x:c>
    </x:row>
    <x:row r="534">
      <x:c r="A534" s="90" t="n">
        <x:v>530</x:v>
      </x:c>
      <x:c r="B534" s="760" t="str">
        <x:v>Проектный процесс</x:v>
      </x:c>
      <x:c r="C534" s="760" t="str">
        <x:v>Баланс трёх физиологических температур</x:v>
      </x:c>
      <x:c r="D534" s="89" t="str">
        <x:v>Красный, фиолетовый и желтоватый</x:v>
      </x:c>
      <x:c r="E534" s="89" t="str">
        <x:v>Рецепты 526–529 протестированы</x:v>
      </x:c>
      <x:c r="F534" s="89" t="str">
        <x:v>Красный — 2–4 локальные зоны</x:v>
      </x:c>
      <x:c r="G534" s="89" t="str">
        <x:v>Фиолетовый — теневая сторона и старые зоны</x:v>
      </x:c>
      <x:c r="H534" s="89" t="str">
        <x:v>Желтоватый — 1–2 болезненных участка</x:v>
      </x:c>
      <x:c r="I534" s="89" t="str">
        <x:v>Оставить доминирующий skin colour</x:v>
      </x:c>
      <x:c r="J534" s="89" t="str">
        <x:v>—</x:v>
      </x:c>
      <x:c r="K534" s="89" t="str">
        <x:v>—</x:v>
      </x:c>
      <x:c r="L534" s="89" t="str">
        <x:v>Skin glaze объединяет только границы</x:v>
      </x:c>
      <x:c r="M534" s="89" t="str">
        <x:v>Matt/local finishes</x:v>
      </x:c>
      <x:c r="N534" s="90" t="str">
        <x:v>Очень высокая</x:v>
      </x:c>
      <x:c r="O534" s="89" t="str">
        <x:v>Не каждая зона получает все три температуры. Основной цвет кожи должен оставаться визуально доминирующим.</x:v>
      </x:c>
      <x:c r="P534" s="89" t="str">
        <x:v>S03 — рабочая техника</x:v>
      </x:c>
      <x:c r="Q534" s="89" t="str">
        <x:v>Фактура и физиология поверх подтверждённой анатомии S02.</x:v>
      </x:c>
    </x:row>
    <x:row r="535">
      <x:c r="A535" s="90" t="n">
        <x:v>531</x:v>
      </x:c>
      <x:c r="B535" s="762" t="str">
        <x:v>Монстры и демоны</x:v>
      </x:c>
      <x:c r="C535" s="762" t="str">
        <x:v>Крупные подкожные вены</x:v>
      </x:c>
      <x:c r="D535" s="89" t="str">
        <x:v>Линии под телесной glaze</x:v>
      </x:c>
      <x:c r="E535" s="89" t="str">
        <x:v>Анатомия и фактура подтверждены</x:v>
      </x:c>
      <x:c r="F535" s="89" t="str">
        <x:v>Dark Prussian Blue + Phoenician Purple 2:1</x:v>
      </x:c>
      <x:c r="G535" s="89" t="str">
        <x:v>Нарисовать 3–6 разветвлённых вен разной толщины</x:v>
      </x:c>
      <x:c r="H535" s="89" t="str">
        <x:v>Skin midtone + Medium 1:6 поверх</x:v>
      </x:c>
      <x:c r="I535" s="89" t="str">
        <x:v>Световые зоны частично перекрывают вены</x:v>
      </x:c>
      <x:c r="J535" s="89" t="str">
        <x:v>—</x:v>
      </x:c>
      <x:c r="K535" s="89" t="str">
        <x:v>—</x:v>
      </x:c>
      <x:c r="L535" s="89" t="str">
        <x:v>Dreadful Visage 1:15 локально</x:v>
      </x:c>
      <x:c r="M535" s="89" t="str">
        <x:v>Matt Varnish</x:v>
      </x:c>
      <x:c r="N535" s="90" t="str">
        <x:v>Очень высокая</x:v>
      </x:c>
      <x:c r="O535" s="89" t="str">
        <x:v>Вены не повторяют все мышцы и не образуют симметричную сеть. Наиболее заметны у плеч, груди и внутренней руки.</x:v>
      </x:c>
      <x:c r="P535" s="89" t="str">
        <x:v>S03 — рабочая техника</x:v>
      </x:c>
      <x:c r="Q535" s="89" t="str">
        <x:v>Фактура и физиология поверх подтверждённой анатомии S02.</x:v>
      </x:c>
    </x:row>
    <x:row r="536">
      <x:c r="A536" s="90" t="n">
        <x:v>532</x:v>
      </x:c>
      <x:c r="B536" s="762" t="str">
        <x:v>Монстры и демоны</x:v>
      </x:c>
      <x:c r="C536" s="762" t="str">
        <x:v>Тёмные набухшие вены нижних зон</x:v>
      </x:c>
      <x:c r="D536" s="89" t="str">
        <x:v>Локальная болезненная сеть</x:v>
      </x:c>
      <x:c r="E536" s="89" t="str">
        <x:v>Крупные вены 531 освоены</x:v>
      </x:c>
      <x:c r="F536" s="89" t="str">
        <x:v>Phoenician Purple + Dark Prussian Blue 1:1</x:v>
      </x:c>
      <x:c r="G536" s="89" t="str">
        <x:v>Carroburg Crimson тонко вокруг части линий</x:v>
      </x:c>
      <x:c r="H536" s="89" t="str">
        <x:v>Skin glaze слабее, чем над обычными венами</x:v>
      </x:c>
      <x:c r="I536" s="89" t="str">
        <x:v>Sickly Pink точечно на натянутой коже</x:v>
      </x:c>
      <x:c r="J536" s="89" t="str">
        <x:v>—</x:v>
      </x:c>
      <x:c r="K536" s="89" t="str">
        <x:v>—</x:v>
      </x:c>
      <x:c r="L536" s="89" t="str">
        <x:v>Local Satin на наиболее набухших линиях</x:v>
      </x:c>
      <x:c r="M536" s="89" t="str">
        <x:v>Matt/Satin</x:v>
      </x:c>
      <x:c r="N536" s="90" t="str">
        <x:v>Очень высокая</x:v>
      </x:c>
      <x:c r="O536" s="89" t="str">
        <x:v>Эффект используется очень ограниченно на нижних конечностях или вокруг мутации; он легко перегружает модель.</x:v>
      </x:c>
      <x:c r="P536" s="89" t="str">
        <x:v>S03 — рабочая техника</x:v>
      </x:c>
      <x:c r="Q536" s="89" t="str">
        <x:v>Фактура и физиология поверх подтверждённой анатомии S02.</x:v>
      </x:c>
    </x:row>
    <x:row r="537">
      <x:c r="A537" s="90" t="n">
        <x:v>533</x:v>
      </x:c>
      <x:c r="B537" s="762" t="str">
        <x:v>Монстры и демоны</x:v>
      </x:c>
      <x:c r="C537" s="762" t="str">
        <x:v>Старые растяжки</x:v>
      </x:c>
      <x:c r="D537" s="89" t="str">
        <x:v>Светлые прерывистые линии</x:v>
      </x:c>
      <x:c r="E537" s="89" t="str">
        <x:v>Кожа и фактура завершены</x:v>
      </x:c>
      <x:c r="F537" s="89" t="str">
        <x:v>Rakarth Flesh тонкими неровными линиями</x:v>
      </x:c>
      <x:c r="G537" s="89" t="str">
        <x:v>Skin midtone частично перекрывает края</x:v>
      </x:c>
      <x:c r="H537" s="89" t="str">
        <x:v>Pale Flesh внутри отдельных линий</x:v>
      </x:c>
      <x:c r="I537" s="89" t="str">
        <x:v>Расположить поперёк направления растяжения</x:v>
      </x:c>
      <x:c r="J537" s="89" t="str">
        <x:v>—</x:v>
      </x:c>
      <x:c r="K537" s="89" t="str">
        <x:v>—</x:v>
      </x:c>
      <x:c r="L537" s="89" t="str">
        <x:v>Dreadful Visage 1:15 между старыми линиями</x:v>
      </x:c>
      <x:c r="M537" s="89" t="str">
        <x:v>Matt Varnish</x:v>
      </x:c>
      <x:c r="N537" s="90" t="str">
        <x:v>Высокая</x:v>
      </x:c>
      <x:c r="O537" s="89" t="str">
        <x:v>Старые растяжки светлее кожи и не имеют ярко-красной воспалённой границы.</x:v>
      </x:c>
      <x:c r="P537" s="89" t="str">
        <x:v>S03 — рабочая техника</x:v>
      </x:c>
      <x:c r="Q537" s="89" t="str">
        <x:v>Фактура и физиология поверх подтверждённой анатомии S02.</x:v>
      </x:c>
    </x:row>
    <x:row r="538">
      <x:c r="A538" s="90" t="n">
        <x:v>534</x:v>
      </x:c>
      <x:c r="B538" s="762" t="str">
        <x:v>Монстры и демоны</x:v>
      </x:c>
      <x:c r="C538" s="762" t="str">
        <x:v>Свежие растяжки</x:v>
      </x:c>
      <x:c r="D538" s="89" t="str">
        <x:v>Красно-розовые линии натяжения</x:v>
      </x:c>
      <x:c r="E538" s="89" t="str">
        <x:v>Кожа завершена</x:v>
      </x:c>
      <x:c r="F538" s="89" t="str">
        <x:v>Carroburg Crimson 1:10 тонкими прерывистыми линиями</x:v>
      </x:c>
      <x:c r="G538" s="89" t="str">
        <x:v>AK Sickly Pink меньшей линией внутри</x:v>
      </x:c>
      <x:c r="H538" s="89" t="str">
        <x:v>Skin midtone смягчает края</x:v>
      </x:c>
      <x:c r="I538" s="89" t="str">
        <x:v>Pale Flesh точечно на натянутых местах</x:v>
      </x:c>
      <x:c r="J538" s="89" t="str">
        <x:v>—</x:v>
      </x:c>
      <x:c r="K538" s="89" t="str">
        <x:v>—</x:v>
      </x:c>
      <x:c r="L538" s="89" t="str">
        <x:v>Reikland Gloss только на 1–2 свежих участках</x:v>
      </x:c>
      <x:c r="M538" s="89" t="str">
        <x:v>Matt/local Satin</x:v>
      </x:c>
      <x:c r="N538" s="90" t="str">
        <x:v>Высокая</x:v>
      </x:c>
      <x:c r="O538" s="89" t="str">
        <x:v>Свежие растяжки используются реже старых и концентрируются около быстро растущих мышц, крыльев или вросшей брони.</x:v>
      </x:c>
      <x:c r="P538" s="89" t="str">
        <x:v>S03 — рабочая техника</x:v>
      </x:c>
      <x:c r="Q538" s="89" t="str">
        <x:v>Фактура и физиология поверх подтверждённой анатомии S02.</x:v>
      </x:c>
    </x:row>
    <x:row r="539">
      <x:c r="A539" s="90" t="n">
        <x:v>535</x:v>
      </x:c>
      <x:c r="B539" s="762" t="str">
        <x:v>Монстры и демоны</x:v>
      </x:c>
      <x:c r="C539" s="762" t="str">
        <x:v>Поле старых рубцов</x:v>
      </x:c>
      <x:c r="D539" s="89" t="str">
        <x:v>Разная глубина и направление</x:v>
      </x:c>
      <x:c r="E539" s="89" t="str">
        <x:v>Фактура завершена</x:v>
      </x:c>
      <x:c r="F539" s="89" t="str">
        <x:v>Targor/Dreadful в глубокие шрамы</x:v>
      </x:c>
      <x:c r="G539" s="89" t="str">
        <x:v>Rakarth Flesh на поднятые старые края</x:v>
      </x:c>
      <x:c r="H539" s="89" t="str">
        <x:v>Pale Flesh меньшей линией</x:v>
      </x:c>
      <x:c r="I539" s="89" t="str">
        <x:v>Часть шрамов почти перекрыть skin glaze</x:v>
      </x:c>
      <x:c r="J539" s="89" t="str">
        <x:v>—</x:v>
      </x:c>
      <x:c r="K539" s="89" t="str">
        <x:v>—</x:v>
      </x:c>
      <x:c r="L539" s="89" t="str">
        <x:v>Carroburg Crimson только на раздражённых концах</x:v>
      </x:c>
      <x:c r="M539" s="89" t="str">
        <x:v>Matt Varnish</x:v>
      </x:c>
      <x:c r="N539" s="90" t="str">
        <x:v>Высокая</x:v>
      </x:c>
      <x:c r="O539" s="89" t="str">
        <x:v>Рубцы различаются длиной, возрастом и направлением; одинаковые параллельные линии выглядят как декоративная маркировка.</x:v>
      </x:c>
      <x:c r="P539" s="89" t="str">
        <x:v>S03 — рабочая техника</x:v>
      </x:c>
      <x:c r="Q539" s="89" t="str">
        <x:v>Фактура и физиология поверх подтверждённой анатомии S02.</x:v>
      </x:c>
    </x:row>
    <x:row r="540">
      <x:c r="A540" s="90" t="n">
        <x:v>536</x:v>
      </x:c>
      <x:c r="B540" s="763" t="str">
        <x:v>Переходы материалов</x:v>
      </x:c>
      <x:c r="C540" s="763" t="str">
        <x:v>Воспаление вокруг выростов и креплений</x:v>
      </x:c>
      <x:c r="D540" s="89" t="str">
        <x:v>Физиология поверх подтверждённой формы</x:v>
      </x:c>
      <x:c r="E540" s="89" t="str">
        <x:v>Рога, цепи или броня окрашены базово</x:v>
      </x:c>
      <x:c r="F540" s="89" t="str">
        <x:v>Carroburg Crimson + Medium 1:10 вокруг точки давления</x:v>
      </x:c>
      <x:c r="G540" s="89" t="str">
        <x:v>Dreadful Visage в глубокой щели</x:v>
      </x:c>
      <x:c r="H540" s="89" t="str">
        <x:v>Sickly Pink на натянутом крае</x:v>
      </x:c>
      <x:c r="I540" s="89" t="str">
        <x:v>Skin midtone вернуть снаружи</x:v>
      </x:c>
      <x:c r="J540" s="89" t="str">
        <x:v>Pale Flesh точечно</x:v>
      </x:c>
      <x:c r="K540" s="89" t="str">
        <x:v>—</x:v>
      </x:c>
      <x:c r="L540" s="89" t="str">
        <x:v>Local Satin/Gloss только во влажной зоне</x:v>
      </x:c>
      <x:c r="M540" s="89" t="str">
        <x:v>Разделённый финиш</x:v>
      </x:c>
      <x:c r="N540" s="90" t="str">
        <x:v>Высокая</x:v>
      </x:c>
      <x:c r="O540" s="89" t="str">
        <x:v>Воспаление принадлежит коже и повторяет давление/натяжение. Оно не покрывает соседний металл или рог общим красным фильтром.</x:v>
      </x:c>
      <x:c r="P540" s="89" t="str">
        <x:v>S03 — рабочая техника</x:v>
      </x:c>
      <x:c r="Q540" s="89" t="str">
        <x:v>Фактура и физиология поверх подтверждённой анатомии S02.</x:v>
      </x:c>
    </x:row>
    <x:row r="541">
      <x:c r="A541" s="90" t="n">
        <x:v>537</x:v>
      </x:c>
      <x:c r="B541" s="764" t="str">
        <x:v>Коррекция</x:v>
      </x:c>
      <x:c r="C541" s="764" t="str">
        <x:v>Равномерная крапинка по всей коже</x:v>
      </x:c>
      <x:c r="D541" s="89" t="str">
        <x:v>Сборка точек в кластеры</x:v>
      </x:c>
      <x:c r="E541" s="89" t="str">
        <x:v>Фактура выглядит печатной</x:v>
      </x:c>
      <x:c r="F541" s="89" t="str">
        <x:v>Skin midtone glaze перекрывает 40–60% точек</x:v>
      </x:c>
      <x:c r="G541" s="89" t="str">
        <x:v>Оставить группы разного размера</x:v>
      </x:c>
      <x:c r="H541" s="89" t="str">
        <x:v>Dark/light texture вернуть только внутри части групп</x:v>
      </x:c>
      <x:c r="I541" s="89" t="str">
        <x:v>Оставить чистые зоны</x:v>
      </x:c>
      <x:c r="J541" s="89" t="str">
        <x:v>—</x:v>
      </x:c>
      <x:c r="K541" s="89" t="str">
        <x:v>—</x:v>
      </x:c>
      <x:c r="L541" s="89" t="str">
        <x:v>Общий skin glaze</x:v>
      </x:c>
      <x:c r="M541" s="89" t="str">
        <x:v>Matt Varnish</x:v>
      </x:c>
      <x:c r="N541" s="90" t="str">
        <x:v>Средняя</x:v>
      </x:c>
      <x:c r="O541" s="89" t="str">
        <x:v>Коррекция удаляет равномерность, а не всю фактуру. Самые чистые зоны располагаются на мягком брюхе, лице и ключевых световых плоскостях.</x:v>
      </x:c>
      <x:c r="P541" s="89" t="str">
        <x:v>S03 — коррекция</x:v>
      </x:c>
      <x:c r="Q541" s="89" t="str">
        <x:v>Применять только при равномерной крапинке или потере анатомии.</x:v>
      </x:c>
    </x:row>
    <x:row r="542">
      <x:c r="A542" s="90" t="n">
        <x:v>538</x:v>
      </x:c>
      <x:c r="B542" s="764" t="str">
        <x:v>Коррекция</x:v>
      </x:c>
      <x:c r="C542" s="764" t="str">
        <x:v>Фактура скрыла анатомию</x:v>
      </x:c>
      <x:c r="D542" s="89" t="str">
        <x:v>Возврат крупных значений</x:v>
      </x:c>
      <x:c r="E542" s="89" t="str">
        <x:v>S02 формы перестали читаться</x:v>
      </x:c>
      <x:c r="F542" s="89" t="str">
        <x:v>Skin midtone glaze по всей крупной плоскости</x:v>
      </x:c>
      <x:c r="G542" s="89" t="str">
        <x:v>Shadow glaze вернуть в один глубокий стык</x:v>
      </x:c>
      <x:c r="H542" s="89" t="str">
        <x:v>Light midtone восстановить на стороне света</x:v>
      </x:c>
      <x:c r="I542" s="89" t="str">
        <x:v>Фактуру оставить только по краям плоскости</x:v>
      </x:c>
      <x:c r="J542" s="89" t="str">
        <x:v>—</x:v>
      </x:c>
      <x:c r="K542" s="89" t="str">
        <x:v>—</x:v>
      </x:c>
      <x:c r="L542" s="89" t="str">
        <x:v>Skin glaze соединяет</x:v>
      </x:c>
      <x:c r="M542" s="89" t="str">
        <x:v>Matt Varnish</x:v>
      </x:c>
      <x:c r="N542" s="90" t="str">
        <x:v>Высокая</x:v>
      </x:c>
      <x:c r="O542" s="89" t="str">
        <x:v>Сначала возвращается анатомия, затем часть фактуры. Не пытаться исправить форму ещё большим количеством светлых точек.</x:v>
      </x:c>
      <x:c r="P542" s="89" t="str">
        <x:v>S03 — коррекция</x:v>
      </x:c>
      <x:c r="Q542" s="89" t="str">
        <x:v>Применять только при равномерной крапинке или потере анатомии.</x:v>
      </x:c>
    </x:row>
    <x:row r="543">
      <x:c r="A543" s="90" t="n">
        <x:v>539</x:v>
      </x:c>
      <x:c r="B543" s="765" t="str">
        <x:v>Контроль качества</x:v>
      </x:c>
      <x:c r="C543" s="765" t="str">
        <x:v>Фото-gate фактуры S03</x:v>
      </x:c>
      <x:c r="D543" s="89" t="str">
        <x:v>Макро и игровая дистанция</x:v>
      </x:c>
      <x:c r="E543" s="89" t="str">
        <x:v>Все зоны S03 обработаны</x:v>
      </x:c>
      <x:c r="F543" s="89" t="str">
        <x:v>Макро проверяет кластеры и переходы</x:v>
      </x:c>
      <x:c r="G543" s="89" t="str">
        <x:v>Фронт с вытянутой руки проверяет исчезновение крапинки</x:v>
      </x:c>
      <x:c r="H543" s="89" t="str">
        <x:v>Grayscale подтверждает сохранение S02</x:v>
      </x:c>
      <x:c r="I543" s="89" t="str">
        <x:v>Боковой свет проверяет Matt/Satin различия</x:v>
      </x:c>
      <x:c r="J543" s="89" t="str">
        <x:v>—</x:v>
      </x:c>
      <x:c r="K543" s="89" t="str">
        <x:v>—</x:v>
      </x:c>
      <x:c r="L543" s="89" t="str">
        <x:v>Записать максимум три коррекции</x:v>
      </x:c>
      <x:c r="M543" s="89" t="str">
        <x:v>Не требуется</x:v>
      </x:c>
      <x:c r="N543" s="90" t="str">
        <x:v>Низкая</x:v>
      </x:c>
      <x:c r="O543" s="89" t="str">
        <x:v>PASS требует одновременно убедительной фактуры вблизи и чистых крупных форм на расстоянии.</x:v>
      </x:c>
      <x:c r="P543" s="89" t="str">
        <x:v>S03 — контрольный процесс</x:v>
      </x:c>
      <x:c r="Q543" s="89" t="str">
        <x:v>Тест масштаба фактуры или финальный фото-gate.</x:v>
      </x:c>
    </x:row>
    <x:row r="544">
      <x:c r="A544" s="90" t="n">
        <x:v>540</x:v>
      </x:c>
      <x:c r="B544" s="760" t="str">
        <x:v>Проектный процесс</x:v>
      </x:c>
      <x:c r="C544" s="760" t="str">
        <x:v>Закрытие S03 и переход к S04</x:v>
      </x:c>
      <x:c r="D544" s="89" t="str">
        <x:v>Формальный gate фактуры</x:v>
      </x:c>
      <x:c r="E544" s="89" t="str">
        <x:v>Все зоны S03 PASS</x:v>
      </x:c>
      <x:c r="F544" s="89" t="str">
        <x:v>Анатомия S02 всё ещё читается</x:v>
      </x:c>
      <x:c r="G544" s="89" t="str">
        <x:v>Лицо и мягкое брюхо не перегружены</x:v>
      </x:c>
      <x:c r="H544" s="89" t="str">
        <x:v>Физиология ограничена и физически объяснима</x:v>
      </x:c>
      <x:c r="I544" s="89" t="str">
        <x:v>Фото макро/дистанция/grayscale готовы</x:v>
      </x:c>
      <x:c r="J544" s="89" t="str">
        <x:v>S03 → Готово</x:v>
      </x:c>
      <x:c r="K544" s="89" t="str">
        <x:v>S04 → Следующая</x:v>
      </x:c>
      <x:c r="L544" s="89" t="str">
        <x:v>Разрешить лицо и глаза 396–397</x:v>
      </x:c>
      <x:c r="M544" s="89" t="str">
        <x:v>Не требуется</x:v>
      </x:c>
      <x:c r="N544" s="90" t="str">
        <x:v>Низкая</x:v>
      </x:c>
      <x:c r="O544" s="89" t="str">
        <x:v>Если фактура читается только в макро, а анатомия сохраняется на дистанции, S03 можно закрывать. Следующий фокус — голова.</x:v>
      </x:c>
      <x:c r="P544" s="89" t="str">
        <x:v>S03 — dependency gate</x:v>
      </x:c>
      <x:c r="Q544" s="89" t="str">
        <x:v>Разблокировка или переход к следующей сессии.</x:v>
      </x:c>
    </x:row>
  </x:sheetData>
  <x:mergeCells>
    <x:mergeCell ref="A1:O1"/>
    <x:mergeCell ref="A2:O2"/>
    <x:mergeCell ref="A2:Q2"/>
  </x:mergeCells>
  <x:conditionalFormatting sqref="N5:N72">
    <x:cfRule type="expression" dxfId="15" priority="1">
      <x:formula>N5="Низкая"</x:formula>
    </x:cfRule>
    <x:cfRule type="expression" dxfId="16" priority="2">
      <x:formula>N5="Средняя"</x:formula>
    </x:cfRule>
    <x:cfRule type="expression" dxfId="17" priority="3">
      <x:formula>N5="Высокая"</x:formula>
    </x:cfRule>
  </x:conditionalFormatting>
  <x:conditionalFormatting sqref="P5:P79">
    <x:cfRule type="expression" dxfId="18" priority="4">
      <x:formula>LEFT(P5,10)="Исправлено"</x:formula>
    </x:cfRule>
    <x:cfRule type="expression" dxfId="19" priority="5">
      <x:formula>LEFT(P5,7)="Внешний"</x:formula>
    </x:cfRule>
    <x:cfRule type="expression" dxfId="20" priority="6">
      <x:formula>LEFT(P5,9)="Авторская"</x:formula>
    </x:cfRule>
    <x:cfRule type="expression" dxfId="21" priority="7">
      <x:formula>LEFT(P5,9)="Проверено"</x:formula>
    </x:cfRule>
  </x:conditionalFormatting>
  <x:conditionalFormatting sqref="P91:P104">
    <x:cfRule type="expression" dxfId="22" priority="8">
      <x:formula>LEFT(P91,7)="Внешний"</x:formula>
    </x:cfRule>
    <x:cfRule type="expression" dxfId="23" priority="9">
      <x:formula>LEFT(P91,9)="Проверено"</x:formula>
    </x:cfRule>
    <x:cfRule type="expression" dxfId="24" priority="10">
      <x:formula>LEFT(P91,9)="Авторская"</x:formula>
    </x:cfRule>
  </x:conditionalFormatting>
  <x:conditionalFormatting sqref="P105:P124">
    <x:cfRule type="expression" dxfId="25" priority="11">
      <x:formula>LEFT(P105,7)="Внешний"</x:formula>
    </x:cfRule>
    <x:cfRule type="expression" dxfId="26" priority="12">
      <x:formula>LEFT(P105,9)="Проверено"</x:formula>
    </x:cfRule>
    <x:cfRule type="expression" dxfId="27" priority="13">
      <x:formula>LEFT(P105,9)="Авторская"</x:formula>
    </x:cfRule>
  </x:conditionalFormatting>
  <x:conditionalFormatting sqref="P125:P154">
    <x:cfRule type="expression" dxfId="28" priority="14">
      <x:formula>LEFT(P125,7)="Внешний"</x:formula>
    </x:cfRule>
    <x:cfRule type="expression" dxfId="29" priority="15">
      <x:formula>LEFT(P125,9)="Проверено"</x:formula>
    </x:cfRule>
    <x:cfRule type="expression" dxfId="30" priority="16">
      <x:formula>LEFT(P125,10)="Аэрографная"</x:formula>
    </x:cfRule>
  </x:conditionalFormatting>
  <x:conditionalFormatting sqref="P155:P184">
    <x:cfRule type="expression" dxfId="34" priority="17">
      <x:formula>LEFT(P155,7)="Внешний"</x:formula>
    </x:cfRule>
    <x:cfRule type="expression" dxfId="35" priority="18">
      <x:formula>LEFT(P155,11)="Аэрографная"</x:formula>
    </x:cfRule>
    <x:cfRule type="expression" dxfId="36" priority="19">
      <x:formula>LEFT(P155,8)="Цветовая"</x:formula>
    </x:cfRule>
    <x:cfRule type="expression" dxfId="37" priority="20">
      <x:formula>LEFT(P155,9)="Проверено"</x:formula>
    </x:cfRule>
  </x:conditionalFormatting>
  <x:conditionalFormatting sqref="P185:P214">
    <x:cfRule type="expression" dxfId="44" priority="21">
      <x:formula>LEFT(P185,7)="Внешний"</x:formula>
    </x:cfRule>
    <x:cfRule type="expression" dxfId="45" priority="22">
      <x:formula>LEFT(P185,9)="Проверено"</x:formula>
    </x:cfRule>
    <x:cfRule type="expression" dxfId="46" priority="23">
      <x:formula>LEFT(P185,9)="Авторская"</x:formula>
    </x:cfRule>
  </x:conditionalFormatting>
  <x:conditionalFormatting sqref="P215:P244">
    <x:cfRule type="expression" dxfId="50" priority="24">
      <x:formula>LEFT(P215,7)="Внешний"</x:formula>
    </x:cfRule>
    <x:cfRule type="expression" dxfId="51" priority="25">
      <x:formula>LEFT(P215,14)="Инструментальная"</x:formula>
    </x:cfRule>
    <x:cfRule type="expression" dxfId="52" priority="26">
      <x:formula>LEFT(P215,4)="Кожа"</x:formula>
    </x:cfRule>
    <x:cfRule type="expression" dxfId="53" priority="27">
      <x:formula>LEFT(P215,9)="Проверено"</x:formula>
    </x:cfRule>
  </x:conditionalFormatting>
  <x:conditionalFormatting sqref="P245:P274">
    <x:cfRule type="expression" dxfId="57" priority="28">
      <x:formula>LEFT(P245,7)="Внешний"</x:formula>
    </x:cfRule>
    <x:cfRule type="expression" dxfId="58" priority="29">
      <x:formula>LEFT(P245,6)="Xpress"</x:formula>
    </x:cfRule>
    <x:cfRule type="expression" dxfId="59" priority="30">
      <x:formula>LEFT(P245,11)="Аэрографная"</x:formula>
    </x:cfRule>
    <x:cfRule type="expression" dxfId="60" priority="31">
      <x:formula>LEFT(P245,9)="Проверено"</x:formula>
    </x:cfRule>
  </x:conditionalFormatting>
  <x:conditionalFormatting sqref="P275:P304">
    <x:cfRule type="expression" dxfId="64" priority="32">
      <x:formula>LEFT(P275,7)="Внешний"</x:formula>
    </x:cfRule>
    <x:cfRule type="expression" dxfId="65" priority="33">
      <x:formula>LEFT(P275,9)="Проверено"</x:formula>
    </x:cfRule>
    <x:cfRule type="expression" dxfId="66" priority="34">
      <x:formula>LEFT(P275,11)="Продвинутая"</x:formula>
    </x:cfRule>
    <x:cfRule type="expression" dxfId="67" priority="35">
      <x:formula>LEFT(P275,14)="Прозрачность"</x:formula>
    </x:cfRule>
  </x:conditionalFormatting>
  <x:conditionalFormatting sqref="P305:P334">
    <x:cfRule type="expression" dxfId="71" priority="36">
      <x:formula>LEFT(P305,7)="Внешний"</x:formula>
    </x:cfRule>
    <x:cfRule type="expression" dxfId="72" priority="37">
      <x:formula>LEFT(P305,9)="Масляная"</x:formula>
    </x:cfRule>
    <x:cfRule type="expression" dxfId="73" priority="38">
      <x:formula>LEFT(P305,9)="Аэрограф"</x:formula>
    </x:cfRule>
    <x:cfRule type="expression" dxfId="74" priority="39">
      <x:formula>LEFT(P305,6)="Финиш"</x:formula>
    </x:cfRule>
    <x:cfRule type="expression" dxfId="75" priority="40">
      <x:formula>LEFT(P305,9)="Проверено"</x:formula>
    </x:cfRule>
  </x:conditionalFormatting>
  <x:conditionalFormatting sqref="P335:P364">
    <x:cfRule type="expression" dxfId="79" priority="41">
      <x:formula>LEFT(P335,8)="Пайплайн"</x:formula>
    </x:cfRule>
    <x:cfRule type="expression" dxfId="80" priority="42">
      <x:formula>LEFT(P335,8)="Контроль"</x:formula>
    </x:cfRule>
    <x:cfRule type="expression" dxfId="81" priority="43">
      <x:formula>LEFT(P335,11)="Продвинутая"</x:formula>
    </x:cfRule>
    <x:cfRule type="expression" dxfId="82" priority="44">
      <x:formula>LEFT(P335,14)="Композиционная"</x:formula>
    </x:cfRule>
  </x:conditionalFormatting>
  <x:conditionalFormatting sqref="P365:P394">
    <x:cfRule type="expression" dxfId="92" priority="45">
      <x:formula>LEFT(P365,11)="Практический"</x:formula>
    </x:cfRule>
    <x:cfRule type="expression" dxfId="93" priority="46">
      <x:formula>LEFT(P365,6)="Декаль"</x:formula>
    </x:cfRule>
    <x:cfRule type="expression" dxfId="94" priority="47">
      <x:formula>LEFT(P365,10)="Коррекция"</x:formula>
    </x:cfRule>
    <x:cfRule type="expression" dxfId="95" priority="48">
      <x:formula>LEFT(P365,9)="Раскрытие"</x:formula>
    </x:cfRule>
    <x:cfRule type="expression" dxfId="96" priority="49">
      <x:formula>LEFT(P365,8)="Контроль"</x:formula>
    </x:cfRule>
  </x:conditionalFormatting>
  <x:conditionalFormatting sqref="P425:P454">
    <x:cfRule type="expression" dxfId="118" priority="50">
      <x:formula>LEFT(P425,7)="Текущий"</x:formula>
    </x:cfRule>
    <x:cfRule type="expression" dxfId="119" priority="51">
      <x:formula>LEFT(P425,11)="Продвинутая"</x:formula>
    </x:cfRule>
    <x:cfRule type="expression" dxfId="120" priority="52">
      <x:formula>LEFT(P425,9)="Фокусная"</x:formula>
    </x:cfRule>
    <x:cfRule type="expression" dxfId="121" priority="53">
      <x:formula>LEFT(P425,7)="Крупная"</x:formula>
    </x:cfRule>
  </x:conditionalFormatting>
  <x:conditionalFormatting sqref="P455:P484">
    <x:cfRule type="expression" dxfId="138" priority="54">
      <x:formula>LEFT(P455,3)="S01"</x:formula>
    </x:cfRule>
  </x:conditionalFormatting>
  <x:conditionalFormatting sqref="P485:P514">
    <x:cfRule type="expression" dxfId="164" priority="55">
      <x:formula>LEFT(P485,3)="S02"</x:formula>
    </x:cfRule>
  </x:conditionalFormatting>
  <x:conditionalFormatting sqref="P515:P544">
    <x:cfRule type="expression" dxfId="186" priority="56">
      <x:formula>LEFT(P515,3)="S03"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6a7ebe91feb4b4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  <x:col min="3" max="3" width="38" hidden="0" customWidth="1"/>
    <x:col min="4" max="4" width="27" hidden="0" customWidth="1"/>
    <x:col min="5" max="5" width="43" hidden="0" customWidth="1"/>
    <x:col min="6" max="6" width="50" hidden="0" customWidth="1"/>
  </x:cols>
  <x:sheetData>
    <x:row r="1" ht="38" customHeight="1">
      <x:c r="A1" s="167" t="str">
        <x:v>Универсальные модификаторы, смеси и лессировки</x:v>
      </x:c>
      <x:c r="B1" s="167"/>
      <x:c r="C1" s="167"/>
      <x:c r="D1" s="167"/>
      <x:c r="E1" s="167"/>
      <x:c r="F1" s="167"/>
    </x:row>
    <x:row r="3" ht="34" customHeight="1">
      <x:c r="A3" s="175" t="str">
        <x:v>Задача</x:v>
      </x:c>
      <x:c r="B3" s="175" t="str">
        <x:v>Для каких цветов</x:v>
      </x:c>
      <x:c r="C3" s="175" t="str">
        <x:v>Краска / материал</x:v>
      </x:c>
      <x:c r="D3" s="175" t="str">
        <x:v>Пропорция</x:v>
      </x:c>
      <x:c r="E3" s="175" t="str">
        <x:v>Результат</x:v>
      </x:c>
      <x:c r="F3" s="175" t="str">
        <x:v>Ограничение</x:v>
      </x:c>
    </x:row>
    <x:row r="4">
      <x:c r="A4" s="89" t="str">
        <x:v>Углубить тёплую тень</x:v>
      </x:c>
      <x:c r="B4" s="89" t="str">
        <x:v>Красный, кожа, жёлтый, коричневый, золото</x:v>
      </x:c>
      <x:c r="C4" s="89" t="str">
        <x:v>AK Burnt Umber или масляная Умбра жжёная</x:v>
      </x:c>
      <x:c r="D4" s="89" t="str">
        <x:v>Акрил 4:1; масло — сильно развести</x:v>
      </x:c>
      <x:c r="E4" s="89" t="str">
        <x:v>Тёплая естественная тень без ухода в чёрный</x:v>
      </x:c>
      <x:c r="F4" s="89" t="str">
        <x:v>Масло наносить только по лаку</x:v>
      </x:c>
    </x:row>
    <x:row r="5">
      <x:c r="A5" s="89" t="str">
        <x:v>Углубить холодную тень</x:v>
      </x:c>
      <x:c r="B5" s="89" t="str">
        <x:v>Синий, серый, белый, сталь, фиолетовый</x:v>
      </x:c>
      <x:c r="C5" s="89" t="str">
        <x:v>AK Dark Prussian Blue или масляная Серая Пейна</x:v>
      </x:c>
      <x:c r="D5" s="89" t="str">
        <x:v>Акрил 5:1; масло — сильно развести</x:v>
      </x:c>
      <x:c r="E5" s="89" t="str">
        <x:v>Холодная глубокая тень</x:v>
      </x:c>
      <x:c r="F5" s="89" t="str">
        <x:v>Серая Пейна может быстро загрязнить светлые цвета</x:v>
      </x:c>
    </x:row>
    <x:row r="6">
      <x:c r="A6" s="89" t="str">
        <x:v>Максимально затемнить</x:v>
      </x:c>
      <x:c r="B6" s="89" t="str">
        <x:v>Любой цвет</x:v>
      </x:c>
      <x:c r="C6" s="89" t="str">
        <x:v>AK Black или Сажа газовая</x:v>
      </x:c>
      <x:c r="D6" s="89" t="str">
        <x:v>Акрил 8:1; масло — пин-вош</x:v>
      </x:c>
      <x:c r="E6" s="89" t="str">
        <x:v>Глубокая нейтральная тень</x:v>
      </x:c>
      <x:c r="F6" s="89" t="str">
        <x:v>Не добавлять много чёрного прямо в яркий цвет</x:v>
      </x:c>
    </x:row>
    <x:row r="7">
      <x:c r="A7" s="89" t="str">
        <x:v>Высветлить тёпло</x:v>
      </x:c>
      <x:c r="B7" s="89" t="str">
        <x:v>Красный, зелёный, коричневый, кожа</x:v>
      </x:c>
      <x:c r="C7" s="89" t="str">
        <x:v>AK Pale Sand</x:v>
      </x:c>
      <x:c r="D7" s="89" t="str">
        <x:v>Добавлять ступенями 3:1 → 1:1</x:v>
      </x:c>
      <x:c r="E7" s="89" t="str">
        <x:v>Тёплое естественное высветление</x:v>
      </x:c>
      <x:c r="F7" s="89" t="str">
        <x:v>Лучше чистого белого для большинства органических цветов</x:v>
      </x:c>
    </x:row>
    <x:row r="8">
      <x:c r="A8" s="89" t="str">
        <x:v>Высветлить холодно</x:v>
      </x:c>
      <x:c r="B8" s="89" t="str">
        <x:v>Синий, серый, чёрный</x:v>
      </x:c>
      <x:c r="C8" s="89" t="str">
        <x:v>Fenrisian Grey или Ulthuan Grey</x:v>
      </x:c>
      <x:c r="D8" s="89" t="str">
        <x:v>Добавлять ступенями 3:1 → 1:1</x:v>
      </x:c>
      <x:c r="E8" s="89" t="str">
        <x:v>Холодное высветление без мелового эффекта</x:v>
      </x:c>
      <x:c r="F8" s="89" t="str">
        <x:v>Не подходит для тёплого золота и кожи</x:v>
      </x:c>
    </x:row>
    <x:row r="9">
      <x:c r="A9" s="89" t="str">
        <x:v>Финальный нейтральный блик</x:v>
      </x:c>
      <x:c r="B9" s="89" t="str">
        <x:v>Любой цвет</x:v>
      </x:c>
      <x:c r="C9" s="89" t="str">
        <x:v>White или White Grey</x:v>
      </x:c>
      <x:c r="D9" s="89" t="str">
        <x:v>Только точечно</x:v>
      </x:c>
      <x:c r="E9" s="89" t="str">
        <x:v>Резкий световой акцент</x:v>
      </x:c>
      <x:c r="F9" s="89" t="str">
        <x:v>Не использовать на большой площади</x:v>
      </x:c>
    </x:row>
    <x:row r="10">
      <x:c r="A10" s="89" t="str">
        <x:v>Приглушить насыщенность</x:v>
      </x:c>
      <x:c r="B10" s="89" t="str">
        <x:v>Яркие красные, синие, зелёные</x:v>
      </x:c>
      <x:c r="C10" s="89" t="str">
        <x:v>Heavy Warmgrey или AK Medium Grey</x:v>
      </x:c>
      <x:c r="D10" s="89" t="str">
        <x:v>6:1 → 3:1</x:v>
      </x:c>
      <x:c r="E10" s="89" t="str">
        <x:v>Более реалистичный приглушённый тон</x:v>
      </x:c>
      <x:c r="F10" s="89" t="str">
        <x:v>Серый снижает насыщенность быстрее, чем кажется</x:v>
      </x:c>
    </x:row>
    <x:row r="11">
      <x:c r="A11" s="89" t="str">
        <x:v>Сделать цвет пыльным</x:v>
      </x:c>
      <x:c r="B11" s="89" t="str">
        <x:v>Техника, ткань, кожа</x:v>
      </x:c>
      <x:c r="C11" s="89" t="str">
        <x:v>AK Pale Sand или Karak Stone</x:v>
      </x:c>
      <x:c r="D11" s="89" t="str">
        <x:v>Тонкая сухая кисть либо смесь 5:1</x:v>
      </x:c>
      <x:c r="E11" s="89" t="str">
        <x:v>Выцветшая и запылённая поверхность</x:v>
      </x:c>
      <x:c r="F11" s="89" t="str">
        <x:v>Не покрывать одинаково всю модель</x:v>
      </x:c>
    </x:row>
    <x:row r="12">
      <x:c r="A12" s="89" t="str">
        <x:v>Вернуть насыщенность красному</x:v>
      </x:c>
      <x:c r="B12" s="89" t="str">
        <x:v>Красный и оранжевый</x:v>
      </x:c>
      <x:c r="C12" s="89" t="str">
        <x:v>Red Ink или Bloodletter</x:v>
      </x:c>
      <x:c r="D12" s="89" t="str">
        <x:v>1:6–1:10 с Lahmian Medium</x:v>
      </x:c>
      <x:c r="E12" s="89" t="str">
        <x:v>Объединяет слои и возвращает красноту</x:v>
      </x:c>
      <x:c r="F12" s="89" t="str">
        <x:v>Не заливать глубокие тени</x:v>
      </x:c>
    </x:row>
    <x:row r="13">
      <x:c r="A13" s="89" t="str">
        <x:v>Вернуть насыщенность синему</x:v>
      </x:c>
      <x:c r="B13" s="89" t="str">
        <x:v>Синий и бирюзовый</x:v>
      </x:c>
      <x:c r="C13" s="89" t="str">
        <x:v>Blue Ink, Guilliman Blue или Talassar Blue</x:v>
      </x:c>
      <x:c r="D13" s="89" t="str">
        <x:v>1:8–1:12 с Lahmian Medium</x:v>
      </x:c>
      <x:c r="E13" s="89" t="str">
        <x:v>Глубокий чистый синий фильтр</x:v>
      </x:c>
      <x:c r="F13" s="89" t="str">
        <x:v>Не перекрывать крайние блики</x:v>
      </x:c>
    </x:row>
    <x:row r="14">
      <x:c r="A14" s="89" t="str">
        <x:v>Вернуть насыщенность зелёному</x:v>
      </x:c>
      <x:c r="B14" s="89" t="str">
        <x:v>Зелёный</x:v>
      </x:c>
      <x:c r="C14" s="89" t="str">
        <x:v>Green Ink</x:v>
      </x:c>
      <x:c r="D14" s="89" t="str">
        <x:v>1:8–1:12 с Lahmian Medium</x:v>
      </x:c>
      <x:c r="E14" s="89" t="str">
        <x:v>Чистая зелёная лессировка</x:v>
      </x:c>
      <x:c r="F14" s="89" t="str">
        <x:v>На жёлто-зелёном может сделать цвет холоднее</x:v>
      </x:c>
    </x:row>
    <x:row r="15">
      <x:c r="A15" s="89" t="str">
        <x:v>Вернуть насыщенность фиолетовому</x:v>
      </x:c>
      <x:c r="B15" s="89" t="str">
        <x:v>Фиолетовый и розовый</x:v>
      </x:c>
      <x:c r="C15" s="89" t="str">
        <x:v>Violet Ink или Doomfire Magenta</x:v>
      </x:c>
      <x:c r="D15" s="89" t="str">
        <x:v>1:8–1:12 с Lahmian Medium</x:v>
      </x:c>
      <x:c r="E15" s="89" t="str">
        <x:v>Богатый цвет без утолщения слоя</x:v>
      </x:c>
      <x:c r="F15" s="89" t="str">
        <x:v>Doomfire сильнее уводит цвет в магенту</x:v>
      </x:c>
    </x:row>
    <x:row r="16">
      <x:c r="A16" s="89" t="str">
        <x:v>Сгладить Contrast</x:v>
      </x:c>
      <x:c r="B16" s="89" t="str">
        <x:v>Все Contrast</x:v>
      </x:c>
      <x:c r="C16" s="89" t="str">
        <x:v>Contrast Medium</x:v>
      </x:c>
      <x:c r="D16" s="89" t="str">
        <x:v>1:1 для мягкости; 2:1 медиум:краска для фильтра</x:v>
      </x:c>
      <x:c r="E16" s="89" t="str">
        <x:v>Меньше пятен и более прозрачная тень</x:v>
      </x:c>
      <x:c r="F16" s="89" t="str">
        <x:v>Не заменять Contrast Medium обычной водой на больших поверхностях</x:v>
      </x:c>
    </x:row>
    <x:row r="17">
      <x:c r="A17" s="89" t="str">
        <x:v>Сделать обычную лессировку</x:v>
      </x:c>
      <x:c r="B17" s="89" t="str">
        <x:v>Акрилы и чернила</x:v>
      </x:c>
      <x:c r="C17" s="89" t="str">
        <x:v>Lahmian Medium</x:v>
      </x:c>
      <x:c r="D17" s="89" t="str">
        <x:v>1 часть краски на 4–10 частей медиума</x:v>
      </x:c>
      <x:c r="E17" s="89" t="str">
        <x:v>Тонкий управляемый цветной слой</x:v>
      </x:c>
      <x:c r="F17" s="89" t="str">
        <x:v>Каждый слой полностью высушивать</x:v>
      </x:c>
    </x:row>
    <x:row r="18">
      <x:c r="A18" s="89" t="str">
        <x:v>Флуоресцентное свечение</x:v>
      </x:c>
      <x:c r="B18" s="89" t="str">
        <x:v>Жёлтый, зелёный, оранжевый, розовый</x:v>
      </x:c>
      <x:c r="C18" s="89" t="str">
        <x:v>Соответствующий Vallejo Fluorescent</x:v>
      </x:c>
      <x:c r="D18" s="89" t="str">
        <x:v>2–4 тонких слоя поверх White</x:v>
      </x:c>
      <x:c r="E18" s="89" t="str">
        <x:v>Максимальная яркость и OSL</x:v>
      </x:c>
      <x:c r="F18" s="89" t="str">
        <x:v>На тёмной подложке почти не работает</x:v>
      </x:c>
    </x:row>
    <x:row r="19">
      <x:c r="A19" s="89" t="str">
        <x:v>Состарить металл</x:v>
      </x:c>
      <x:c r="B19" s="89" t="str">
        <x:v>Сталь, золото, бронза</x:v>
      </x:c>
      <x:c r="C19" s="89" t="str">
        <x:v>Nuln Oil / Agrax / Умбра жжёная</x:v>
      </x:c>
      <x:c r="D19" s="89" t="str">
        <x:v>Shade локально или масло по лаку</x:v>
      </x:c>
      <x:c r="E19" s="89" t="str">
        <x:v>Глубина и загрязнение</x:v>
      </x:c>
      <x:c r="F19" s="89" t="str">
        <x:v>После тени вернуть чистый металл на края</x:v>
      </x:c>
    </x:row>
    <x:row r="20">
      <x:c r="A20" s="89" t="str">
        <x:v>Сделать металл ярче</x:v>
      </x:c>
      <x:c r="B20" s="89" t="str">
        <x:v>Любой металл</x:v>
      </x:c>
      <x:c r="C20" s="89" t="str">
        <x:v>Vallejo Silver</x:v>
      </x:c>
      <x:c r="D20" s="89" t="str">
        <x:v>Минимально на верхних кромках</x:v>
      </x:c>
      <x:c r="E20" s="89" t="str">
        <x:v>Максимальный металлический блик</x:v>
      </x:c>
      <x:c r="F20" s="89" t="str">
        <x:v>Избыток Silver выравнивает разные металлы между собой</x:v>
      </x:c>
    </x:row>
    <x:row r="21">
      <x:c r="A21" s="89" t="str">
        <x:v>Сделать кожу потёртой</x:v>
      </x:c>
      <x:c r="B21" s="89" t="str">
        <x:v>Коричневая и чёрная кожа</x:v>
      </x:c>
      <x:c r="C21" s="89" t="str">
        <x:v>Pale Sand / Fenrisian Grey</x:v>
      </x:c>
      <x:c r="D21" s="89" t="str">
        <x:v>Прерывистые тонкие линии</x:v>
      </x:c>
      <x:c r="E21" s="89" t="str">
        <x:v>Царапины и износ</x:v>
      </x:c>
      <x:c r="F21" s="89" t="str">
        <x:v>Не обводить равномерно каждую кромку</x:v>
      </x:c>
    </x:row>
    <x:row r="22">
      <x:c r="A22" s="89" t="str">
        <x:v>Сделать тень кожи живой</x:v>
      </x:c>
      <x:c r="B22" s="89" t="str">
        <x:v>Телесные</x:v>
      </x:c>
      <x:c r="C22" s="89" t="str">
        <x:v>Magos Purple или Dreadful Visage</x:v>
      </x:c>
      <x:c r="D22" s="89" t="str">
        <x:v>Очень тонкая лессировка</x:v>
      </x:c>
      <x:c r="E22" s="89" t="str">
        <x:v>Холодные тени вокруг глаз и в складках</x:v>
      </x:c>
      <x:c r="F22" s="89" t="str">
        <x:v>Фиолетовый должен почти исчезать после высыхания</x:v>
      </x:c>
    </x:row>
    <x:row r="23">
      <x:c r="A23" s="89" t="str">
        <x:v>Сделать кожу теплее</x:v>
      </x:c>
      <x:c r="B23" s="89" t="str">
        <x:v>Телесные</x:v>
      </x:c>
      <x:c r="C23" s="89" t="str">
        <x:v>Guilliman Flesh или Reikland Fleshshade</x:v>
      </x:c>
      <x:c r="D23" s="89" t="str">
        <x:v>1:6–1:10 с медиумом</x:v>
      </x:c>
      <x:c r="E23" s="89" t="str">
        <x:v>Возвращает кровь и тепло</x:v>
      </x:c>
      <x:c r="F23" s="89" t="str">
        <x:v>Не наносить одинаково на все зоны лица</x:v>
      </x:c>
    </x:row>
    <x:row r="24">
      <x:c r="A24" s="89" t="str">
        <x:v>Масляный гримдарк</x:v>
      </x:c>
      <x:c r="B24" s="89" t="str">
        <x:v>Любая акриловая схема</x:v>
      </x:c>
      <x:c r="C24" s="89" t="str">
        <x:v>Умбра жжёная / Серая Пейна / Сажа газовая</x:v>
      </x:c>
      <x:c r="D24" s="89" t="str">
        <x:v>Gloss Varnish → масло → очистка</x:v>
      </x:c>
      <x:c r="E24" s="89" t="str">
        <x:v>Естественные тени и загрязнения</x:v>
      </x:c>
      <x:c r="F24" s="89" t="str">
        <x:v>Лак и акрил должны полностью высохнуть</x:v>
      </x:c>
    </x:row>
    <x:row r="25">
      <x:c r="A25" s="263" t="str">
        <x:v>Проверить смесь разных брендов</x:v>
      </x:c>
      <x:c r="B25" s="263" t="str">
        <x:v>Любые рецепты Citadel + AK + Vallejo</x:v>
      </x:c>
      <x:c r="C25" s="263" t="str">
        <x:v>Малое количество на палитре или тестовой ложке</x:v>
      </x:c>
      <x:c r="D25" s="263" t="str">
        <x:v>Смешать и дать полностью высохнуть</x:v>
      </x:c>
      <x:c r="E25" s="263" t="str">
        <x:v>Проверка укрывистости, глянца, растекания и адгезии</x:v>
      </x:c>
      <x:c r="F25" s="263" t="str">
        <x:v>Для Contrast/Xpress предпочтителен медиум той же системы; нестандартные смеси не готовить заранее в бутылке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d12872b415e4d0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9" hidden="0" customWidth="1"/>
    <x:col min="3" max="3" width="72" hidden="0" customWidth="1"/>
    <x:col min="4" max="4" width="45" hidden="0" customWidth="1"/>
    <x:col min="5" max="5" width="62" hidden="0" customWidth="1"/>
  </x:cols>
  <x:sheetData>
    <x:row r="1" ht="38" customHeight="1">
      <x:c r="A1" s="167" t="str">
        <x:v>Порядок нанесения и совместимость материалов</x:v>
      </x:c>
      <x:c r="B1" s="167"/>
      <x:c r="C1" s="167"/>
      <x:c r="D1" s="167"/>
      <x:c r="E1" s="167"/>
    </x:row>
    <x:row r="3" ht="34" customHeight="1">
      <x:c r="A3" s="175" t="str">
        <x:v>№</x:v>
      </x:c>
      <x:c r="B3" s="175" t="str">
        <x:v>Сценарий</x:v>
      </x:c>
      <x:c r="C3" s="175" t="str">
        <x:v>Порядок слоёв</x:v>
      </x:c>
      <x:c r="D3" s="175" t="str">
        <x:v>Когда использовать</x:v>
      </x:c>
      <x:c r="E3" s="175" t="str">
        <x:v>Ключевое правило</x:v>
      </x:c>
    </x:row>
    <x:row r="4">
      <x:c r="A4" s="90" t="n">
        <x:v>1</x:v>
      </x:c>
      <x:c r="B4" s="89" t="str">
        <x:v>Классическая многослойка</x:v>
      </x:c>
      <x:c r="C4" s="89" t="str">
        <x:v>Primer → Base → Shade → вернуть Base → Highlight 1 → Highlight 2 → Edge → Glaze → Varnish</x:v>
      </x:c>
      <x:c r="D4" s="89" t="str">
        <x:v>Для брони, ткани, кожи, лиц и большинства крупных деталей.</x:v>
      </x:c>
      <x:c r="E4" s="89" t="str">
        <x:v>Каждый следующий светлый слой должен занимать меньшую площадь.</x:v>
      </x:c>
    </x:row>
    <x:row r="5">
      <x:c r="A5" s="90" t="n">
        <x:v>2</x:v>
      </x:c>
      <x:c r="B5" s="89" t="str">
        <x:v>Contrast / Xpress</x:v>
      </x:c>
      <x:c r="C5" s="89" t="str">
        <x:v>Настоящий грунт → светлая Base-подложка (Wraithbone/Grey Seer/White) → Contrast или Xpress → локальная тень → непрозрачный средний тон → 1–2 высветления → крайний блик</x:v>
      </x:c>
      <x:c r="D5" s="89" t="str">
        <x:v>Быстрые армии, органика, мелкие текстуры.</x:v>
      </x:c>
      <x:c r="E5" s="89" t="str">
        <x:v>Contrast разводить Contrast Medium, Xpress Color — Xpress Medium. Wraithbone и Grey Seer из банок не заменяют грунт.</x:v>
      </x:c>
    </x:row>
    <x:row r="6">
      <x:c r="A6" s="90" t="n">
        <x:v>3</x:v>
      </x:c>
      <x:c r="B6" s="89" t="str">
        <x:v>Цветной Shade</x:v>
      </x:c>
      <x:c r="C6" s="89" t="str">
        <x:v>Base → Shade только в углубления → восстановление Base → Highlight</x:v>
      </x:c>
      <x:c r="D6" s="89" t="str">
        <x:v>Когда нужно сохранить насыщенность основного цвета.</x:v>
      </x:c>
      <x:c r="E6" s="89" t="str">
        <x:v>Не использовать Nuln Oil автоматически для всех цветов.</x:v>
      </x:c>
    </x:row>
    <x:row r="7">
      <x:c r="A7" s="90" t="n">
        <x:v>4</x:v>
      </x:c>
      <x:c r="B7" s="89" t="str">
        <x:v>Лессировка</x:v>
      </x:c>
      <x:c r="C7" s="89" t="str">
        <x:v>Готовые высветления → 1:6–1:12 краска с Lahmian Medium → 1–3 тонких слоя</x:v>
      </x:c>
      <x:c r="D7" s="89" t="str">
        <x:v>Сглаживание переходов и возвращение насыщенности.</x:v>
      </x:c>
      <x:c r="E7" s="89" t="str">
        <x:v>Лессировка не должна образовывать лужи.</x:v>
      </x:c>
    </x:row>
    <x:row r="8">
      <x:c r="A8" s="90" t="n">
        <x:v>5</x:v>
      </x:c>
      <x:c r="B8" s="89" t="str">
        <x:v>Флуоресцент</x:v>
      </x:c>
      <x:c r="C8" s="89" t="str">
        <x:v>Обычная цветовая схема → White на ярком центре → Fluorescent 2–4 слоя → White точечно</x:v>
      </x:c>
      <x:c r="D8" s="89" t="str">
        <x:v>Плазма, магия, линзы, яд.</x:v>
      </x:c>
      <x:c r="E8" s="89" t="str">
        <x:v>Флуоресцентные краски прозрачны и требуют белой подложки.</x:v>
      </x:c>
    </x:row>
    <x:row r="9">
      <x:c r="A9" s="90" t="n">
        <x:v>6</x:v>
      </x:c>
      <x:c r="B9" s="89" t="str">
        <x:v>Металлик</x:v>
      </x:c>
      <x:c r="C9" s="89" t="str">
        <x:v>Black Primer → тёмный металл → Shade локально → вернуть металл → светлый металл → Silver точечно → Gloss Metal Varnish 77.657</x:v>
      </x:c>
      <x:c r="D9" s="89" t="str">
        <x:v>Оружие, броня, золото и механизмы.</x:v>
      </x:c>
      <x:c r="E9" s="89" t="str">
        <x:v>Gloss Metal Varnish лучше сохраняет блеск; обычный матовый лак заметно приглушает металлический эффект.</x:v>
      </x:c>
    </x:row>
    <x:row r="10">
      <x:c r="A10" s="90" t="n">
        <x:v>7</x:v>
      </x:c>
      <x:c r="B10" s="89" t="str">
        <x:v>Technical-камни</x:v>
      </x:c>
      <x:c r="C10" s="89" t="str">
        <x:v>Грунт → яркий металл → тёмная прозрачная зона на нижней трети → Soulstone/Spiritstone/Waystone по всему камню → вернуть металлическую дугу → White точка → Gloss Varnish</x:v>
      </x:c>
      <x:c r="D10" s="89" t="str">
        <x:v>Камни, линзы и драгоценности.</x:v>
      </x:c>
      <x:c r="E10" s="89" t="str">
        <x:v>Тёмную светотень формировать под прозрачным Technical; чёрное пятно поверх готового глянцевого слоя выглядит плоско.</x:v>
      </x:c>
    </x:row>
    <x:row r="11">
      <x:c r="A11" s="90" t="n">
        <x:v>8</x:v>
      </x:c>
      <x:c r="B11" s="89" t="str">
        <x:v>Ржавчина</x:v>
      </x:c>
      <x:c r="C11" s="89" t="str">
        <x:v>Металл → Typhus Corrosion → тёмная ржавчина → светлая ржавчина → Ryza Rust → яркие точки</x:v>
      </x:c>
      <x:c r="D11" s="89" t="str">
        <x:v>Старое оружие, техника, террейн.</x:v>
      </x:c>
      <x:c r="E11" s="89" t="str">
        <x:v>Оставлять видимые островки чистого металла.</x:v>
      </x:c>
    </x:row>
    <x:row r="12">
      <x:c r="A12" s="90" t="n">
        <x:v>9</x:v>
      </x:c>
      <x:c r="B12" s="89" t="str">
        <x:v>Chipping Medium</x:v>
      </x:c>
      <x:c r="C12" s="89" t="str">
        <x:v>Primer → ржавчина/металл → Chipping Medium → около 30 минут → верхний акрил → вода и скалывание → защитный лак</x:v>
      </x:c>
      <x:c r="D12" s="89" t="str">
        <x:v>Крупная техника и бронепанели.</x:v>
      </x:c>
      <x:c r="E12" s="89" t="str">
        <x:v>Vallejo рекомендует дать Medium высохнуть до состояния «сухой на ощупь», затем наносить верхний цвет.</x:v>
      </x:c>
    </x:row>
    <x:row r="13">
      <x:c r="A13" s="90" t="n">
        <x:v>10</x:v>
      </x:c>
      <x:c r="B13" s="89" t="str">
        <x:v>Масляная проливка</x:v>
      </x:c>
      <x:c r="C13" s="89" t="str">
        <x:v>Полностью сухой акрил → полностью отверждённый Gloss Varnish → разбавленное масло → очистка → несколько дней до полного высыхания → финальный лак</x:v>
      </x:c>
      <x:c r="D13" s="89" t="str">
        <x:v>Панельные линии и глубокие тени.</x:v>
      </x:c>
      <x:c r="E13" s="89" t="str">
        <x:v>Не использовать фиксированные 24–48 часов: тонкие масла обычно сохнут 2–5+ дней, а толщина слоя, пигмент, температура и влажность меняют срок.</x:v>
      </x:c>
    </x:row>
    <x:row r="14">
      <x:c r="A14" s="90" t="n">
        <x:v>11</x:v>
      </x:c>
      <x:c r="B14" s="89" t="str">
        <x:v>Масляный фильтр</x:v>
      </x:c>
      <x:c r="C14" s="89" t="str">
        <x:v>Акрил → отверждённый Satin/Gloss Varnish → очень тонкое масло → снять с выступов → полностью высушить → Matt Varnish</x:v>
      </x:c>
      <x:c r="D14" s="89" t="str">
        <x:v>Гримдарк, загрязнение, объединение цветов.</x:v>
      </x:c>
      <x:c r="E14" s="89" t="str">
        <x:v>Фильтр должен едва изменять цвет; финальный лак только после исчезновения липкости.</x:v>
      </x:c>
    </x:row>
    <x:row r="15">
      <x:c r="A15" s="90" t="n">
        <x:v>12</x:v>
      </x:c>
      <x:c r="B15" s="89" t="str">
        <x:v>Глянцевые эффекты</x:v>
      </x:c>
      <x:c r="C15" s="89" t="str">
        <x:v>Полная покраска → общий Matt Varnish → Blood/Nurgle's Rot/Gloss Varnish локально</x:v>
      </x:c>
      <x:c r="D15" s="89" t="str">
        <x:v>Кровь, слизь, мокрые глаза и камни.</x:v>
      </x:c>
      <x:c r="E15" s="89" t="str">
        <x:v>Не наносить матовый лак поверх готового глянцевого эффекта.</x:v>
      </x:c>
    </x:row>
    <x:row r="16">
      <x:c r="A16" s="90" t="n">
        <x:v>13</x:v>
      </x:c>
      <x:c r="B16" s="89" t="str">
        <x:v>Crackle Medium</x:v>
      </x:c>
      <x:c r="C16" s="89" t="str">
        <x:v>Контрастная нижняя краска → обильный Crackle Medium → пока Medium влажный, контрастная верхняя краска → 24 часа → Satin Varnish → drybrush/wash</x:v>
      </x:c>
      <x:c r="D16" s="89" t="str">
        <x:v>Лава, потрескавшаяся краска и фантастические подставки.</x:v>
      </x:c>
      <x:c r="E16" s="89" t="str">
        <x:v>Vallejo указывает, что полный рисунок проявляется после 24 часов; перед проливкой и сухой кистью рекомендуется защитный Satin Varnish.</x:v>
      </x:c>
    </x:row>
    <x:row r="17">
      <x:c r="A17" s="90" t="n">
        <x:v>14</x:v>
      </x:c>
      <x:c r="B17" s="89" t="str">
        <x:v>Цветная глазурь по металлу</x:v>
      </x:c>
      <x:c r="C17" s="89" t="str">
        <x:v>Светлый металл → прозрачный Contrast/Shade → вернуть серебряные кромки → Gloss Metal Varnish</x:v>
      </x:c>
      <x:c r="D17" s="89" t="str">
        <x:v>Магическая сталь, цветная броня и металлические камни.</x:v>
      </x:c>
      <x:c r="E17" s="89" t="str">
        <x:v>Прозрачная краска должна сохранять отражение металлической подложки; наносить тонко и без луж.</x:v>
      </x:c>
    </x:row>
    <x:row r="18">
      <x:c r="A18" s="90" t="n">
        <x:v>15</x:v>
      </x:c>
      <x:c r="B18" s="89" t="str">
        <x:v>NMM</x:v>
      </x:c>
      <x:c r="C18" s="89" t="str">
        <x:v>Самая тёмная база → резкий средний тон → узкий светлый тон → почти белый отражённый блик → цветная лессировка при необходимости</x:v>
      </x:c>
      <x:c r="D18" s="89" t="str">
        <x:v>Неметаллическая сталь и золото.</x:v>
      </x:c>
      <x:c r="E18" s="89" t="str">
        <x:v>Контраст и размещение отражений важнее количества промежуточных ступеней; сначала определить направление света.</x:v>
      </x:c>
    </x:row>
    <x:row r="19">
      <x:c r="A19" s="90" t="n">
        <x:v>16</x:v>
      </x:c>
      <x:c r="B19" s="89" t="str">
        <x:v>Зенитальная подложка</x:v>
      </x:c>
      <x:c r="C19" s="89" t="str">
        <x:v>Black Primer → Grey Seer с боков и сверху под 45° → White только сверху → прозрачный Contrast/Xpress/Ink</x:v>
      </x:c>
      <x:c r="D19" s="89" t="str">
        <x:v>Бледная кожа, ткань, органика и быстрая армейская покраска.</x:v>
      </x:c>
      <x:c r="E19" s="89" t="str">
        <x:v>Grey Seer и White наносятся поверх настоящего грунта; прозрачная краска должна сохранять готовую светотень.</x:v>
      </x:c>
    </x:row>
    <x:row r="20">
      <x:c r="A20" s="90" t="n">
        <x:v>17</x:v>
      </x:c>
      <x:c r="B20" s="89" t="str">
        <x:v>Slapchop без аэрографа</x:v>
      </x:c>
      <x:c r="C20" s="89" t="str">
        <x:v>Black Primer → Mechanicus Standard Grey широкой сухой кистью → Longbeard Grey более лёгкой сухой кистью → White по верхним граням → Contrast</x:v>
      </x:c>
      <x:c r="D20" s="89" t="str">
        <x:v>Когда нужен быстрый объём без аэрографа.</x:v>
      </x:c>
      <x:c r="E20" s="89" t="str">
        <x:v>Не забивать глубокие чёрные тени серым drybrush; белый должен занимать только верхние участки.</x:v>
      </x:c>
    </x:row>
    <x:row r="21">
      <x:c r="A21" s="90" t="n">
        <x:v>18</x:v>
      </x:c>
      <x:c r="B21" s="89" t="str">
        <x:v>Game Ink как фильтр</x:v>
      </x:c>
      <x:c r="C21" s="89" t="str">
        <x:v>Готовая непрозрачная светотень → тонкий Game Ink кистью или аэрографом → высушить → повторить локально → вернуть крайние блики</x:v>
      </x:c>
      <x:c r="D21" s="89" t="str">
        <x:v>Цветная броня, техника, дерево, энергетические панели.</x:v>
      </x:c>
      <x:c r="E21" s="89" t="str">
        <x:v>Inks остаются прозрачными даже после нескольких слоёв; слишком толстый слой может дать глянцевую и очень насыщенную поверхность.</x:v>
      </x:c>
    </x:row>
    <x:row r="22">
      <x:c r="A22" s="90" t="n">
        <x:v>19</x:v>
      </x:c>
      <x:c r="B22" s="89" t="str">
        <x:v>Смешивание разных брендов</x:v>
      </x:c>
      <x:c r="C22" s="89" t="str">
        <x:v>Смешать малое количество на палитре → проверить высыхание и финиш → только затем применять на модели</x:v>
      </x:c>
      <x:c r="D22" s="89" t="str">
        <x:v>Когда Citadel, AK и Vallejo используются в одной смеси.</x:v>
      </x:c>
      <x:c r="E22" s="89" t="str">
        <x:v>Все основные краски водные акриловые, но медиумы и поверхностное натяжение различаются. Надёжнее использовать медиум той же системы; смешанные рецепты помечены как адаптация.</x:v>
      </x:c>
    </x:row>
    <x:row r="23">
      <x:c r="A23" s="90" t="n">
        <x:v>20</x:v>
      </x:c>
      <x:c r="B23" s="89" t="str">
        <x:v>Dry paint</x:v>
      </x:c>
      <x:c r="C23" s="89" t="str">
        <x:v>Полностью сухая текстурная база → почти сухая кисть → лёгкие проходы по выступам → более светлый Dry меньшей площадью</x:v>
      </x:c>
      <x:c r="D23" s="89" t="str">
        <x:v>Камень, мех, цепи, ржавчина и рельефные подставки.</x:v>
      </x:c>
      <x:c r="E23" s="89" t="str">
        <x:v>Dry-краска работает за счёт рельефа; на гладкой поверхности лучше использовать обычный Layer.</x:v>
      </x:c>
    </x:row>
    <x:row r="24">
      <x:c r="A24" s="90" t="n">
        <x:v>21</x:v>
      </x:c>
      <x:c r="B24" s="89" t="str">
        <x:v>Текстурная подставка</x:v>
      </x:c>
      <x:c r="C24" s="89" t="str">
        <x:v>Грунт → AK/Citadel texture → полное высыхание → Wash → drybrush от тёмного к светлому → локальные эффекты → Matt Varnish</x:v>
      </x:c>
      <x:c r="D24" s="89" t="str">
        <x:v>Asphalt, Light Earth, Agrellan и коррозионные базы.</x:v>
      </x:c>
      <x:c r="E24" s="89" t="str">
        <x:v>Толстая текстурная масса может быть сухой сверху и мягкой внутри; не начинать проливку и лак слишком рано.</x:v>
      </x:c>
    </x:row>
    <x:row r="25">
      <x:c r="A25" s="90" t="n">
        <x:v>22</x:v>
      </x:c>
      <x:c r="B25" s="89" t="str">
        <x:v>Глаза — три уровня</x:v>
      </x:c>
      <x:c r="C25" s="89" t="str">
        <x:v>Battle Ready: не рисовать глаз, усилить тень → Intermediate: off-white + вертикальный Corvus Black → Advanced: чёрная основа + два светлых белка + блик</x:v>
      </x:c>
      <x:c r="D25" s="89" t="str">
        <x:v>Лица в армии и персонажи.</x:v>
      </x:c>
      <x:c r="E25" s="89" t="str">
        <x:v>Выбирать уровень по масштабу и дистанции просмотра; неровные глаза могут ухудшить хорошее лицо.</x:v>
      </x:c>
    </x:row>
    <x:row r="26">
      <x:c r="A26" s="90" t="n">
        <x:v>23</x:v>
      </x:c>
      <x:c r="B26" s="89" t="str">
        <x:v>Светящиеся глаза</x:v>
      </x:c>
      <x:c r="C26" s="89" t="str">
        <x:v>White/Grey Seer внутри глаза → яркий Contrast с Medium → белый центр → тонкие цветные слои на ближайшей коже</x:v>
      </x:c>
      <x:c r="D26" s="89" t="str">
        <x:v>Демоны, псайкеры, нежить и магические существа.</x:v>
      </x:c>
      <x:c r="E26" s="89" t="str">
        <x:v>Источник света всегда ярче ореола; каждый внешний слой слабее предыдущего.</x:v>
      </x:c>
    </x:row>
    <x:row r="27">
      <x:c r="A27" s="90" t="n">
        <x:v>24</x:v>
      </x:c>
      <x:c r="B27" s="89" t="str">
        <x:v>Румянец и изменения кожи</x:v>
      </x:c>
      <x:c r="C27" s="89" t="str">
        <x:v>Готовая кожа → очень прозрачная цветная лессировка → высушить → повторить локально → вернуть светлые телесные тона</x:v>
      </x:c>
      <x:c r="D27" s="89" t="str">
        <x:v>Щёки, нос, губы, уши, щетина, синяки и обморожение.</x:v>
      </x:c>
      <x:c r="E27" s="89" t="str">
        <x:v>Цвет должен оставаться частью кожи, а не выглядеть отдельной полосой краски.</x:v>
      </x:c>
    </x:row>
    <x:row r="28">
      <x:c r="A28" s="90" t="n">
        <x:v>25</x:v>
      </x:c>
      <x:c r="B28" s="89" t="str">
        <x:v>Огонь и лава</x:v>
      </x:c>
      <x:c r="C28" s="89" t="str">
        <x:v>White подложка в горячих местах → Yellow/Pale Sand → Orange → Red → тёмная корка снаружи; Fluorescent только поверх светлых зон</x:v>
      </x:c>
      <x:c r="D28" s="89" t="str">
        <x:v>Пламя, лава, факелы и раскалённые трещины.</x:v>
      </x:c>
      <x:c r="E28" s="89" t="str">
        <x:v>В отличие от обычного высветления, наиболее светлая область огня находится внутри или у основания источника жара.</x:v>
      </x:c>
    </x:row>
    <x:row r="29">
      <x:c r="A29" s="90" t="n">
        <x:v>26</x:v>
      </x:c>
      <x:c r="B29" s="89" t="str">
        <x:v>Рабочее давление</x:v>
      </x:c>
      <x:c r="C29" s="89" t="str">
        <x:v>Включить воздух и удерживать триггер → выставить PSI при движущемся воздухе → проверить распыление на бумаге</x:v>
      </x:c>
      <x:c r="D29" s="89" t="str">
        <x:v>Все аэрографные процессы.</x:v>
      </x:c>
      <x:c r="E29" s="89" t="str">
        <x:v>Статическое значение на закрытом аэрографе выше реального рабочего давления.</x:v>
      </x:c>
    </x:row>
    <x:row r="30">
      <x:c r="A30" s="90" t="n">
        <x:v>27</x:v>
      </x:c>
      <x:c r="B30" s="89" t="str">
        <x:v>Подбор разведения</x:v>
      </x:c>
      <x:c r="C30" s="89" t="str">
        <x:v>Начать с рекомендованного диапазона → проверить линию → при зерне добавить thinner → при паутине снизить thinner/давление или увеличить дистанцию</x:v>
      </x:c>
      <x:c r="D30" s="89" t="str">
        <x:v>Обычные Base, Layer, AK и Vallejo акрилы.</x:v>
      </x:c>
      <x:c r="E30" s="89" t="str">
        <x:v>Консистенция и распыление важнее фиксированной пропорции; разные пигменты одной линейки требуют разных настроек.</x:v>
      </x:c>
    </x:row>
    <x:row r="31">
      <x:c r="A31" s="90" t="n">
        <x:v>28</x:v>
      </x:c>
      <x:c r="B31" s="89" t="str">
        <x:v>Тонкая линия</x:v>
      </x:c>
      <x:c r="C31" s="89" t="str">
        <x:v>Снизить давление → приблизить аэрограф → минимально оттянуть иглу → двигать руку до подачи краски</x:v>
      </x:c>
      <x:c r="D31" s="89" t="str">
        <x:v>OSL, лица, линзы и малые панели.</x:v>
      </x:c>
      <x:c r="E31" s="89" t="str">
        <x:v>Начинать движение до краски и заканчивать подачу краски до остановки руки, иначе появляются точки.</x:v>
      </x:c>
    </x:row>
    <x:row r="32">
      <x:c r="A32" s="90" t="n">
        <x:v>29</x:v>
      </x:c>
      <x:c r="B32" s="89" t="str">
        <x:v>Плавная модуляция</x:v>
      </x:c>
      <x:c r="C32" s="89" t="str">
        <x:v>Тёмная база → средний цвет под углом 45° → светлый сверху → локальный максимум → объединяющий фильтр</x:v>
      </x:c>
      <x:c r="D32" s="89" t="str">
        <x:v>Броня, ткань, кожа и крупные органические формы.</x:v>
      </x:c>
      <x:c r="E32" s="89" t="str">
        <x:v>Каждый новый свет занимает меньшую площадь; полностью перекрытая база уничтожает объём.</x:v>
      </x:c>
    </x:row>
    <x:row r="33">
      <x:c r="A33" s="90" t="n">
        <x:v>30</x:v>
      </x:c>
      <x:c r="B33" s="89" t="str">
        <x:v>Прозрачный аэрографный фильтр</x:v>
      </x:c>
      <x:c r="C33" s="89" t="str">
        <x:v>Готовая светотень → сильно прозрачный Ink/Contrast/Shade → высушить → повторить локально → вернуть крайние блики</x:v>
      </x:c>
      <x:c r="D33" s="89" t="str">
        <x:v>Candy-metal, гризайль, цветная броня и OSL.</x:v>
      </x:c>
      <x:c r="E33" s="89" t="str">
        <x:v>Через аэрограф Shade и Contrast работают как фильтры, а не как автоматическая проливка углублений.</x:v>
      </x:c>
    </x:row>
    <x:row r="34">
      <x:c r="A34" s="90" t="n">
        <x:v>31</x:v>
      </x:c>
      <x:c r="B34" s="89" t="str">
        <x:v>Очистка между цветами</x:v>
      </x:c>
      <x:c r="C34" s="89" t="str">
        <x:v>Слить остаток → промыть водой/cleaner → распылить cleaner в spray-out pot → протереть иглу → следующий цвет</x:v>
      </x:c>
      <x:c r="D34" s="89" t="str">
        <x:v>Каждая смена цвета и конец сессии.</x:v>
      </x:c>
      <x:c r="E34" s="89" t="str">
        <x:v>Не оставлять акрил высыхать в сопле; полноценную разборку делать по необходимости, не затягивая резьбы и сопло.</x:v>
      </x:c>
    </x:row>
    <x:row r="35">
      <x:c r="A35" s="90" t="n">
        <x:v>32</x:v>
      </x:c>
      <x:c r="B35" s="89" t="str">
        <x:v>Безопасность аэрографа</x:v>
      </x:c>
      <x:c r="C35" s="89" t="str">
        <x:v>Вентиляция/вытяжка → маска от аэрозоля → spray-out pot при очистке → не распылять масла и растворительные материалы в обычном акриловом процессе</x:v>
      </x:c>
      <x:c r="D35" s="89" t="str">
        <x:v>Все аэрографные работы.</x:v>
      </x:c>
      <x:c r="E35" s="89" t="str">
        <x:v>Даже водные акрилы создают мелкодисперсный туман; соблюдать маркировку конкретного thinner и краски.</x:v>
      </x:c>
    </x:row>
    <x:row r="36">
      <x:c r="A36" s="90" t="n">
        <x:v>33</x:v>
      </x:c>
      <x:c r="B36" s="89" t="str">
        <x:v>Комплементарный андерпейнт</x:v>
      </x:c>
      <x:c r="C36" s="89" t="str">
        <x:v>Дополнительный цвет только в тени → полностью высушить → основной цвет прозрачными слоями → восстановить насыщенный свет</x:v>
      </x:c>
      <x:c r="D36" s="89" t="str">
        <x:v>Красная, жёлтая и оранжевая демонстрационная броня.</x:v>
      </x:c>
      <x:c r="E36" s="89" t="str">
        <x:v>Не смешивать дополнительные цвета мокрыми: переход станет серо-коричневым.</x:v>
      </x:c>
    </x:row>
    <x:row r="37">
      <x:c r="A37" s="90" t="n">
        <x:v>34</x:v>
      </x:c>
      <x:c r="B37" s="89" t="str">
        <x:v>Countershading</x:v>
      </x:c>
      <x:c r="C37" s="89" t="str">
        <x:v>Тёмная спина → средние бока → светлый живот → глазурь на переходе → фактура чешуи/кожи</x:v>
      </x:c>
      <x:c r="D37" s="89" t="str">
        <x:v>Рептилии, звери и натуралистические существа.</x:v>
      </x:c>
      <x:c r="E37" s="89" t="str">
        <x:v>Граница зависит от анатомии и направления света, а не проходит ровной линией.</x:v>
      </x:c>
    </x:row>
    <x:row r="38">
      <x:c r="A38" s="90" t="n">
        <x:v>35</x:v>
      </x:c>
      <x:c r="B38" s="89" t="str">
        <x:v>Stippling</x:v>
      </x:c>
      <x:c r="C38" s="89" t="str">
        <x:v>Тёмная база → крупные точки среднего тона → более мелкие светлые точки → объединяющая глазурь</x:v>
      </x:c>
      <x:c r="D38" s="89" t="str">
        <x:v>Грубая кожа, чешуя, ткань и коррозия.</x:v>
      </x:c>
      <x:c r="E38" s="89" t="str">
        <x:v>Плотность и размер точек уменьшаются к свету; равномерная сетка выглядит искусственно.</x:v>
      </x:c>
    </x:row>
    <x:row r="39">
      <x:c r="A39" s="90" t="n">
        <x:v>36</x:v>
      </x:c>
      <x:c r="B39" s="89" t="str">
        <x:v>Black basing</x:v>
      </x:c>
      <x:c r="C39" s="89" t="str">
        <x:v>Black Primer → нерегулярный серый mottling → белые редкие пятна → прозрачный основной цвет</x:v>
      </x:c>
      <x:c r="D39" s="89" t="str">
        <x:v>Броня и органика с неоднородной поверхностью.</x:v>
      </x:c>
      <x:c r="E39" s="89" t="str">
        <x:v>Не выравнивать прозрачный цвет до потери mottling.</x:v>
      </x:c>
    </x:row>
    <x:row r="40">
      <x:c r="A40" s="90" t="n">
        <x:v>37</x:v>
      </x:c>
      <x:c r="B40" s="89" t="str">
        <x:v>Маскирование аэрографа</x:v>
      </x:c>
      <x:c r="C40" s="89" t="str">
        <x:v>База → полное высыхание → слабоклейкая маска → сухой первый проход → цвет → снять маску назад под углом</x:v>
      </x:c>
      <x:c r="D40" s="89" t="str">
        <x:v>Камуфляж, полосы, окна и декоративная геометрия.</x:v>
      </x:c>
      <x:c r="E40" s="89" t="str">
        <x:v>Слишком мокрый слой затекает, а свежая база может оторваться вместе с маской.</x:v>
      </x:c>
    </x:row>
    <x:row r="41">
      <x:c r="A41" s="90" t="n">
        <x:v>38</x:v>
      </x:c>
      <x:c r="B41" s="89" t="str">
        <x:v>Масляное картирование</x:v>
      </x:c>
      <x:c r="C41" s="89" t="str">
        <x:v>Отверждённый лак → Burnt Umber/Payne Grey/Lamp Black по разным зонам → снять с выступов → полностью высушить</x:v>
      </x:c>
      <x:c r="D41" s="89" t="str">
        <x:v>Гримдарк, техника и сложные поверхности.</x:v>
      </x:c>
      <x:c r="E41" s="89" t="str">
        <x:v>Сохранять различие тёплой грязи, холодной тени и сажи; не смешивать всё в общий фильтр.</x:v>
      </x:c>
    </x:row>
    <x:row r="42">
      <x:c r="A42" s="90" t="n">
        <x:v>39</x:v>
      </x:c>
      <x:c r="B42" s="89" t="str">
        <x:v>Мокрая органика</x:v>
      </x:c>
      <x:c r="C42" s="89" t="str">
        <x:v>Светлая плоть → красно-малиновые глазури → вернуть свет → чистые белые glints → общий Matt → локальный Gloss/Blood/Viscera</x:v>
      </x:c>
      <x:c r="D42" s="89" t="str">
        <x:v>Раны, внутренности, слизь и влажная кожа.</x:v>
      </x:c>
      <x:c r="E42" s="89" t="str">
        <x:v>Белые glints малы и резки; общий глянец по коже уничтожает различие материалов.</x:v>
      </x:c>
    </x:row>
    <x:row r="43">
      <x:c r="A43" s="90" t="n">
        <x:v>40</x:v>
      </x:c>
      <x:c r="B43" s="89" t="str">
        <x:v>Лак, стекло и фарфор</x:v>
      </x:c>
      <x:c r="C43" s="89" t="str">
        <x:v>Глубокий базовый цвет → ограниченные отражённые полосы → White line/dot → Gloss Varnish</x:v>
      </x:c>
      <x:c r="D43" s="89" t="str">
        <x:v>Эмаль, линзы, обсидиан, керамика.</x:v>
      </x:c>
      <x:c r="E43" s="89" t="str">
        <x:v>Форма отражения важнее количества промежуточных слоёв.</x:v>
      </x:c>
    </x:row>
    <x:row r="44">
      <x:c r="A44" s="90" t="n">
        <x:v>41</x:v>
      </x:c>
      <x:c r="B44" s="89" t="str">
        <x:v>Дым</x:v>
      </x:c>
      <x:c r="C44" s="89" t="str">
        <x:v>Тёмная плотная зона у источника → средние клубы → светлые рассеивающиеся края → объединяющая glaze</x:v>
      </x:c>
      <x:c r="D44" s="89" t="str">
        <x:v>Выхлопной и магический дым.</x:v>
      </x:c>
      <x:c r="E44" s="89" t="str">
        <x:v>Избегать одинаковой обводки каждого клубка; дым должен оставаться мягким.</x:v>
      </x:c>
    </x:row>
    <x:row r="45">
      <x:c r="A45" s="90" t="n">
        <x:v>42</x:v>
      </x:c>
      <x:c r="B45" s="89" t="str">
        <x:v>Термическое окрашивание металла</x:v>
      </x:c>
      <x:c r="C45" s="89" t="str">
        <x:v>Полированный металл → прозрачный Yellow Ink → Violet Ink → Blue Ink → копоть → вернуть Silver</x:v>
      </x:c>
      <x:c r="D45" s="89" t="str">
        <x:v>Выхлопы, стволы и нагретые детали.</x:v>
      </x:c>
      <x:c r="E45" s="89" t="str">
        <x:v>Каждый цвет тонкий и частично перекрывает предыдущий; металл остаётся виден.</x:v>
      </x:c>
    </x:row>
    <x:row r="46">
      <x:c r="A46" s="90" t="n">
        <x:v>43</x:v>
      </x:c>
      <x:c r="B46" s="89" t="str">
        <x:v>Патина бронзы и меди</x:v>
      </x:c>
      <x:c r="C46" s="89" t="str">
        <x:v>Тёмный металл → Shade → Nihilakh Oxide в углубления → вернуть тёплый металл → яркий износ</x:v>
      </x:c>
      <x:c r="D46" s="89" t="str">
        <x:v>Старая бронза, медь и статуи.</x:v>
      </x:c>
      <x:c r="E46" s="89" t="str">
        <x:v>Патина появляется в защищённых местах, а не на постоянно трущихся кромках.</x:v>
      </x:c>
    </x:row>
    <x:row r="47">
      <x:c r="A47" s="90" t="n">
        <x:v>44</x:v>
      </x:c>
      <x:c r="B47" s="89" t="str">
        <x:v>Разделённый финиш</x:v>
      </x:c>
      <x:c r="C47" s="89" t="str">
        <x:v>Общий Matt Varnish → маскировать/локально нанести Satin, Gloss или Metal Varnish → восстановить Technical</x:v>
      </x:c>
      <x:c r="D47" s="89" t="str">
        <x:v>Модель с тканью, металлом, мокрой кожей и слизью одновременно.</x:v>
      </x:c>
      <x:c r="E47" s="89" t="str">
        <x:v>Одинаковый лак на всех материалах уменьшает различие между ними.</x:v>
      </x:c>
    </x:row>
    <x:row r="48">
      <x:c r="A48" s="90" t="n">
        <x:v>45</x:v>
      </x:c>
      <x:c r="B48" s="89" t="str">
        <x:v>Вариация оттенка кожи</x:v>
      </x:c>
      <x:c r="C48" s="89" t="str">
        <x:v>Выбрать андертон → добавить его в базу малой долей → тени сохранить цветными → света вести через обычные flesh tones → объединить skin glaze</x:v>
      </x:c>
      <x:c r="D48" s="89" t="str">
        <x:v>Разнообразные человеческие и гуманоидные лица.</x:v>
      </x:c>
      <x:c r="E48" s="89" t="str">
        <x:v>Андертон меняет температуру кожи, но не должен читаться отдельным зелёным, синим или розовым слоем.</x:v>
      </x:c>
    </x:row>
    <x:row r="49">
      <x:c r="A49" s="90" t="n">
        <x:v>46</x:v>
      </x:c>
      <x:c r="B49" s="89" t="str">
        <x:v>Татуировки и вены</x:v>
      </x:c>
      <x:c r="C49" s="89" t="str">
        <x:v>Тонкий синий freehand → высушить → полупрозрачный телесный слой сверху → вернуть света кожи</x:v>
      </x:c>
      <x:c r="D49" s="89" t="str">
        <x:v>Персонажи, псайкеры и крупные модели.</x:v>
      </x:c>
      <x:c r="E49" s="89" t="str">
        <x:v>Без телесной глазури рисунок выглядит нанесённым на поверхность, а не находящимся под кожей.</x:v>
      </x:c>
    </x:row>
    <x:row r="50">
      <x:c r="A50" s="90" t="n">
        <x:v>47</x:v>
      </x:c>
      <x:c r="B50" s="89" t="str">
        <x:v>Freehand по шаблону</x:v>
      </x:c>
      <x:c r="C50" s="89" t="str">
        <x:v>Тонкая разбавленная разметка → заполнение крупных областей → коррекция базой → внутренние света → износ</x:v>
      </x:c>
      <x:c r="D50" s="89" t="str">
        <x:v>Шахматы, четвертование, номера и орнаменты.</x:v>
      </x:c>
      <x:c r="E50" s="89" t="str">
        <x:v>Официальная рекомендация: сначала создать шаблон и терпеливо исправлять форму, а не пытаться сразу получить идеальную линию.</x:v>
      </x:c>
    </x:row>
    <x:row r="51">
      <x:c r="A51" s="90" t="n">
        <x:v>48</x:v>
      </x:c>
      <x:c r="B51" s="89" t="str">
        <x:v>Молнии</x:v>
      </x:c>
      <x:c r="C51" s="89" t="str">
        <x:v>Ломаная средняя линия → короткие более светлые сегменты внутри → White точки в узлах → цветная glaze вокруг части ветвей</x:v>
      </x:c>
      <x:c r="D51" s="89" t="str">
        <x:v>Night Lords, энергетические панели и магические трещины.</x:v>
      </x:c>
      <x:c r="E51" s="89" t="str">
        <x:v>Основная и внутренняя линии имеют разную длину; молния не является плавной синусоидой.</x:v>
      </x:c>
    </x:row>
    <x:row r="52">
      <x:c r="A52" s="90" t="n">
        <x:v>49</x:v>
      </x:c>
      <x:c r="B52" s="89" t="str">
        <x:v>Акриловый streaking</x:v>
      </x:c>
      <x:c r="C52" s="89" t="str">
        <x:v>Сильно разбавленный тёмный цвет → тонкая вертикальная линия от источника → влажной кистью растянуть вниз → светлый/тёмный второй оттенок</x:v>
      </x:c>
      <x:c r="D52" s="89" t="str">
        <x:v>Земляные, пылевые и ржавые потёки.</x:v>
      </x:c>
      <x:c r="E52" s="89" t="str">
        <x:v>Начало потёка насыщеннее конца; разные оттенки и порядок нанесения создают естественную вариативность.</x:v>
      </x:c>
    </x:row>
    <x:row r="53">
      <x:c r="A53" s="90" t="n">
        <x:v>50</x:v>
      </x:c>
      <x:c r="B53" s="89" t="str">
        <x:v>Дождевые дорожки</x:v>
      </x:c>
      <x:c r="C53" s="89" t="str">
        <x:v>Тонкий общий пылевой фильтр → частично подсушить → влажной кистью снять узкие вертикальные каналы → вернуть грязь у верхних точек</x:v>
      </x:c>
      <x:c r="D53" s="89" t="str">
        <x:v>Пыльная техника и крупная броня.</x:v>
      </x:c>
      <x:c r="E53" s="89" t="str">
        <x:v>Дождь очищает поверхность, поэтому эффект создаётся удалением пыли, а не рисованием светлых полос.</x:v>
      </x:c>
    </x:row>
    <x:row r="54">
      <x:c r="A54" s="90" t="n">
        <x:v>51</x:v>
      </x:c>
      <x:c r="B54" s="89" t="str">
        <x:v>Цветозависимые сколы</x:v>
      </x:c>
      <x:c r="C54" s="89" t="str">
        <x:v>Светлый вариант основной краски → тёмный Deep Brown центр → metal только в части глубоких сколов</x:v>
      </x:c>
      <x:c r="D54" s="89" t="str">
        <x:v>Белая, чёрная, красная и цветная броня.</x:v>
      </x:c>
      <x:c r="E54" s="89" t="str">
        <x:v>Светлая окантовка должна принадлежать цвету брони; универсальный бежевый подходит не для каждой схемы.</x:v>
      </x:c>
    </x:row>
    <x:row r="55">
      <x:c r="A55" s="90" t="n">
        <x:v>52</x:v>
      </x:c>
      <x:c r="B55" s="89" t="str">
        <x:v>Xpress в два уровня</x:v>
      </x:c>
      <x:c r="C55" s="89" t="str">
        <x:v>Светлая подложка → Xpress + Xpress Medium 1:1 → чистый Xpress только в глубине → непрозрачные света → Xpress glaze 1:5</x:v>
      </x:c>
      <x:c r="D55" s="89" t="str">
        <x:v>Black Lotus, Mystic Blue и другие Xpress.</x:v>
      </x:c>
      <x:c r="E55" s="89" t="str">
        <x:v>Не заменять Xpress Medium водой или Contrast Medium, когда важно сохранить матовую фирменную работу системы.</x:v>
      </x:c>
    </x:row>
    <x:row r="56">
      <x:c r="A56" s="90" t="n">
        <x:v>53</x:v>
      </x:c>
      <x:c r="B56" s="89" t="str">
        <x:v>Яркий Contrast по белой подложке</x:v>
      </x:c>
      <x:c r="C56" s="89" t="str">
        <x:v>White/Ivory Primer → Contrast по секциям → непрозрачный свет → Fluorescent/White локально</x:v>
      </x:c>
      <x:c r="D56" s="89" t="str">
        <x:v>Magmadroth, Striking Scorpion, Iyanden и светящиеся эффекты.</x:v>
      </x:c>
      <x:c r="E56" s="89" t="str">
        <x:v>Тёмная подложка резко уменьшает яркость высоконасыщенных прозрачных цветов.</x:v>
      </x:c>
    </x:row>
    <x:row r="57">
      <x:c r="A57" s="90" t="n">
        <x:v>54</x:v>
      </x:c>
      <x:c r="B57" s="89" t="str">
        <x:v>Contrast в двух насыщенностях</x:v>
      </x:c>
      <x:c r="C57" s="89" t="str">
        <x:v>Contrast + Medium как основной слой → высушить → чистый Contrast только в углубления → drybrush/layer света</x:v>
      </x:c>
      <x:c r="D57" s="89" t="str">
        <x:v>Кожа, чешуя, мех и глубокая ткань.</x:v>
      </x:c>
      <x:c r="E57" s="89" t="str">
        <x:v>Чистая краска не должна повторно покрывать всю поверхность.</x:v>
      </x:c>
    </x:row>
    <x:row r="58">
      <x:c r="A58" s="90" t="n">
        <x:v>55</x:v>
      </x:c>
      <x:c r="B58" s="89" t="str">
        <x:v>Dry metallic</x:v>
      </x:c>
      <x:c r="C58" s="89" t="str">
        <x:v>Тёмный Base metal → Shade → почти сухой Golden Griffon/Necron Compound → обычный яркий металл точечно</x:v>
      </x:c>
      <x:c r="D58" s="89" t="str">
        <x:v>Рельефная древняя броня и механизм.</x:v>
      </x:c>
      <x:c r="E58" s="89" t="str">
        <x:v>Пастообразный Dry не предназначен для гладкой панельной модуляции.</x:v>
      </x:c>
    </x:row>
    <x:row r="59">
      <x:c r="A59" s="90" t="n">
        <x:v>56</x:v>
      </x:c>
      <x:c r="B59" s="89" t="str">
        <x:v>Mordant Earth по цветному подслою</x:v>
      </x:c>
      <x:c r="C59" s="89" t="str">
        <x:v>Светлая база → яркий Contrast/Fluorescent → полное высыхание → достаточно толстый Mordant Earth → финиш разделить</x:v>
      </x:c>
      <x:c r="D59" s="89" t="str">
        <x:v>Лава, токсичная земля и магические трещины.</x:v>
      </x:c>
      <x:c r="E59" s="89" t="str">
        <x:v>Трещины показывают подслой; если он тусклый, crackle не создаст свечение самостоятельно.</x:v>
      </x:c>
    </x:row>
    <x:row r="60">
      <x:c r="A60" s="90" t="n">
        <x:v>57</x:v>
      </x:c>
      <x:c r="B60" s="89" t="str">
        <x:v>Окрашенный снег</x:v>
      </x:c>
      <x:c r="C60" s="89" t="str">
        <x:v>Light Earth как рельеф → полное высыхание → Bonewhite → White Grey → White → холодная тень/вода локально</x:v>
      </x:c>
      <x:c r="D60" s="89" t="str">
        <x:v>Свежий и тающий снег без специальной пасты.</x:v>
      </x:c>
      <x:c r="E60" s="89" t="str">
        <x:v>Фактурный материал используется только как основа и должен быть полностью перекрыт цветом снега.</x:v>
      </x:c>
    </x:row>
    <x:row r="61">
      <x:c r="A61" s="90" t="n">
        <x:v>58</x:v>
      </x:c>
      <x:c r="B61" s="89" t="str">
        <x:v>Пепельная пустошь</x:v>
      </x:c>
      <x:c r="C61" s="89" t="str">
        <x:v>Asphalt → Basilicanum Grey filter → Sea Grey soft drybrush → White Grey минимально → Lamp Black в глубину</x:v>
      </x:c>
      <x:c r="D61" s="89" t="str">
        <x:v>Ash Wastes и вулканические основания.</x:v>
      </x:c>
      <x:c r="E61" s="89" t="str">
        <x:v>Не доводить светлый drybrush до контраста обычного гранита.</x:v>
      </x:c>
    </x:row>
    <x:row r="62">
      <x:c r="A62" s="90" t="n">
        <x:v>59</x:v>
      </x:c>
      <x:c r="B62" s="89" t="str">
        <x:v>NMM — карта значений</x:v>
      </x:c>
      <x:c r="C62" s="89" t="str">
        <x:v>Определить источник света → нанести Black и White reflection blocks → добавить средние тона → glaze переходы → вернуть чистый White</x:v>
      </x:c>
      <x:c r="D62" s="89" t="str">
        <x:v>Серебро, золото, бронза и медь без metallic paints.</x:v>
      </x:c>
      <x:c r="E62" s="89" t="str">
        <x:v>Плавный переход вторичен; без крайних значений поверхность не будет читаться металлом.</x:v>
      </x:c>
    </x:row>
    <x:row r="63">
      <x:c r="A63" s="90" t="n">
        <x:v>60</x:v>
      </x:c>
      <x:c r="B63" s="89" t="str">
        <x:v>NMM gold</x:v>
      </x:c>
      <x:c r="C63" s="89" t="str">
        <x:v>Deep Brown → Orange/Brown → Yellow/Ochre → Pale Sand → White → Sepia glaze только в переходы</x:v>
      </x:c>
      <x:c r="D63" s="89" t="str">
        <x:v>Яркое и старое золото.</x:v>
      </x:c>
      <x:c r="E63" s="89" t="str">
        <x:v>White занимает очень малую площадь, а Deep Brown должен оставаться рядом с яркими отражениями.</x:v>
      </x:c>
    </x:row>
    <x:row r="64">
      <x:c r="A64" s="90" t="n">
        <x:v>61</x:v>
      </x:c>
      <x:c r="B64" s="89" t="str">
        <x:v>SENMM</x:v>
      </x:c>
      <x:c r="C64" s="89" t="str">
        <x:v>Холодное небо → White horizon → тёплая земля → повтор отражения по противоположной стороне формы</x:v>
      </x:c>
      <x:c r="D64" s="89" t="str">
        <x:v>Хром и демонстрационные клинки.</x:v>
      </x:c>
      <x:c r="E64" s="89" t="str">
        <x:v>Линия горизонта резкая; reflection map огибает объём.</x:v>
      </x:c>
    </x:row>
    <x:row r="65">
      <x:c r="A65" s="90" t="n">
        <x:v>62</x:v>
      </x:c>
      <x:c r="B65" s="89" t="str">
        <x:v>Technical gemstones</x:v>
      </x:c>
      <x:c r="C65" s="89" t="str">
        <x:v>Runefang base → Nuln upper half → Soulstone/Spiritstone/Waystone → светлая нижняя дуга → White opposite point → Gloss</x:v>
      </x:c>
      <x:c r="D65" s="89" t="str">
        <x:v>Камни и линзы.</x:v>
      </x:c>
      <x:c r="E65" s="89" t="str">
        <x:v>Не наносить матовый лак поверх готового Technical; восстановить Gloss после общего финиша.</x:v>
      </x:c>
    </x:row>
    <x:row r="66">
      <x:c r="A66" s="90" t="n">
        <x:v>63</x:v>
      </x:c>
      <x:c r="B66" s="89" t="str">
        <x:v>Прозрачная мембрана</x:v>
      </x:c>
      <x:c r="C66" s="89" t="str">
        <x:v>White Grey → прозрачный цвет по краям/жилкам → вернуть светлый центр → White upper veins → Satin</x:v>
      </x:c>
      <x:c r="D66" s="89" t="str">
        <x:v>Крылья, плавники и тонкие магические материалы.</x:v>
      </x:c>
      <x:c r="E66" s="89" t="str">
        <x:v>Центр должен оставаться светлее и менее насыщенным, чем край.</x:v>
      </x:c>
    </x:row>
    <x:row r="67">
      <x:c r="A67" s="90" t="n">
        <x:v>64</x:v>
      </x:c>
      <x:c r="B67" s="89" t="str">
        <x:v>Внутренний свет кристалла</x:v>
      </x:c>
      <x:c r="C67" s="89" t="str">
        <x:v>Тёмные внешние грани → насыщенный средний цвет → светлый внутренний центр → White inside point → Gloss</x:v>
      </x:c>
      <x:c r="D67" s="89" t="str">
        <x:v>Янтарь, аметист и крупные кристаллы.</x:v>
      </x:c>
      <x:c r="E67" s="89" t="str">
        <x:v>Свет строится внутрь объекта, а не только по внешним кромкам.</x:v>
      </x:c>
    </x:row>
    <x:row r="68">
      <x:c r="A68" s="90" t="n">
        <x:v>65</x:v>
      </x:c>
      <x:c r="B68" s="89" t="str">
        <x:v>Agrellan Earth/Badland</x:v>
      </x:c>
      <x:c r="C68" s="89" t="str">
        <x:v>Тёмная сухая подложка → достаточно толстая Texture → полное высыхание → Shade в cracks → drybrush по рельефу</x:v>
      </x:c>
      <x:c r="D68" s="89" t="str">
        <x:v>Сухая растрескавшаяся земля.</x:v>
      </x:c>
      <x:c r="E68" s="89" t="str">
        <x:v>Earth даёт более гладкую поверхность, Badland — более грубую зернистую.</x:v>
      </x:c>
    </x:row>
    <x:row r="69">
      <x:c r="A69" t="n">
        <x:v>66</x:v>
      </x:c>
      <x:c r="B69" t="str">
        <x:v>Свежие брызги крови</x:v>
      </x:c>
      <x:c r="C69" t="str">
        <x:v>Gory Red крупно и редко → AK Blood Red мельче → Blood for the Blood God выборочно → общий материал оставить видимым</x:v>
      </x:c>
      <x:c r="D69" t="str">
        <x:v>Броня, оружие и холодная плоть.</x:v>
      </x:c>
      <x:c r="E69" t="str">
        <x:v>Размер капель уменьшается от источника; официальный совет для scenery и армий — less is more.</x:v>
      </x:c>
    </x:row>
    <x:row r="70">
      <x:c r="A70" t="n">
        <x:v>67</x:v>
      </x:c>
      <x:c r="B70" t="str">
        <x:v>Skin cloak</x:v>
      </x:c>
      <x:c r="C70" t="str">
        <x:v>Skin base → Shade по складкам → телесные света → разные холодные/красные пятна → швы → локальная кровь/Gloss</x:v>
      </x:c>
      <x:c r="D70" t="str">
        <x:v>Содранные плащи и трофеи.</x:v>
      </x:c>
      <x:c r="E70" t="str">
        <x:v>Сохранять направление складок ткани, но передавать материал цветом кожи и локальной влажностью.</x:v>
      </x:c>
    </x:row>
    <x:row r="71">
      <x:c r="A71" t="n">
        <x:v>68</x:v>
      </x:c>
      <x:c r="B71" t="str">
        <x:v>Oil pin-wash</x:v>
      </x:c>
      <x:c r="C71" t="str">
        <x:v>Полностью высохший Gloss → жидкое масло точечно в швы → капиллярное растекание → снять излишек → полное высыхание → финиш</x:v>
      </x:c>
      <x:c r="D71" t="str">
        <x:v>Панельные линии и механика.</x:v>
      </x:c>
      <x:c r="E71" t="str">
        <x:v>Не превращать pin-wash в общую масляную проливку всей поверхности.</x:v>
      </x:c>
    </x:row>
    <x:row r="72">
      <x:c r="A72" t="n">
        <x:v>69</x:v>
      </x:c>
      <x:c r="B72" t="str">
        <x:v>Oil mapping</x:v>
      </x:c>
      <x:c r="C72" t="str">
        <x:v>Satin → Burnt Umber в тёплые низы → Payne Grey в холодные тени → Lamp Black у копоти → растушевать раздельно</x:v>
      </x:c>
      <x:c r="D72" t="str">
        <x:v>Крупная броня, техника и монстры.</x:v>
      </x:c>
      <x:c r="E72" t="str">
        <x:v>Каждое масло имеет отдельную физическую роль и отдельную зону.</x:v>
      </x:c>
    </x:row>
    <x:row r="73">
      <x:c r="A73" t="n">
        <x:v>70</x:v>
      </x:c>
      <x:c r="B73" t="str">
        <x:v>Digital camo</x:v>
      </x:c>
      <x:c r="C73" t="str">
        <x:v>База → кластеры прямоугольников крупного размера → средние блоки → редкие малые accents → общий filter</x:v>
      </x:c>
      <x:c r="D73" t="str">
        <x:v>Городская и sci-fi броня.</x:v>
      </x:c>
      <x:c r="E73" t="str">
        <x:v>Не использовать регулярную сетку одинаковых квадратов.</x:v>
      </x:c>
    </x:row>
    <x:row r="74">
      <x:c r="A74" t="n">
        <x:v>71</x:v>
      </x:c>
      <x:c r="B74" t="str">
        <x:v>Winter whitewash</x:v>
      </x:c>
      <x:c r="C74" t="str">
        <x:v>Старая окраска → Chipping Medium → White Grey/White тонко → вода и скалывание → dirt streaks → разделённый финиш</x:v>
      </x:c>
      <x:c r="D74" t="str">
        <x:v>Зимняя техника и крупная броня.</x:v>
      </x:c>
      <x:c r="E74" t="str">
        <x:v>Белый слой показывает временную побелку, а не новый заводской цвет.</x:v>
      </x:c>
    </x:row>
    <x:row r="75">
      <x:c r="A75" t="n">
        <x:v>72</x:v>
      </x:c>
      <x:c r="B75" t="str">
        <x:v>Stealth-field transition</x:v>
      </x:c>
      <x:c r="C75" t="str">
        <x:v>Готовая окраска → рваная White Grey граница через всю модель → Frostheart/Baharroth glow → White nodes → исчезающая сторона</x:v>
      </x:c>
      <x:c r="D75" t="str">
        <x:v>Stealth units и энергетические эффекты.</x:v>
      </x:c>
      <x:c r="E75" t="str">
        <x:v>Эффект пересекает броню, ткань, оружие и базу как единое поле.</x:v>
      </x:c>
    </x:row>
    <x:row r="76">
      <x:c r="A76" t="n">
        <x:v>73</x:v>
      </x:c>
      <x:c r="B76" t="str">
        <x:v>Локальное восстановление финиша</x:v>
      </x:c>
      <x:c r="C76" t="str">
        <x:v>Общий Matt → Metal Varnish на металлы → Satin на кожу/шёлк → Gloss на камни/кровь/жидкости → вернуть micro-highlights</x:v>
      </x:c>
      <x:c r="D76" t="str">
        <x:v>Любая модель со смешанными материалами.</x:v>
      </x:c>
      <x:c r="E76" t="str">
        <x:v>Не исправлять слишком матовый финиш одним общим мокрым Gloss-слоем.</x:v>
      </x:c>
    </x:row>
    <x:row r="77">
      <x:c r="A77" t="n">
        <x:v>74</x:v>
      </x:c>
      <x:c r="B77" t="str">
        <x:v>Планирование света</x:v>
      </x:c>
      <x:c r="C77" t="str">
        <x:v>Зафиксировать модель → выбрать главный источник → сделать монохромную карту → назначить лицо/оружие фокусом → только затем наносить цвет</x:v>
      </x:c>
      <x:c r="D77" t="str">
        <x:v>Персонажи и дисплейные модели.</x:v>
      </x:c>
      <x:c r="E77" t="str">
        <x:v>Смена положения источника между материалами разрушает единую сцену.</x:v>
      </x:c>
    </x:row>
    <x:row r="78">
      <x:c r="A78" t="n">
        <x:v>75</x:v>
      </x:c>
      <x:c r="B78" t="str">
        <x:v>Направленный аэрографный свет</x:v>
      </x:c>
      <x:c r="C78" t="str">
        <x:v>Тёмная база → средний тон только со стороны источника → меньший свет → селективные кромки → glaze</x:v>
      </x:c>
      <x:c r="D78" t="str">
        <x:v>Броня, кожа и ткань.</x:v>
      </x:c>
      <x:c r="E78" t="str">
        <x:v>Не вращать модель как при обычной зенитали.</x:v>
      </x:c>
    </x:row>
    <x:row r="79">
      <x:c r="A79" t="n">
        <x:v>76</x:v>
      </x:c>
      <x:c r="B79" t="str">
        <x:v>Rim light</x:v>
      </x:c>
      <x:c r="C79" t="str">
        <x:v>Определить задний источник → провести среднюю линию по силуэту → сузить более светлым цветом → White nodes</x:v>
      </x:c>
      <x:c r="D79" t="str">
        <x:v>Тёмные модели и сценический свет.</x:v>
      </x:c>
      <x:c r="E79" t="str">
        <x:v>Rim существует только на обращённом к источнику силуэте.</x:v>
      </x:c>
    </x:row>
    <x:row r="80">
      <x:c r="A80" t="n">
        <x:v>77</x:v>
      </x:c>
      <x:c r="B80" t="str">
        <x:v>Bounce light</x:v>
      </x:c>
      <x:c r="C80" t="str">
        <x:v>Закончить модель и базу → слабый прозрачный фильтр снизу → несколько отражённых кромок → сравнить яркость с источником</x:v>
      </x:c>
      <x:c r="D80" t="str">
        <x:v>Лава, снег и яркая земля.</x:v>
      </x:c>
      <x:c r="E80" t="str">
        <x:v>Отражённый свет слабее, шире и мягче прямого.</x:v>
      </x:c>
    </x:row>
    <x:row r="81">
      <x:c r="A81" t="n">
        <x:v>78</x:v>
      </x:c>
      <x:c r="B81" t="str">
        <x:v>Фокусная иерархия</x:v>
      </x:c>
      <x:c r="C81" t="str">
        <x:v>Лицо/оружие +1 уровень света → низ модели −1 уровень насыщенности → вторичные детали без White maximum</x:v>
      </x:c>
      <x:c r="D81" t="str">
        <x:v>Любая миниатюра.</x:v>
      </x:c>
      <x:c r="E81" t="str">
        <x:v>Один главный и максимум один вторичный фокус.</x:v>
      </x:c>
    </x:row>
    <x:row r="82">
      <x:c r="A82" t="n">
        <x:v>79</x:v>
      </x:c>
      <x:c r="B82" t="str">
        <x:v>Гибрид TMM/NMM</x:v>
      </x:c>
      <x:c r="C82" t="str">
        <x:v>Настоящий металлический Base → широкие световые blocks → резкая тёмная зона рядом → узкие bright reflections → Metal Varnish</x:v>
      </x:c>
      <x:c r="D82" t="str">
        <x:v>Золото и сталь персонажей.</x:v>
      </x:c>
      <x:c r="E82" t="str">
        <x:v>Металлик не заменяет планирование отражений.</x:v>
      </x:c>
    </x:row>
    <x:row r="83">
      <x:c r="A83" t="n">
        <x:v>80</x:v>
      </x:c>
      <x:c r="B83" t="str">
        <x:v>Армейский batch</x:v>
      </x:c>
      <x:c r="C83" t="str">
        <x:v>Один этап на всех 3–5 моделях → следующая краска → детали по одной модели → общий weathering/filter → общий varnish pass</x:v>
      </x:c>
      <x:c r="D83" t="str">
        <x:v>Серийная армейская покраска.</x:v>
      </x:c>
      <x:c r="E83" t="str">
        <x:v>Большая группа снижает контроль; пять сложных моделей — практический верхний предел цикла.</x:v>
      </x:c>
    </x:row>
    <x:row r="84">
      <x:c r="A84" t="n">
        <x:v>81</x:v>
      </x:c>
      <x:c r="B84" t="str">
        <x:v>Тест аэрографной смеси</x:v>
      </x:c>
      <x:c r="C84" t="str">
        <x:v>Тот же primer → три ratios → несколько PSI → одинаковая дистанция → оценить coverage/smoothness/control → записать результат</x:v>
      </x:c>
      <x:c r="D84" t="str">
        <x:v>Новая краска или изменение thinner.</x:v>
      </x:c>
      <x:c r="E84" t="str">
        <x:v>Не переносить настройки одной краски автоматически на другую.</x:v>
      </x:c>
    </x:row>
    <x:row r="85">
      <x:c r="A85" t="n">
        <x:v>82</x:v>
      </x:c>
      <x:c r="B85" t="str">
        <x:v>Финальный QC</x:v>
      </x:c>
      <x:c r="C85" t="str">
        <x:v>Рабочая лампа → игровая дистанция → grayscale photo → проверить силуэт/focus → исправить три главных дефекта → удалить пыль → varnish map</x:v>
      </x:c>
      <x:c r="D85" t="str">
        <x:v>Перед финальным лаком.</x:v>
      </x:c>
      <x:c r="E85" t="str">
        <x:v>После лака часть исправлений становится сложнее, поэтому проверка выполняется до него.</x:v>
      </x:c>
    </x:row>
    <x:row r="86">
      <x:c r="A86" t="n">
        <x:v>83</x:v>
      </x:c>
      <x:c r="B86" t="str">
        <x:v>Планирование субсборок</x:v>
      </x:c>
      <x:c r="C86" t="str">
        <x:v>Сухая сборка → отметить недоступные зоны → выбрать отдельные детали → защитить места склейки → загрунтовать на держателях</x:v>
      </x:c>
      <x:c r="D86" t="str">
        <x:v>Головы, оружие, щиты, плащи и крылья.</x:v>
      </x:c>
      <x:c r="E86" t="str">
        <x:v>Субсборка должна решать реальную проблему доступа, а не усложнять каждую модель автоматически.</x:v>
      </x:c>
    </x:row>
    <x:row r="87">
      <x:c r="A87" t="n">
        <x:v>84</x:v>
      </x:c>
      <x:c r="B87" t="str">
        <x:v>Финальный свет субсборки</x:v>
      </x:c>
      <x:c r="C87" t="str">
        <x:v>Завершить основные цвета отдельно → сухая сборка → зафиксировать источник → общий rim/bounce/filter → окончательная склейка</x:v>
      </x:c>
      <x:c r="D87" t="str">
        <x:v>Крупные детали и персонажи.</x:v>
      </x:c>
      <x:c r="E87" t="str">
        <x:v>Направленный свет проверяется на целой модели, даже если детали окрашивались отдельно.</x:v>
      </x:c>
    </x:row>
    <x:row r="88">
      <x:c r="A88" t="n">
        <x:v>85</x:v>
      </x:c>
      <x:c r="B88" t="str">
        <x:v>Защита готового материала</x:v>
      </x:c>
      <x:c r="C88" t="str">
        <x:v>Полностью высушить → локальный защитный лак → масса/лента/карточка → распылять от защищённой зоны → снять → восстановить границу</x:v>
      </x:c>
      <x:c r="D88" t="str">
        <x:v>Лицо, ткань и металлы рядом с аэрографной зоной.</x:v>
      </x:c>
      <x:c r="E88" t="str">
        <x:v>Не наносить липкую ленту на хрупкие глаза, тонкие украшения и свежую краску.</x:v>
      </x:c>
    </x:row>
    <x:row r="89">
      <x:c r="A89" t="n">
        <x:v>86</x:v>
      </x:c>
      <x:c r="B89" t="str">
        <x:v>Перенос декали</x:v>
      </x:c>
      <x:c r="C89" t="str">
        <x:v>Gloss → высушить → разместить декаль → удалить воду → полностью высушить → Gloss seal → интегрировать → final finish</x:v>
      </x:c>
      <x:c r="D89" t="str">
        <x:v>Маркировки на броне и технике.</x:v>
      </x:c>
      <x:c r="E89" t="str">
        <x:v>Матовый финиш возвращается только после запечатывания и интеграции.</x:v>
      </x:c>
    </x:row>
    <x:row r="90">
      <x:c r="A90" t="n">
        <x:v>87</x:v>
      </x:c>
      <x:c r="B90" t="str">
        <x:v>Декаль на кривой поверхности</x:v>
      </x:c>
      <x:c r="C90" t="str">
        <x:v>Подрезать прозрачную плёнку → малые радиальные надрезы → центрировать → прижимать секторами → высушить → seal</x:v>
      </x:c>
      <x:c r="D90" t="str">
        <x:v>Наплечники, щиты и цилиндры.</x:v>
      </x:c>
      <x:c r="E90" t="str">
        <x:v>Не пытаться растянуть плёнку одним сильным нажатием.</x:v>
      </x:c>
    </x:row>
    <x:row r="91">
      <x:c r="A91" t="n">
        <x:v>88</x:v>
      </x:c>
      <x:c r="B91" t="str">
        <x:v>Интеграция маркировки</x:v>
      </x:c>
      <x:c r="C91" t="str">
        <x:v>Glaze фона по краю → восстановить свет → общий filter → chips → dust/streaks → OSL при наличии → final varnish</x:v>
      </x:c>
      <x:c r="D91" t="str">
        <x:v>Декали и freehand.</x:v>
      </x:c>
      <x:c r="E91" t="str">
        <x:v>Маркировка получает тот же возраст и освещение, что окружающая поверхность.</x:v>
      </x:c>
    </x:row>
    <x:row r="92">
      <x:c r="A92" t="n">
        <x:v>89</x:v>
      </x:c>
      <x:c r="B92" t="str">
        <x:v>Ремонт окраски</x:v>
      </x:c>
      <x:c r="C92" t="str">
        <x:v>Высушить ошибку → Base тонко → средний тон → направленный свет → edge → glaze → локальный finish</x:v>
      </x:c>
      <x:c r="D92" t="str">
        <x:v>Overspray, пятна и повреждения.</x:v>
      </x:c>
      <x:c r="E92" t="str">
        <x:v>Не исправлять сложный градиент одним укрывистым пятном.</x:v>
      </x:c>
    </x:row>
    <x:row r="93">
      <x:c r="A93" t="n">
        <x:v>90</x:v>
      </x:c>
      <x:c r="B93" t="str">
        <x:v>Валидация рецепта</x:v>
      </x:c>
      <x:c r="C93" t="str">
        <x:v>Recipe ID → фактические краски и настройки → время → оценка → фото → корректировка → повторить на второй модели</x:v>
      </x:c>
      <x:c r="D93" t="str">
        <x:v>Все новые и изменённые процессы.</x:v>
      </x:c>
      <x:c r="E93" t="str">
        <x:v>После двух-трёх повторений рецепт можно пометить как персонально подтверждённый.</x:v>
      </x:c>
    </x:row>
    <x:row r="94">
      <x:c r="A94" t="n">
        <x:v>91</x:v>
      </x:c>
      <x:c r="B94" t="str">
        <x:v>Крупный монстр после масла</x:v>
      </x:c>
      <x:c r="C94" t="str">
        <x:v>Полное высыхание → midtone recovery → направленный свет → stippling texture → температурные glaze → фокус лица</x:v>
      </x:c>
      <x:c r="D94" t="str">
        <x:v>Текущий демон-принц и другие большие существа.</x:v>
      </x:c>
      <x:c r="E94" t="str">
        <x:v>Масляная тень сохраняется в углублениях и не перекрывается общим акриловым слоем.</x:v>
      </x:c>
    </x:row>
    <x:row r="95">
      <x:c r="A95" t="n">
        <x:v>92</x:v>
      </x:c>
      <x:c r="B95" t="str">
        <x:v>Фактура большой кожи</x:v>
      </x:c>
      <x:c r="C95" t="str">
        <x:v>Гладкий аэрографный градиент → midtone stipple → dark pores локально → light clusters сверху → skin glaze</x:v>
      </x:c>
      <x:c r="D95" t="str">
        <x:v>Плечи, спина и конечности.</x:v>
      </x:c>
      <x:c r="E95" t="str">
        <x:v>Мягкое брюхо и лицо получают меньше фактуры.</x:v>
      </x:c>
    </x:row>
    <x:row r="96">
      <x:c r="A96" t="n">
        <x:v>93</x:v>
      </x:c>
      <x:c r="B96" t="str">
        <x:v>Пасть и зубы</x:v>
      </x:c>
      <x:c r="C96" t="str">
        <x:v>Black/red depth → Gory/Sickly inner flesh → local wet highlights → teeth from dark roots to light tips → split finish</x:v>
      </x:c>
      <x:c r="D96" t="str">
        <x:v>Крупные пасти.</x:v>
      </x:c>
      <x:c r="E96" t="str">
        <x:v>Глубина остаётся почти чёрной, зубные основания — тёплыми и тёмными.</x:v>
      </x:c>
    </x:row>
    <x:row r="97">
      <x:c r="A97" t="n">
        <x:v>94</x:v>
      </x:c>
      <x:c r="B97" t="str">
        <x:v>Кожа в рог/коготь</x:v>
      </x:c>
      <x:c r="C97" t="str">
        <x:v>Закончить skin → воспаление/мягкая переходная зона → основной hard material → отдельная структура и reflected edge</x:v>
      </x:c>
      <x:c r="D97" t="str">
        <x:v>Рога, когти и костяные выросты.</x:v>
      </x:c>
      <x:c r="E97" t="str">
        <x:v>Переход меняет не только цвет, но фактуру и финиш.</x:v>
      </x:c>
    </x:row>
    <x:row r="98">
      <x:c r="A98" t="n">
        <x:v>95</x:v>
      </x:c>
      <x:c r="B98" t="str">
        <x:v>Крыловая перепонка</x:v>
      </x:c>
      <x:c r="C98" t="str">
        <x:v>Dark frame → membrane base → lighter segment centres → internal veins → transparent final glaze → Satin</x:v>
      </x:c>
      <x:c r="D98" t="str">
        <x:v>Крылья демонов и драконов.</x:v>
      </x:c>
      <x:c r="E98" t="str">
        <x:v>Жилки находятся под верхним цветным слоем.</x:v>
      </x:c>
    </x:row>
    <x:row r="99">
      <x:c r="A99" t="n">
        <x:v>96</x:v>
      </x:c>
      <x:c r="B99" t="str">
        <x:v>Вросшая броня</x:v>
      </x:c>
      <x:c r="C99" t="str">
        <x:v>Покрасить кожу и металл отдельно → inflammation only on skin → deep organic break → restore metal reflection → local finishes</x:v>
      </x:c>
      <x:c r="D99" t="str">
        <x:v>Мутанты и демоны.</x:v>
      </x:c>
      <x:c r="E99" t="str">
        <x:v>Металл не получает общий телесно-красный фильтр.</x:v>
      </x:c>
    </x:row>
    <x:row r="100">
      <x:c r="A100" t="n">
        <x:v>97</x:v>
      </x:c>
      <x:c r="B100" t="str">
        <x:v>Финал крупного монстра</x:v>
      </x:c>
      <x:c r="C100" t="str">
        <x:v>Face/weapon maximum → secondary chest/horns → subdued legs/rear wings → base bounce → QC → varnish map</x:v>
      </x:c>
      <x:c r="D100" t="str">
        <x:v>Демон-принц и центральная модель армии.</x:v>
      </x:c>
      <x:c r="E100" t="str">
        <x:v>White maximum только в главной фокусной зоне.</x:v>
      </x:c>
    </x:row>
    <x:row r="101">
      <x:c r="A101" t="n">
        <x:v>98</x:v>
      </x:c>
      <x:c r="B101" t="str">
        <x:v>Локальный финиш монстра</x:v>
      </x:c>
      <x:c r="C101" t="str">
        <x:v>Overall Matt → Satin membranes/chitin → Metal Varnish → Gloss eyes/mouth/gore → restore micro-highlights</x:v>
      </x:c>
      <x:c r="D101" t="str">
        <x:v>Смешанная органика и металл.</x:v>
      </x:c>
      <x:c r="E101" t="str">
        <x:v>Technical gore и слизь наносить после общего Matt.</x:v>
      </x:c>
    </x:row>
    <x:row r="102">
      <x:c r="A102" t="n">
        <x:v>99</x:v>
      </x:c>
      <x:c r="B102" t="str">
        <x:v>Сессия восстановления торса</x:v>
      </x:c>
      <x:c r="C102" t="str">
        <x:v>Проверить сухость масла → midtone 1:3 → широкие плоскости → сохранить углубления → фото фронта → остановиться</x:v>
      </x:c>
      <x:c r="D102" t="str">
        <x:v>Первый следующий этап демон-принца.</x:v>
      </x:c>
      <x:c r="E102" t="str">
        <x:v>Не добавлять вены, поры, кровь или повреждения крыльев в той же сессии.</x:v>
      </x:c>
    </x:row>
    <x:row r="103">
      <x:c r="A103" t="n">
        <x:v>100</x:v>
      </x:c>
      <x:c r="B103" t="str">
        <x:v>Крупная анатомия</x:v>
      </x:c>
      <x:c r="C103" t="str">
        <x:v>Разделить только глубокие мышечные группы → вернуть midtone → направленный свет → grayscale check</x:v>
      </x:c>
      <x:c r="D103" t="str">
        <x:v>Торс и конечности большого монстра.</x:v>
      </x:c>
      <x:c r="E103" t="str">
        <x:v>Мышцы не получают одинаковую чёрную окантовку.</x:v>
      </x:c>
    </x:row>
    <x:row r="104">
      <x:c r="A104" t="n">
        <x:v>101</x:v>
      </x:c>
      <x:c r="B104" t="str">
        <x:v>Физиология кожи</x:v>
      </x:c>
      <x:c r="C104" t="str">
        <x:v>Texture clusters → mottling → joints/calluses → skin glaze → focal highlights</x:v>
      </x:c>
      <x:c r="D104" t="str">
        <x:v>Спина, плечи и суставы.</x:v>
      </x:c>
      <x:c r="E104" t="str">
        <x:v>Каждый эффект ограничивается собственной зоной.</x:v>
      </x:c>
    </x:row>
    <x:row r="105">
      <x:c r="A105" t="n">
        <x:v>102</x:v>
      </x:c>
      <x:c r="B105" t="str">
        <x:v>Верх и низ крыла</x:v>
      </x:c>
      <x:c r="C105" t="str">
        <x:v>Dry fit → upper key light → lower cool filter → reflected highlights → compare with torso → Satin</x:v>
      </x:c>
      <x:c r="D105" t="str">
        <x:v>Крылья крупной модели.</x:v>
      </x:c>
      <x:c r="E105" t="str">
        <x:v>Свет крыльев проверяется вместе с корпусом.</x:v>
      </x:c>
    </x:row>
    <x:row r="106">
      <x:c r="A106" t="n">
        <x:v>103</x:v>
      </x:c>
      <x:c r="B106" t="str">
        <x:v>Повреждение перепонки</x:v>
      </x:c>
      <x:c r="C106" t="str">
        <x:v>Выбрать 1–2 зоны → dark depth → pale scar edge → partial membrane glaze → local finish</x:v>
      </x:c>
      <x:c r="D106" t="str">
        <x:v>Разрывы и проколы.</x:v>
      </x:c>
      <x:c r="E106" t="str">
        <x:v>Не распределять повреждения по каждому сегменту.</x:v>
      </x:c>
    </x:row>
    <x:row r="107">
      <x:c r="A107" t="n">
        <x:v>104</x:v>
      </x:c>
      <x:c r="B107" t="str">
        <x:v>Износ рога и когтя</x:v>
      </x:c>
      <x:c r="C107" t="str">
        <x:v>Base structure → contact scratches/chips → clean reflected edge → underside dirt/blood → split finish</x:v>
      </x:c>
      <x:c r="D107" t="str">
        <x:v>Рога и когти.</x:v>
      </x:c>
      <x:c r="E107" t="str">
        <x:v>Грязь снизу, полировка по трению, чистый свет сверху.</x:v>
      </x:c>
    </x:row>
    <x:row r="108">
      <x:c r="A108" t="n">
        <x:v>105</x:v>
      </x:c>
      <x:c r="B108" t="str">
        <x:v>Подставка демон-принца</x:v>
      </x:c>
      <x:c r="C108" t="str">
        <x:v>Large rock values → bones → optional magic cracks → gravity blood → lower dust/bounce → suppress contrast</x:v>
      </x:c>
      <x:c r="D108" t="str">
        <x:v>Большая база центральной модели.</x:v>
      </x:c>
      <x:c r="E108" t="str">
        <x:v>Основание поддерживает силуэт и остаётся третичным фокусом.</x:v>
      </x:c>
    </x:row>
    <x:row r="109">
      <x:c r="A109" t="n">
        <x:v>106</x:v>
      </x:c>
      <x:c r="B109" t="str">
        <x:v>Закрытие сессии</x:v>
      </x:c>
      <x:c r="C109" t="str">
        <x:v>Обновить статус → записать фактический результат → сделать обязательный ракурс → указать проблему/следующее действие → очистить палитру</x:v>
      </x:c>
      <x:c r="D109" t="str">
        <x:v>Любая проектная сессия.</x:v>
      </x:c>
      <x:c r="E109" t="str">
        <x:v>Сессия не считается завершённой без записи и фото-контроля.</x:v>
      </x:c>
    </x:row>
    <x:row r="110">
      <x:c r="A110" t="n">
        <x:v>107</x:v>
      </x:c>
      <x:c r="B110" t="str">
        <x:v>Подготовка S01</x:v>
      </x:c>
      <x:c r="C110" t="str">
        <x:v>Проверить сухость масла → скрытый compatibility test → выбрать направление света → заполнить фактическую палитру</x:v>
      </x:c>
      <x:c r="D110" t="str">
        <x:v>Перед первым акриловым слоем.</x:v>
      </x:c>
      <x:c r="E110" t="str">
        <x:v>Без успешного теста рецепт 451 не распространяется на торс.</x:v>
      </x:c>
    </x:row>
    <x:row r="111">
      <x:c r="A111" t="n">
        <x:v>108</x:v>
      </x:c>
      <x:c r="B111" t="str">
        <x:v>S01 крупные плоскости</x:v>
      </x:c>
      <x:c r="C111" t="str">
        <x:v>Test patch → hybrid midtone → chest → shoulders → upper arms → upper back → boundary glaze</x:v>
      </x:c>
      <x:c r="D111" t="str">
        <x:v>Ближайшая сессия демон-принца.</x:v>
      </x:c>
      <x:c r="E111" t="str">
        <x:v>Порядок идёт от наиболее заметных крупных масс к объединению.</x:v>
      </x:c>
    </x:row>
    <x:row r="112">
      <x:c r="A112" t="n">
        <x:v>109</x:v>
      </x:c>
      <x:c r="B112" t="str">
        <x:v>Контроль S01</x:v>
      </x:c>
      <x:c r="C112" t="str">
        <x:v>Одна контрольная тень на зону → before/after score → front/profile/top photos → grayscale → gate</x:v>
      </x:c>
      <x:c r="D112" t="str">
        <x:v>Закрытие S01.</x:v>
      </x:c>
      <x:c r="E112" t="str">
        <x:v>Потеря более 1 пункта или итоговая тень ниже 4 блокируют зону.</x:v>
      </x:c>
    </x:row>
    <x:row r="113">
      <x:c r="A113" t="n">
        <x:v>110</x:v>
      </x:c>
      <x:c r="B113" t="str">
        <x:v>Закрытие S01</x:v>
      </x:c>
      <x:c r="C113" t="str">
        <x:v>Все зоны PASS → записать смесь → обновить project/session/journal → S01 Done → S02 Next</x:v>
      </x:c>
      <x:c r="D113" t="str">
        <x:v>Переход к анатомии.</x:v>
      </x:c>
      <x:c r="E113" t="str">
        <x:v>Не менять статусы последующих сессий до формального CLOSE S01.</x:v>
      </x:c>
    </x:row>
    <x:row r="114">
      <x:c r="A114" t="n">
        <x:v>111</x:v>
      </x:c>
      <x:c r="B114" t="str">
        <x:v>Разблокировка S02</x:v>
      </x:c>
      <x:c r="C114" t="str">
        <x:v>S01 CLOSE → сохранить фото и смесь → S01 Done → S02 Next → test boundary</x:v>
      </x:c>
      <x:c r="D114" t="str">
        <x:v>Переход к крупной анатомии.</x:v>
      </x:c>
      <x:c r="E114" t="str">
        <x:v>Не обходить dependency gate ручным изменением формулы.</x:v>
      </x:c>
    </x:row>
    <x:row r="115">
      <x:c r="A115" t="n">
        <x:v>112</x:v>
      </x:c>
      <x:c r="B115" t="str">
        <x:v>S02 передняя анатомия</x:v>
      </x:c>
      <x:c r="C115" t="str">
        <x:v>Test → chest planes → sternum/clavicles → deltoids → biceps/triceps → armpits</x:v>
      </x:c>
      <x:c r="D115" t="str">
        <x:v>Фронт и руки.</x:v>
      </x:c>
      <x:c r="E115" t="str">
        <x:v>Сначала крупные плоскости, затем естественные границы.</x:v>
      </x:c>
    </x:row>
    <x:row r="116">
      <x:c r="A116" t="n">
        <x:v>113</x:v>
      </x:c>
      <x:c r="B116" t="str">
        <x:v>S02 задняя и боковая анатомия</x:v>
      </x:c>
      <x:c r="C116" t="str">
        <x:v>Neck/traps → scapulae → lat/side → ribs → compare to key light</x:v>
      </x:c>
      <x:c r="D116" t="str">
        <x:v>Спина и профили.</x:v>
      </x:c>
      <x:c r="E116" t="str">
        <x:v>Стороны не обязаны быть симметричны по свету.</x:v>
      </x:c>
    </x:row>
    <x:row r="117">
      <x:c r="A117" t="n">
        <x:v>114</x:v>
      </x:c>
      <x:c r="B117" t="str">
        <x:v>S02 мягкое брюхо</x:v>
      </x:c>
      <x:c r="C117" t="str">
        <x:v>Belly base 1:1 → lower folds → Deepkin centre → obliques/navel → 3-stage chest transition</x:v>
      </x:c>
      <x:c r="D117" t="str">
        <x:v>Countershade.</x:v>
      </x:c>
      <x:c r="E117" t="str">
        <x:v>Брюхо не превышает верхний свет по значению.</x:v>
      </x:c>
    </x:row>
    <x:row r="118">
      <x:c r="A118" t="n">
        <x:v>115</x:v>
      </x:c>
      <x:c r="B118" t="str">
        <x:v>Закрытие S02</x:v>
      </x:c>
      <x:c r="C118" t="str">
        <x:v>All 12 zones PASS → five-value gate → front/profiles/back photos → max 3 corrections → CLOSE S02</x:v>
      </x:c>
      <x:c r="D118" t="str">
        <x:v>Допуск к S03.</x:v>
      </x:c>
      <x:c r="E118" t="str">
        <x:v>До закрытия не добавлять фактуру и физиологические пятна.</x:v>
      </x:c>
    </x:row>
    <x:row r="119">
      <x:c r="A119" t="n">
        <x:v>116</x:v>
      </x:c>
      <x:c r="B119" t="str">
        <x:v>Разблокировка S03</x:v>
      </x:c>
      <x:c r="C119" t="str">
        <x:v>S02 CLOSE → сохранить grayscale → S02 Done → S03 Next → test stipple density</x:v>
      </x:c>
      <x:c r="D119" t="str">
        <x:v>Переход к фактуре.</x:v>
      </x:c>
      <x:c r="E119" t="str">
        <x:v>Не обходить dependency gate ручным изменением.</x:v>
      </x:c>
    </x:row>
    <x:row r="120">
      <x:c r="A120" t="n">
        <x:v>117</x:v>
      </x:c>
      <x:c r="B120" t="str">
        <x:v>S03 базовая фактура</x:v>
      </x:c>
      <x:c r="C120" t="str">
        <x:v>Test density → midtone clusters → dark pores → light texture → preserve clean zones</x:v>
      </x:c>
      <x:c r="D120" t="str">
        <x:v>Плечи, спина и руки.</x:v>
      </x:c>
      <x:c r="E120" t="str">
        <x:v>Сначала кластеры, затем микроточки.</x:v>
      </x:c>
    </x:row>
    <x:row r="121">
      <x:c r="A121" t="n">
        <x:v>118</x:v>
      </x:c>
      <x:c r="B121" t="str">
        <x:v>S03 зоны материала</x:v>
      </x:c>
      <x:c r="C121" t="str">
        <x:v>Shoulders/back high density → arms medium → chest low → face/belly minimal</x:v>
      </x:c>
      <x:c r="D121" t="str">
        <x:v>Градиент фактуры.</x:v>
      </x:c>
      <x:c r="E121" t="str">
        <x:v>Плотность определяется материалом и фокусом.</x:v>
      </x:c>
    </x:row>
    <x:row r="122">
      <x:c r="A122" t="n">
        <x:v>119</x:v>
      </x:c>
      <x:c r="B122" t="str">
        <x:v>S03 физиология</x:v>
      </x:c>
      <x:c r="C122" t="str">
        <x:v>Mottling → red zones → cool zones → sickly zones → optional veins/scars → skin glaze</x:v>
      </x:c>
      <x:c r="D122" t="str">
        <x:v>Цветовая неоднородность кожи.</x:v>
      </x:c>
      <x:c r="E122" t="str">
        <x:v>Основной skin colour остаётся доминирующим.</x:v>
      </x:c>
    </x:row>
    <x:row r="123">
      <x:c r="A123" t="n">
        <x:v>120</x:v>
      </x:c>
      <x:c r="B123" t="str">
        <x:v>Закрытие S03</x:v>
      </x:c>
      <x:c r="C123" t="str">
        <x:v>All zones PASS → macro/distance/grayscale gate → max 3 corrections → CLOSE S03 → S04 Next</x:v>
      </x:c>
      <x:c r="D123" t="str">
        <x:v>Допуск к лицу.</x:v>
      </x:c>
      <x:c r="E123" t="str">
        <x:v>Лицо и брюхо должны остаться зонами минимальной фактуры.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fe11db6f06441a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1" hidden="0" customWidth="1"/>
    <x:col min="3" max="3" width="16" hidden="0" customWidth="1"/>
    <x:col min="4" max="4" width="48" hidden="0" customWidth="1"/>
    <x:col min="5" max="5" width="72" hidden="0" customWidth="1"/>
    <x:col min="6" max="6" width="85" hidden="0" customWidth="1"/>
    <x:col min="7" max="7" width="12" hidden="0" customWidth="1"/>
  </x:cols>
  <x:sheetData>
    <x:row r="1" ht="38" customHeight="1">
      <x:c r="A1" s="206" t="str">
        <x:v>Аудит матрицы слоёв по внешним источникам</x:v>
      </x:c>
      <x:c r="B1" s="206"/>
      <x:c r="C1" s="206"/>
      <x:c r="D1" s="206"/>
      <x:c r="E1" s="206"/>
      <x:c r="F1" s="206"/>
      <x:c r="G1" s="206"/>
    </x:row>
    <x:row r="3">
      <x:c r="A3" s="208" t="str">
        <x:v>Показатель</x:v>
      </x:c>
      <x:c r="B3" s="208" t="str">
        <x:v>Результат</x:v>
      </x:c>
    </x:row>
    <x:row r="4">
      <x:c r="A4" s="211" t="str">
        <x:v>Исходных рецептов проверено</x:v>
      </x:c>
      <x:c r="B4" s="212" t="n">
        <x:v>69</x:v>
      </x:c>
    </x:row>
    <x:row r="5">
      <x:c r="A5" s="211" t="str">
        <x:v>Рецептов исправлено</x:v>
      </x:c>
      <x:c r="B5" s="212" t="n">
        <x:v>11</x:v>
      </x:c>
    </x:row>
    <x:row r="6">
      <x:c r="A6" s="211" t="str">
        <x:v>Новых внешне подтверждённых адаптаций</x:v>
      </x:c>
      <x:c r="B6" s="212" t="n">
        <x:v>6</x:v>
      </x:c>
    </x:row>
    <x:row r="7">
      <x:c r="A7" s="211" t="str">
        <x:v>Рецептов после аудита</x:v>
      </x:c>
      <x:c r="B7" s="212" t="n">
        <x:v>75</x:v>
      </x:c>
    </x:row>
    <x:row r="8">
      <x:c r="A8" s="211" t="str">
        <x:v>Критических технологических ошибок устранено</x:v>
      </x:c>
      <x:c r="B8" s="212" t="n">
        <x:v>4</x:v>
      </x:c>
    </x:row>
    <x:row r="9">
      <x:c r="A9" s="211" t="str">
        <x:v>Названий красок вне коллекции после исправления</x:v>
      </x:c>
      <x:c r="B9" s="212" t="n">
        <x:v>0</x:v>
      </x:c>
    </x:row>
    <x:row r="10">
      <x:c r="A10" s="211" t="str">
        <x:v>Формула использования матрицы</x:v>
      </x:c>
      <x:c r="B10" s="211" t="str">
        <x:v>Официальная логика + адаптация под реальную коллекцию + тест на отдельной детали</x:v>
      </x:c>
    </x:row>
    <x:row r="13">
      <x:c r="A13" s="215" t="str">
        <x:v>ID</x:v>
      </x:c>
      <x:c r="B13" s="215" t="str">
        <x:v>Область</x:v>
      </x:c>
      <x:c r="C13" s="215" t="str">
        <x:v>Приоритет</x:v>
      </x:c>
      <x:c r="D13" s="215" t="str">
        <x:v>Что обнаружено</x:v>
      </x:c>
      <x:c r="E13" s="215" t="str">
        <x:v>Исправление / решение</x:v>
      </x:c>
      <x:c r="F13" s="215" t="str">
        <x:v>Источник</x:v>
      </x:c>
    </x:row>
    <x:row r="14">
      <x:c r="A14" s="89" t="str">
        <x:v>AUD-01</x:v>
      </x:c>
      <x:c r="B14" s="89" t="str">
        <x:v>Crackle Medium</x:v>
      </x:c>
      <x:c r="C14" s="89" t="str">
        <x:v>Критическое</x:v>
      </x:c>
      <x:c r="D14" s="89" t="str">
        <x:v>Верхний цвет был поставлен после высыхания Medium.</x:v>
      </x:c>
      <x:c r="E14" s="89" t="str">
        <x:v>Верхний контрастный цвет наносить, пока Crackle Medium ещё влажный; выдержать 24 часа и защитить Satin Varnish до wash/drybrush.</x:v>
      </x:c>
      <x:c r="F14" s="89" t="str">
        <x:v>https://acrylicosvallejo.com/wp-content/uploads/2021/04/vallejo-stepbystep-crackle-medium-EN.pdf</x:v>
      </x:c>
    </x:row>
    <x:row r="15">
      <x:c r="A15" s="89" t="str">
        <x:v>AUD-02</x:v>
      </x:c>
      <x:c r="B15" s="89" t="str">
        <x:v>Масляные фильтры и проливки</x:v>
      </x:c>
      <x:c r="C15" s="89" t="str">
        <x:v>Критическое</x:v>
      </x:c>
      <x:c r="D15" s="89" t="str">
        <x:v>Фиксированные 24–48 часов создавали риск запечатать липкое масло.</x:v>
      </x:c>
      <x:c r="E15" s="89" t="str">
        <x:v>Финальный лак только после полного высыхания. Для тонких традиционных масел ориентир — несколько дней; пигмент и толщина сильно меняют срок.</x:v>
      </x:c>
      <x:c r="F15" s="89" t="str">
        <x:v>https://eu.winsornewton.com/blogs/guides/understanding-drying-times-for-oil-colour</x:v>
      </x:c>
    </x:row>
    <x:row r="16">
      <x:c r="A16" s="89" t="str">
        <x:v>AUD-03</x:v>
      </x:c>
      <x:c r="B16" s="89" t="str">
        <x:v>Прозрачные камни</x:v>
      </x:c>
      <x:c r="C16" s="89" t="str">
        <x:v>Высокое</x:v>
      </x:c>
      <x:c r="D16" s="89" t="str">
        <x:v>Тёмный слой располагался поверх прозрачного глянцевого Technical.</x:v>
      </x:c>
      <x:c r="E16" s="89" t="str">
        <x:v>Сначала сформировать тёмную металлическую подложку, затем закрыть её Soulstone/Spiritstone/Waystone и вернуть металлическую дугу и белую точку.</x:v>
      </x:c>
      <x:c r="F16" s="89" t="str">
        <x:v>https://paint.warhammer.com/the-paint-range/</x:v>
      </x:c>
    </x:row>
    <x:row r="17">
      <x:c r="A17" s="89" t="str">
        <x:v>AUD-04</x:v>
      </x:c>
      <x:c r="B17" s="89" t="str">
        <x:v>Black Ink</x:v>
      </x:c>
      <x:c r="C17" s="89" t="str">
        <x:v>Критическое</x:v>
      </x:c>
      <x:c r="D17" s="89" t="str">
        <x:v>В одном рецепте использовался Black Ink, которого нет в коллекции.</x:v>
      </x:c>
      <x:c r="E17" s="89" t="str">
        <x:v>Заменено на Black Templar с Contrast Medium.</x:v>
      </x:c>
      <x:c r="F17" s="89" t="str">
        <x:v>Внутренняя сверка с листом «Инвентаризация».</x:v>
      </x:c>
    </x:row>
    <x:row r="18">
      <x:c r="A18" s="89" t="str">
        <x:v>AUD-05</x:v>
      </x:c>
      <x:c r="B18" s="89" t="str">
        <x:v>Chipping Medium</x:v>
      </x:c>
      <x:c r="C18" s="89" t="str">
        <x:v>Высокое</x:v>
      </x:c>
      <x:c r="D18" s="89" t="str">
        <x:v>Время и состояние готовности Medium были описаны неопределённо.</x:v>
      </x:c>
      <x:c r="E18" s="89" t="str">
        <x:v>Добавлена последовательность Vallejo: Medium высушить около 30 минут/до сухого на ощупь, затем верхний цвет, вода, скалывание и лак.</x:v>
      </x:c>
      <x:c r="F18" s="89" t="str">
        <x:v>https://acrylicosvallejo.com/wp-content/uploads/2020/06/vallejo-stepbystep-chipping-medium-EN.pdf</x:v>
      </x:c>
    </x:row>
    <x:row r="19">
      <x:c r="A19" s="89" t="str">
        <x:v>AUD-06</x:v>
      </x:c>
      <x:c r="B19" s="89" t="str">
        <x:v>Contrast и Xpress</x:v>
      </x:c>
      <x:c r="C19" s="89" t="str">
        <x:v>Среднее</x:v>
      </x:c>
      <x:c r="D19" s="89" t="str">
        <x:v>Два семейства были объединены без указания соответствующего медиума.</x:v>
      </x:c>
      <x:c r="E19" s="89" t="str">
        <x:v>Contrast разбавлять Contrast Medium, Xpress Color — Xpress Medium; обе системы рассчитаны прежде всего на светлую подложку.</x:v>
      </x:c>
      <x:c r="F19" s="89" t="str">
        <x:v>https://acrylicosvallejo.com/en/product/hobby/xpress-color-en/seraph-red-72479/</x:v>
      </x:c>
    </x:row>
    <x:row r="20">
      <x:c r="A20" s="89" t="str">
        <x:v>AUD-07</x:v>
      </x:c>
      <x:c r="B20" s="89" t="str">
        <x:v>Флуоресценты</x:v>
      </x:c>
      <x:c r="C20" s="89" t="str">
        <x:v>Проверено</x:v>
      </x:c>
      <x:c r="D20" s="89" t="str">
        <x:v>Матрица использовала их поверх белого.</x:v>
      </x:c>
      <x:c r="E20" s="89" t="str">
        <x:v>Подтверждено: Vallejo рекомендует белую подложку, так как флуоресцентные пигменты прозрачны или полуукрывисты.</x:v>
      </x:c>
      <x:c r="F20" s="89" t="str">
        <x:v>https://acrylicosvallejo.com/en/producto/hobby/game-color-en/fluorescent-red-72157/</x:v>
      </x:c>
    </x:row>
    <x:row r="21">
      <x:c r="A21" s="89" t="str">
        <x:v>AUD-08</x:v>
      </x:c>
      <x:c r="B21" s="89" t="str">
        <x:v>Фиолетовая броня</x:v>
      </x:c>
      <x:c r="C21" s="89" t="str">
        <x:v>Исправлено</x:v>
      </x:c>
      <x:c r="D21" s="89" t="str">
        <x:v>Цепочка была рабочей, но слабее официальной последовательности.</x:v>
      </x:c>
      <x:c r="E21" s="89" t="str">
        <x:v>Добавлены Shyish Purple в глубокие тени и Warpfiend Grey перед точечным Slaanesh Grey.</x:v>
      </x:c>
      <x:c r="F21" s="89" t="str">
        <x:v>https://www.warhammer-community.com/en-gb/articles/26rmthpl/grotmas-calendar-day-11-traitor-legion-painting-guide/</x:v>
      </x:c>
    </x:row>
    <x:row r="22">
      <x:c r="A22" s="89" t="str">
        <x:v>AUD-09</x:v>
      </x:c>
      <x:c r="B22" s="89" t="str">
        <x:v>Чёрная броня</x:v>
      </x:c>
      <x:c r="C22" s="89" t="str">
        <x:v>Исправлено</x:v>
      </x:c>
      <x:c r="D22" s="89" t="str">
        <x:v>Nuln Oil по сплошному чёрному почти не создавал полезного объёма.</x:v>
      </x:c>
      <x:c r="E22" s="89" t="str">
        <x:v>Использована официальная логика Black → Corvus Black → Eshin Grey → Dawnstone → светлая точка.</x:v>
      </x:c>
      <x:c r="F22" s="89" t="str">
        <x:v>https://www.warhammer-community.com/en-gb/articles/6qpc8cnl/grotmas-calendar-day-3-loyalist-legion-painting-guide/</x:v>
      </x:c>
    </x:row>
    <x:row r="23">
      <x:c r="A23" s="89" t="str">
        <x:v>AUD-10</x:v>
      </x:c>
      <x:c r="B23" s="89" t="str">
        <x:v>Цветной металл</x:v>
      </x:c>
      <x:c r="C23" s="89" t="str">
        <x:v>Добавлено</x:v>
      </x:c>
      <x:c r="D23" s="89" t="str">
        <x:v>В матрице не было проверенной схемы металлической бирюзы.</x:v>
      </x:c>
      <x:c r="E23" s="89" t="str">
        <x:v>Добавлена адаптация официальной схемы: серебро + смесь голубого/зелёного Contrast + серебряные кромки.</x:v>
      </x:c>
      <x:c r="F23" s="89" t="str">
        <x:v>https://www.warhammer-community.com/en-gb/articles/rnS51jSS/the-solar-auxilia-cohorts-of-the-horus-heresy-studio-on-parade/</x:v>
      </x:c>
    </x:row>
    <x:row r="24">
      <x:c r="A24" s="89" t="str">
        <x:v>AUD-11</x:v>
      </x:c>
      <x:c r="B24" s="89" t="str">
        <x:v>Магическая синяя сталь</x:v>
      </x:c>
      <x:c r="C24" s="89" t="str">
        <x:v>Добавлено</x:v>
      </x:c>
      <x:c r="D24" s="89" t="str">
        <x:v>Не использовался потенциал Tyran Blue на металлической базе.</x:v>
      </x:c>
      <x:c r="E24" s="89" t="str">
        <x:v>Добавлена схема Iron Warriors → Tyran Blue → Ironbreaker → Runefang/Vallejo Silver.</x:v>
      </x:c>
      <x:c r="F24" s="89" t="str">
        <x:v>https://www.warhammer-community.com/en-gb/articles/kW3ytOxF/top-tips-for-using-the-seven-all-new-shade-paints/</x:v>
      </x:c>
    </x:row>
    <x:row r="25">
      <x:c r="A25" s="89" t="str">
        <x:v>AUD-12</x:v>
      </x:c>
      <x:c r="B25" s="89" t="str">
        <x:v>NMM Steel / Gold</x:v>
      </x:c>
      <x:c r="C25" s="89" t="str">
        <x:v>Добавлено</x:v>
      </x:c>
      <x:c r="D25" s="89" t="str">
        <x:v>Матрица покрывала только настоящие металлики.</x:v>
      </x:c>
      <x:c r="E25" s="89" t="str">
        <x:v>Добавлены NMM-рецепты, адаптированные по логике официальных наборов AK: сильный контраст, цветные тени и почти белый блик.</x:v>
      </x:c>
      <x:c r="F25" s="89" t="str">
        <x:v>https://ak-interactive.com/product/non-metallic-metal-steel/</x:v>
      </x:c>
    </x:row>
    <x:row r="29">
      <x:c r="A29" s="199" t="str">
        <x:v>ID</x:v>
      </x:c>
      <x:c r="B29" s="199" t="str">
        <x:v>Источник / идея</x:v>
      </x:c>
      <x:c r="C29" s="199" t="str">
        <x:v>URL</x:v>
      </x:c>
    </x:row>
    <x:row r="30">
      <x:c r="A30" s="211" t="str">
        <x:v>SRC-01</x:v>
      </x:c>
      <x:c r="B30" s="211" t="str">
        <x:v>Warhammer Colour: назначение Contrast и Technical</x:v>
      </x:c>
      <x:c r="C30" s="211" t="str">
        <x:v>https://paint.warhammer.com/the-paint-range/</x:v>
      </x:c>
    </x:row>
    <x:row r="31">
      <x:c r="A31" s="211" t="str">
        <x:v>SRC-02</x:v>
      </x:c>
      <x:c r="B31" s="211" t="str">
        <x:v>Warhammer: Contrast на White Scar, Wraithbone и Grey Seer</x:v>
      </x:c>
      <x:c r="C31" s="211" t="str">
        <x:v>https://www.warhammer-community.com/en-gb/articles/xcSERTQx/citadel-colour-just-what-is-battle-ready/</x:v>
      </x:c>
    </x:row>
    <x:row r="32">
      <x:c r="A32" s="211" t="str">
        <x:v>SRC-03</x:v>
      </x:c>
      <x:c r="B32" s="211" t="str">
        <x:v>Warhammer: официальные фиолетовые, красные, чёрные и металлические цепочки</x:v>
      </x:c>
      <x:c r="C32" s="211" t="str">
        <x:v>https://www.warhammer-community.com/en-gb/articles/26rmthpl/grotmas-calendar-day-11-traitor-legion-painting-guide/</x:v>
      </x:c>
    </x:row>
    <x:row r="33">
      <x:c r="A33" s="211" t="str">
        <x:v>SRC-04</x:v>
      </x:c>
      <x:c r="B33" s="211" t="str">
        <x:v>Warhammer: официальная логика чёрной и красной брони</x:v>
      </x:c>
      <x:c r="C33" s="211" t="str">
        <x:v>https://www.warhammer-community.com/en-gb/articles/6qpc8cnl/grotmas-calendar-day-3-loyalist-legion-painting-guide/</x:v>
      </x:c>
    </x:row>
    <x:row r="34">
      <x:c r="A34" s="211" t="str">
        <x:v>SRC-05</x:v>
      </x:c>
      <x:c r="B34" s="211" t="str">
        <x:v>Warhammer: металлическая бирюза через Contrast-глазури</x:v>
      </x:c>
      <x:c r="C34" s="211" t="str">
        <x:v>https://www.warhammer-community.com/en-gb/articles/rnS51jSS/the-solar-auxilia-cohorts-of-the-horus-heresy-studio-on-parade/</x:v>
      </x:c>
    </x:row>
    <x:row r="35">
      <x:c r="A35" s="211" t="str">
        <x:v>SRC-06</x:v>
      </x:c>
      <x:c r="B35" s="211" t="str">
        <x:v>Warhammer: Tyran Blue по металлу</x:v>
      </x:c>
      <x:c r="C35" s="211" t="str">
        <x:v>https://www.warhammer-community.com/en-gb/articles/kW3ytOxF/top-tips-for-using-the-seven-all-new-shade-paints/</x:v>
      </x:c>
    </x:row>
    <x:row r="36">
      <x:c r="A36" s="211" t="str">
        <x:v>SRC-07</x:v>
      </x:c>
      <x:c r="B36" s="211" t="str">
        <x:v>Vallejo: Fluorescent поверх белого</x:v>
      </x:c>
      <x:c r="C36" s="211" t="str">
        <x:v>https://acrylicosvallejo.com/en/producto/hobby/game-color-en/fluorescent-red-72157/</x:v>
      </x:c>
    </x:row>
    <x:row r="37">
      <x:c r="A37" s="211" t="str">
        <x:v>SRC-08</x:v>
      </x:c>
      <x:c r="B37" s="211" t="str">
        <x:v>Vallejo: Xpress Color и Xpress Medium</x:v>
      </x:c>
      <x:c r="C37" s="211" t="str">
        <x:v>https://acrylicosvallejo.com/en/product/hobby/xpress-color-en/seraph-red-72479/</x:v>
      </x:c>
    </x:row>
    <x:row r="38">
      <x:c r="A38" s="211" t="str">
        <x:v>SRC-09</x:v>
      </x:c>
      <x:c r="B38" s="211" t="str">
        <x:v>Vallejo: Chipping Medium — пошаговая инструкция</x:v>
      </x:c>
      <x:c r="C38" s="211" t="str">
        <x:v>https://acrylicosvallejo.com/wp-content/uploads/2020/06/vallejo-stepbystep-chipping-medium-EN.pdf</x:v>
      </x:c>
    </x:row>
    <x:row r="39">
      <x:c r="A39" s="211" t="str">
        <x:v>SRC-10</x:v>
      </x:c>
      <x:c r="B39" s="211" t="str">
        <x:v>Vallejo: Crackle Medium — пошаговая инструкция</x:v>
      </x:c>
      <x:c r="C39" s="211" t="str">
        <x:v>https://acrylicosvallejo.com/wp-content/uploads/2021/04/vallejo-stepbystep-crackle-medium-EN.pdf</x:v>
      </x:c>
    </x:row>
    <x:row r="40">
      <x:c r="A40" s="211" t="str">
        <x:v>SRC-11</x:v>
      </x:c>
      <x:c r="B40" s="211" t="str">
        <x:v>AK: NMM Steel</x:v>
      </x:c>
      <x:c r="C40" s="211" t="str">
        <x:v>https://ak-interactive.com/product/non-metallic-metal-steel/</x:v>
      </x:c>
    </x:row>
    <x:row r="41">
      <x:c r="A41" s="211" t="str">
        <x:v>SRC-12</x:v>
      </x:c>
      <x:c r="B41" s="211" t="str">
        <x:v>AK: NMM Gold</x:v>
      </x:c>
      <x:c r="C41" s="211" t="str">
        <x:v>https://ak-interactive.com/product/nmm-non-metallic-metal-gold/</x:v>
      </x:c>
    </x:row>
    <x:row r="42">
      <x:c r="A42" s="211" t="str">
        <x:v>SRC-13</x:v>
      </x:c>
      <x:c r="B42" s="211" t="str">
        <x:v>AK: Blue Armor — логика четырёхступенчатого синего</x:v>
      </x:c>
      <x:c r="C42" s="211" t="str">
        <x:v>https://ak-interactive.com/product/wargame-color-set-blue-armor/</x:v>
      </x:c>
    </x:row>
    <x:row r="43">
      <x:c r="A43" s="211" t="str">
        <x:v>SRC-14</x:v>
      </x:c>
      <x:c r="B43" s="211" t="str">
        <x:v>AK: White Colors — тёплые и холодные серые для белого</x:v>
      </x:c>
      <x:c r="C43" s="211" t="str">
        <x:v>https://ak-interactive.com/product/white-colors-set/</x:v>
      </x:c>
    </x:row>
    <x:row r="44">
      <x:c r="A44" s="211" t="str">
        <x:v>SRC-15</x:v>
      </x:c>
      <x:c r="B44" s="211" t="str">
        <x:v>Winsor &amp; Newton: сроки высыхания традиционных масел</x:v>
      </x:c>
      <x:c r="C44" s="211" t="str">
        <x:v>https://eu.winsornewton.com/blogs/guides/understanding-drying-times-for-oil-colour</x:v>
      </x:c>
    </x:row>
  </x:sheetData>
  <x:mergeCells>
    <x:mergeCell ref="A1:G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1" hidden="0" customWidth="1"/>
    <x:col min="3" max="3" width="31" hidden="0" customWidth="1"/>
    <x:col min="4" max="4" width="31" hidden="0" customWidth="1"/>
    <x:col min="5" max="5" width="31" hidden="0" customWidth="1"/>
    <x:col min="6" max="6" width="35" hidden="0" customWidth="1"/>
    <x:col min="7" max="7" width="34" hidden="0" customWidth="1"/>
    <x:col min="8" max="8" width="44" hidden="0" customWidth="1"/>
  </x:cols>
  <x:sheetData>
    <x:row r="1" ht="38" customHeight="1">
      <x:c r="A1" s="245" t="str">
        <x:v>Как прозрачные краски меняются на разных подложках</x:v>
      </x:c>
      <x:c r="B1" s="245"/>
      <x:c r="C1" s="245"/>
      <x:c r="D1" s="245"/>
      <x:c r="E1" s="245"/>
      <x:c r="F1" s="245"/>
      <x:c r="G1" s="245"/>
      <x:c r="H1" s="245"/>
    </x:row>
    <x:row r="2" ht="38" customHeight="1">
      <x:c r="A2" s="249" t="str">
        <x:v>AK Black/White Primer и Vallejo Ivory Primer — грунты. Wraithbone и Grey Seer — цветные Base-подложки поверх грунта. Описание качественное: точный результат зависит от толщины прозрачного слоя.</x:v>
      </x:c>
      <x:c r="B2" s="249"/>
      <x:c r="C2" s="249"/>
      <x:c r="D2" s="249"/>
      <x:c r="E2" s="249"/>
      <x:c r="F2" s="249"/>
      <x:c r="G2" s="249"/>
      <x:c r="H2" s="249"/>
    </x:row>
    <x:row r="4" ht="42" customHeight="1">
      <x:c r="A4" s="254" t="str">
        <x:v>Прозрачная краска</x:v>
      </x:c>
      <x:c r="B4" s="254" t="str">
        <x:v>White</x:v>
      </x:c>
      <x:c r="C4" s="254" t="str">
        <x:v>Wraithbone</x:v>
      </x:c>
      <x:c r="D4" s="254" t="str">
        <x:v>Grey Seer</x:v>
      </x:c>
      <x:c r="E4" s="254" t="str">
        <x:v>Runefang / Vallejo Silver</x:v>
      </x:c>
      <x:c r="F4" s="254" t="str">
        <x:v>Зениталь / Slapchop</x:v>
      </x:c>
      <x:c r="G4" s="254" t="str">
        <x:v>Лучшее применение</x:v>
      </x:c>
      <x:c r="H4" s="254" t="str">
        <x:v>Ограничение</x:v>
      </x:c>
    </x:row>
    <x:row r="5">
      <x:c r="A5" s="89" t="str">
        <x:v>Blood Angels Red</x:v>
      </x:c>
      <x:c r="B5" s="89" t="str">
        <x:v>Самый яркий алый</x:v>
      </x:c>
      <x:c r="C5" s="89" t="str">
        <x:v>Более тёплый и органичный красный</x:v>
      </x:c>
      <x:c r="D5" s="89" t="str">
        <x:v>Чуть холоднее и темнее</x:v>
      </x:c>
      <x:c r="E5" s="89" t="str">
        <x:v>Глянцевый candy-red металл</x:v>
      </x:c>
      <x:c r="F5" s="89" t="str">
        <x:v>Контрастные алые света и бордовые тени</x:v>
      </x:c>
      <x:c r="G5" s="89" t="str">
        <x:v>Яркая броня, ткань</x:v>
      </x:c>
      <x:c r="H5" s="89" t="str">
        <x:v>На большой гладкой панели работать секциями</x:v>
      </x:c>
    </x:row>
    <x:row r="6">
      <x:c r="A6" s="89" t="str">
        <x:v>Flesh Tearers Red</x:v>
      </x:c>
      <x:c r="B6" s="89" t="str">
        <x:v>Глубокий насыщенный красный</x:v>
      </x:c>
      <x:c r="C6" s="89" t="str">
        <x:v>Тёплый винный оттенок</x:v>
      </x:c>
      <x:c r="D6" s="89" t="str">
        <x:v>Холодный бордовый</x:v>
      </x:c>
      <x:c r="E6" s="89" t="str">
        <x:v>Тёмный металлический красный</x:v>
      </x:c>
      <x:c r="F6" s="89" t="str">
        <x:v>Очень глубокие тени</x:v>
      </x:c>
      <x:c r="G6" s="89" t="str">
        <x:v>Бордовая броня, тени красного</x:v>
      </x:c>
      <x:c r="H6" s="89" t="str">
        <x:v>Может быстро стать почти чёрным в углублениях</x:v>
      </x:c>
    </x:row>
    <x:row r="7">
      <x:c r="A7" s="89" t="str">
        <x:v>Iyanden Yellow</x:v>
      </x:c>
      <x:c r="B7" s="89" t="str">
        <x:v>Чистый яркий жёлтый</x:v>
      </x:c>
      <x:c r="C7" s="89" t="str">
        <x:v>Тёплый янтарный</x:v>
      </x:c>
      <x:c r="D7" s="89" t="str">
        <x:v>Более приглушённый охристый</x:v>
      </x:c>
      <x:c r="E7" s="89" t="str">
        <x:v>Золотисто-жёлтый металл</x:v>
      </x:c>
      <x:c r="F7" s="89" t="str">
        <x:v>Выразительный жёлтый с коричневыми тенями</x:v>
      </x:c>
      <x:c r="G7" s="89" t="str">
        <x:v>Жёлтая броня, огонь</x:v>
      </x:c>
      <x:c r="H7" s="89" t="str">
        <x:v>На серой подложке теряет максимальную яркость</x:v>
      </x:c>
    </x:row>
    <x:row r="8">
      <x:c r="A8" s="89" t="str">
        <x:v>Magmadroth Flame</x:v>
      </x:c>
      <x:c r="B8" s="89" t="str">
        <x:v>Яркий оранжево-красный</x:v>
      </x:c>
      <x:c r="C8" s="89" t="str">
        <x:v>Тёплый огненный оранжевый</x:v>
      </x:c>
      <x:c r="D8" s="89" t="str">
        <x:v>Более красный и приглушённый</x:v>
      </x:c>
      <x:c r="E8" s="89" t="str">
        <x:v>Горячий металлический оранжевый</x:v>
      </x:c>
      <x:c r="F8" s="89" t="str">
        <x:v>Огненный градиент</x:v>
      </x:c>
      <x:c r="G8" s="89" t="str">
        <x:v>Огонь, демоны, OSL</x:v>
      </x:c>
      <x:c r="H8" s="89" t="str">
        <x:v>Для светлого центра всё равно нужна белая подложка</x:v>
      </x:c>
    </x:row>
    <x:row r="9">
      <x:c r="A9" s="89" t="str">
        <x:v>Warp Lightning</x:v>
      </x:c>
      <x:c r="B9" s="89" t="str">
        <x:v>Кислотный яркий зелёный</x:v>
      </x:c>
      <x:c r="C9" s="89" t="str">
        <x:v>Тёплый органический зелёный</x:v>
      </x:c>
      <x:c r="D9" s="89" t="str">
        <x:v>Более холодный и приглушённый</x:v>
      </x:c>
      <x:c r="E9" s="89" t="str">
        <x:v>Изумрудный candy-metal</x:v>
      </x:c>
      <x:c r="F9" s="89" t="str">
        <x:v>Тёмные провалы и яркие гребни</x:v>
      </x:c>
      <x:c r="G9" s="89" t="str">
        <x:v>Ткань, энергия, зелёная кожа</x:v>
      </x:c>
      <x:c r="H9" s="89" t="str">
        <x:v>Легко образует очень тёмные лужи</x:v>
      </x:c>
    </x:row>
    <x:row r="10">
      <x:c r="A10" s="89" t="str">
        <x:v>Plaguebearer Flesh</x:v>
      </x:c>
      <x:c r="B10" s="89" t="str">
        <x:v>Светлый жёлто-зелёный</x:v>
      </x:c>
      <x:c r="C10" s="89" t="str">
        <x:v>Тёплая болезненная кожа</x:v>
      </x:c>
      <x:c r="D10" s="89" t="str">
        <x:v>Серо-зелёная мертвенная кожа</x:v>
      </x:c>
      <x:c r="E10" s="89" t="str">
        <x:v>Бледная патина на металле</x:v>
      </x:c>
      <x:c r="F10" s="89" t="str">
        <x:v>Сильная органическая светотень</x:v>
      </x:c>
      <x:c r="G10" s="89" t="str">
        <x:v>Болезненная кожа, Nurgle</x:v>
      </x:c>
      <x:c r="H10" s="89" t="str">
        <x:v>Слабее читается на очень тёмной подложке</x:v>
      </x:c>
    </x:row>
    <x:row r="11">
      <x:c r="A11" s="89" t="str">
        <x:v>Talassar Blue</x:v>
      </x:c>
      <x:c r="B11" s="89" t="str">
        <x:v>Электрический голубовато-синий</x:v>
      </x:c>
      <x:c r="C11" s="89" t="str">
        <x:v>Слегка бирюзовый и тёплый</x:v>
      </x:c>
      <x:c r="D11" s="89" t="str">
        <x:v>Чистый холодный синий</x:v>
      </x:c>
      <x:c r="E11" s="89" t="str">
        <x:v>Яркий анодированный металл</x:v>
      </x:c>
      <x:c r="F11" s="89" t="str">
        <x:v>Очень контрастная синяя броня</x:v>
      </x:c>
      <x:c r="G11" s="89" t="str">
        <x:v>Плазма, яркая броня</x:v>
      </x:c>
      <x:c r="H11" s="89" t="str">
        <x:v>Насыщенность требует аккуратных бликов</x:v>
      </x:c>
    </x:row>
    <x:row r="12">
      <x:c r="A12" s="89" t="str">
        <x:v>Akhelian Green</x:v>
      </x:c>
      <x:c r="B12" s="89" t="str">
        <x:v>Яркая бирюза</x:v>
      </x:c>
      <x:c r="C12" s="89" t="str">
        <x:v>Зеленее и теплее</x:v>
      </x:c>
      <x:c r="D12" s="89" t="str">
        <x:v>Холодная морская бирюза</x:v>
      </x:c>
      <x:c r="E12" s="89" t="str">
        <x:v>Бирюзовый металлический лак</x:v>
      </x:c>
      <x:c r="F12" s="89" t="str">
        <x:v>Глубокий тёмный teal</x:v>
      </x:c>
      <x:c r="G12" s="89" t="str">
        <x:v>Бирюзовая броня, цветной металл</x:v>
      </x:c>
      <x:c r="H12" s="89" t="str">
        <x:v>Накапливается почти до чёрно-зелёного</x:v>
      </x:c>
    </x:row>
    <x:row r="13">
      <x:c r="A13" s="89" t="str">
        <x:v>Leviadon Blue</x:v>
      </x:c>
      <x:c r="B13" s="89" t="str">
        <x:v>Глубокий тёмно-синий</x:v>
      </x:c>
      <x:c r="C13" s="89" t="str">
        <x:v>Чуть теплее и зеленее</x:v>
      </x:c>
      <x:c r="D13" s="89" t="str">
        <x:v>Холодный navy</x:v>
      </x:c>
      <x:c r="E13" s="89" t="str">
        <x:v>Тёмный синий металл</x:v>
      </x:c>
      <x:c r="F13" s="89" t="str">
        <x:v>Очень глубокие тени с яркими вершинами</x:v>
      </x:c>
      <x:c r="G13" s="89" t="str">
        <x:v>Тени синего, ночная броня</x:v>
      </x:c>
      <x:c r="H13" s="89" t="str">
        <x:v>Для полной поверхности часто лучше разводить Medium</x:v>
      </x:c>
    </x:row>
    <x:row r="14">
      <x:c r="A14" s="89" t="str">
        <x:v>Luxion Purple</x:v>
      </x:c>
      <x:c r="B14" s="89" t="str">
        <x:v>Яркий насыщенный фиолетовый</x:v>
      </x:c>
      <x:c r="C14" s="89" t="str">
        <x:v>Тёплый пурпур</x:v>
      </x:c>
      <x:c r="D14" s="89" t="str">
        <x:v>Холодный королевский фиолетовый</x:v>
      </x:c>
      <x:c r="E14" s="89" t="str">
        <x:v>Фиолетовый candy-metal</x:v>
      </x:c>
      <x:c r="F14" s="89" t="str">
        <x:v>Глубокий пурпур с яркими вершинами</x:v>
      </x:c>
      <x:c r="G14" s="89" t="str">
        <x:v>Броня, ткань, магия</x:v>
      </x:c>
      <x:c r="H14" s="89" t="str">
        <x:v>Финальные блики лучше делать непрозрачными</x:v>
      </x:c>
    </x:row>
    <x:row r="15">
      <x:c r="A15" s="89" t="str">
        <x:v>Guilliman Flesh</x:v>
      </x:c>
      <x:c r="B15" s="89" t="str">
        <x:v>Светлая золотистая кожа</x:v>
      </x:c>
      <x:c r="C15" s="89" t="str">
        <x:v>Естественная тёплая кожа</x:v>
      </x:c>
      <x:c r="D15" s="89" t="str">
        <x:v>Более холодная и розовато-серая кожа</x:v>
      </x:c>
      <x:c r="E15" s="89" t="str">
        <x:v>Тёплая бронзовая тонировка</x:v>
      </x:c>
      <x:c r="F15" s="89" t="str">
        <x:v>Быстрое лицо с выраженным объёмом</x:v>
      </x:c>
      <x:c r="G15" s="89" t="str">
        <x:v>Человеческая кожа, кожа и кость</x:v>
      </x:c>
      <x:c r="H15" s="89" t="str">
        <x:v>На лице контролировать лужи кистью</x:v>
      </x:c>
    </x:row>
    <x:row r="16">
      <x:c r="A16" s="89" t="str">
        <x:v>Darkoath Flesh</x:v>
      </x:c>
      <x:c r="B16" s="89" t="str">
        <x:v>Тёмная тёплая кожа</x:v>
      </x:c>
      <x:c r="C16" s="89" t="str">
        <x:v>Коричнево-красная кожа</x:v>
      </x:c>
      <x:c r="D16" s="89" t="str">
        <x:v>Холодная смуглая кожа</x:v>
      </x:c>
      <x:c r="E16" s="89" t="str">
        <x:v>Тёмная бронзовая тонировка</x:v>
      </x:c>
      <x:c r="F16" s="89" t="str">
        <x:v>Сильные глубокие тени</x:v>
      </x:c>
      <x:c r="G16" s="89" t="str">
        <x:v>Смуглая кожа, кожаные детали</x:v>
      </x:c>
      <x:c r="H16" s="89" t="str">
        <x:v>Лучше использовать локально или разводить</x:v>
      </x:c>
    </x:row>
    <x:row r="17">
      <x:c r="A17" s="89" t="str">
        <x:v>Black Legion</x:v>
      </x:c>
      <x:c r="B17" s="89" t="str">
        <x:v>Плотный чёрный с читаемыми светами</x:v>
      </x:c>
      <x:c r="C17" s="89" t="str">
        <x:v>Тёплый мягкий чёрный</x:v>
      </x:c>
      <x:c r="D17" s="89" t="str">
        <x:v>Холодный нейтральный чёрный</x:v>
      </x:c>
      <x:c r="E17" s="89" t="str">
        <x:v>Дымчатый тёмный металл</x:v>
      </x:c>
      <x:c r="F17" s="89" t="str">
        <x:v>Глубокие складки и серые вершины</x:v>
      </x:c>
      <x:c r="G17" s="89" t="str">
        <x:v>Чёрная ткань, кожа, цветной металл</x:v>
      </x:c>
      <x:c r="H17" s="89" t="str">
        <x:v>На чёрной подложке почти не создаёт объёма</x:v>
      </x:c>
    </x:row>
    <x:row r="18">
      <x:c r="A18" s="89" t="str">
        <x:v>Apothecary White</x:v>
      </x:c>
      <x:c r="B18" s="89" t="str">
        <x:v>Мягкие светло-серые тени</x:v>
      </x:c>
      <x:c r="C18" s="89" t="str">
        <x:v>Тёплый грязноватый белый</x:v>
      </x:c>
      <x:c r="D18" s="89" t="str">
        <x:v>Холодный серый белый</x:v>
      </x:c>
      <x:c r="E18" s="89" t="str">
        <x:v>Матово-серебристая тонировка</x:v>
      </x:c>
      <x:c r="F18" s="89" t="str">
        <x:v>Белые вершины с выраженными серыми тенями</x:v>
      </x:c>
      <x:c r="G18" s="89" t="str">
        <x:v>Белая броня, ткань</x:v>
      </x:c>
      <x:c r="H18" s="89" t="str">
        <x:v>Это теневая краска, а не непрозрачный белый</x:v>
      </x:c>
    </x:row>
    <x:row r="19">
      <x:c r="A19" s="89" t="str">
        <x:v>Dreadful Visage</x:v>
      </x:c>
      <x:c r="B19" s="89" t="str">
        <x:v>Бледная лилово-серая кожа</x:v>
      </x:c>
      <x:c r="C19" s="89" t="str">
        <x:v>Тёплая мертвенная кожа</x:v>
      </x:c>
      <x:c r="D19" s="89" t="str">
        <x:v>Холодная призрачная кожа</x:v>
      </x:c>
      <x:c r="E19" s="89" t="str">
        <x:v>Серо-лиловая металлическая тонировка</x:v>
      </x:c>
      <x:c r="F19" s="89" t="str">
        <x:v>Отличная зенитальная мертвенная кожа</x:v>
      </x:c>
      <x:c r="G19" s="89" t="str">
        <x:v>Нежить, тени кожи, ткань</x:v>
      </x:c>
      <x:c r="H19" s="89" t="str">
        <x:v>Для живой кожи использовать очень тонко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6bd72454880403d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18" hidden="0" customWidth="1"/>
    <x:col min="4" max="4" width="52" hidden="0" customWidth="1"/>
    <x:col min="5" max="5" width="68" hidden="0" customWidth="1"/>
    <x:col min="6" max="6" width="82" hidden="0" customWidth="1"/>
  </x:cols>
  <x:sheetData>
    <x:row r="1" ht="38" customHeight="1">
      <x:c r="A1" s="245" t="str">
        <x:v>Второй проход аудита: подложки, фильтры и прозрачные системы</x:v>
      </x:c>
      <x:c r="B1" s="245"/>
      <x:c r="C1" s="245"/>
      <x:c r="D1" s="245"/>
      <x:c r="E1" s="245"/>
      <x:c r="F1" s="245"/>
    </x:row>
    <x:row r="3">
      <x:c r="A3" s="251" t="str">
        <x:v>Показатель</x:v>
      </x:c>
      <x:c r="B3" s="251" t="str">
        <x:v>Результат</x:v>
      </x:c>
    </x:row>
    <x:row r="4">
      <x:c r="A4" s="257" t="str">
        <x:v>Рецептов до второго прохода</x:v>
      </x:c>
      <x:c r="B4" s="258" t="n">
        <x:v>75</x:v>
      </x:c>
    </x:row>
    <x:row r="5">
      <x:c r="A5" s="257" t="str">
        <x:v>Новых рецептов</x:v>
      </x:c>
      <x:c r="B5" s="258" t="n">
        <x:v>11</x:v>
      </x:c>
    </x:row>
    <x:row r="6">
      <x:c r="A6" s="257" t="str">
        <x:v>Рецептов после второго прохода</x:v>
      </x:c>
      <x:c r="B6" s="258" t="n">
        <x:v>86</x:v>
      </x:c>
    </x:row>
    <x:row r="7">
      <x:c r="A7" s="257" t="str">
        <x:v>Новых универсальных процессов</x:v>
      </x:c>
      <x:c r="B7" s="258" t="n">
        <x:v>4</x:v>
      </x:c>
    </x:row>
    <x:row r="8">
      <x:c r="A8" s="257" t="str">
        <x:v>Добавлена матрица подложек</x:v>
      </x:c>
      <x:c r="B8" s="258" t="str">
        <x:v>15 прозрачных красок × 5 типов подложки</x:v>
      </x:c>
    </x:row>
    <x:row r="9">
      <x:c r="A9" s="257" t="str">
        <x:v>Исправлена системная терминология</x:v>
      </x:c>
      <x:c r="B9" s="257" t="str">
        <x:v>Грунт отделён от Base-подложки</x:v>
      </x:c>
    </x:row>
    <x:row r="10">
      <x:c r="A10" s="257" t="str">
        <x:v>Ключевой принцип</x:v>
      </x:c>
      <x:c r="B10" s="257" t="str">
        <x:v>Прозрачная краска наследует светлоту, температуру и блеск подложки</x:v>
      </x:c>
    </x:row>
    <x:row r="13">
      <x:c r="A13" s="254" t="str">
        <x:v>ID</x:v>
      </x:c>
      <x:c r="B13" s="254" t="str">
        <x:v>Область</x:v>
      </x:c>
      <x:c r="C13" s="254" t="str">
        <x:v>Статус</x:v>
      </x:c>
      <x:c r="D13" s="254" t="str">
        <x:v>Что обнаружено</x:v>
      </x:c>
      <x:c r="E13" s="254" t="str">
        <x:v>Действие</x:v>
      </x:c>
      <x:c r="F13" s="254" t="str">
        <x:v>Основание</x:v>
      </x:c>
    </x:row>
    <x:row r="14">
      <x:c r="A14" s="89" t="str">
        <x:v>AUD2-01</x:v>
      </x:c>
      <x:c r="B14" s="89" t="str">
        <x:v>Grey Seer и Wraithbone</x:v>
      </x:c>
      <x:c r="C14" s="89" t="str">
        <x:v>Высокое</x:v>
      </x:c>
      <x:c r="D14" s="89" t="str">
        <x:v>В банках это Base, а не грунты для голого пластика.</x:v>
      </x:c>
      <x:c r="E14" s="89" t="str">
        <x:v>Во всех инструкциях добавлено: сначала AK/Vallejo Primer, затем цветная Base-подложка.</x:v>
      </x:c>
      <x:c r="F14" s="89" t="str">
        <x:v>Warhammer Colour описывает Wraithbone/Grey Seer как светлые основы для Contrast; инвентаризация пользователя содержит именно банки Base.</x:v>
      </x:c>
    </x:row>
    <x:row r="15">
      <x:c r="A15" s="89" t="str">
        <x:v>AUD2-02</x:v>
      </x:c>
      <x:c r="B15" s="89" t="str">
        <x:v>Зенитальная подложка</x:v>
      </x:c>
      <x:c r="C15" s="89" t="str">
        <x:v>Добавлено</x:v>
      </x:c>
      <x:c r="D15" s="89" t="str">
        <x:v>Матрица не использовала предварительное распределение светотени.</x:v>
      </x:c>
      <x:c r="E15" s="89" t="str">
        <x:v>Добавлены зенитальная бледная кожа и универсальный workflow Black → Grey → White → прозрачный цвет.</x:v>
      </x:c>
      <x:c r="F15" s="89" t="str">
        <x:v>Официальная команда 'Eavy Metal рекомендует более светлые распыления под возрастающим углом с последующим Contrast.</x:v>
      </x:c>
    </x:row>
    <x:row r="16">
      <x:c r="A16" s="89" t="str">
        <x:v>AUD2-03</x:v>
      </x:c>
      <x:c r="B16" s="89" t="str">
        <x:v>Game Inks</x:v>
      </x:c>
      <x:c r="C16" s="89" t="str">
        <x:v>Добавлено</x:v>
      </x:c>
      <x:c r="D16" s="89" t="str">
        <x:v>Чернила использовались только как локальная лессировка.</x:v>
      </x:c>
      <x:c r="E16" s="89" t="str">
        <x:v>Добавлен полноценный цветной фильтр по готовой серой светотени.</x:v>
      </x:c>
      <x:c r="F16" s="89" t="str">
        <x:v>Vallejo указывает, что Game Inks остаются прозрачными после нескольких слоёв и сохраняют ранее нанесённые детали.</x:v>
      </x:c>
    </x:row>
    <x:row r="17">
      <x:c r="A17" s="89" t="str">
        <x:v>AUD2-04</x:v>
      </x:c>
      <x:c r="B17" s="89" t="str">
        <x:v>Светящийся камень</x:v>
      </x:c>
      <x:c r="C17" s="89" t="str">
        <x:v>Добавлено</x:v>
      </x:c>
      <x:c r="D17" s="89" t="str">
        <x:v>Не было схемы свечения на основе имеющихся Red Ink и флуоресцентов.</x:v>
      </x:c>
      <x:c r="E17" s="89" t="str">
        <x:v>Добавлена последовательность White → Red Ink → White line → Orange Fluo → Orange/Yellow Fluo.</x:v>
      </x:c>
      <x:c r="F17" s="89" t="str">
        <x:v>Адаптация официального Vallejo tutorial glowing gemstone.</x:v>
      </x:c>
    </x:row>
    <x:row r="18">
      <x:c r="A18" s="89" t="str">
        <x:v>AUD2-05</x:v>
      </x:c>
      <x:c r="B18" s="89" t="str">
        <x:v>Кожа Rakarth Flesh</x:v>
      </x:c>
      <x:c r="C18" s="89" t="str">
        <x:v>Добавлено</x:v>
      </x:c>
      <x:c r="D18" s="89" t="str">
        <x:v>Не использовался специализированный Targor Rageshade.</x:v>
      </x:c>
      <x:c r="E18" s="89" t="str">
        <x:v>Добавлена обветренная бледная кожа Rakarth Flesh → Targor → светлые слои.</x:v>
      </x:c>
      <x:c r="F18" s="89" t="str">
        <x:v>Warhammer Colour прямо рекомендует Targor Rageshade по Rakarth Flesh для бледной воинственной кожи.</x:v>
      </x:c>
    </x:row>
    <x:row r="19">
      <x:c r="A19" s="89" t="str">
        <x:v>AUD2-06</x:v>
      </x:c>
      <x:c r="B19" s="89" t="str">
        <x:v>Кость Screaming Skull</x:v>
      </x:c>
      <x:c r="C19" s="89" t="str">
        <x:v>Добавлено</x:v>
      </x:c>
      <x:c r="D19" s="89" t="str">
        <x:v>Soulblight Grey использовался, но не в рекомендованной связке с костью.</x:v>
      </x:c>
      <x:c r="E19" s="89" t="str">
        <x:v>Добавлена выветренная кость Screaming Skull → Soulblight Grey → drybrush.</x:v>
      </x:c>
      <x:c r="F19" s="89" t="str">
        <x:v>Warhammer Colour рекомендует Soulblight Grey поверх Screaming Skull для старой кости.</x:v>
      </x:c>
    </x:row>
    <x:row r="20">
      <x:c r="A20" s="89" t="str">
        <x:v>AUD2-07</x:v>
      </x:c>
      <x:c r="B20" s="89" t="str">
        <x:v>Contrast по металлу</x:v>
      </x:c>
      <x:c r="C20" s="89" t="str">
        <x:v>Добавлено</x:v>
      </x:c>
      <x:c r="D20" s="89" t="str">
        <x:v>Был только один сложный цветной металлический рецепт.</x:v>
      </x:c>
      <x:c r="E20" s="89" t="str">
        <x:v>Добавлена быстрая тёмная металлическая броня с Black Legion + Contrast Medium.</x:v>
      </x:c>
      <x:c r="F20" s="89" t="str">
        <x:v>Официальный пример использует Base-металл по чёрному грунту и Contrast с Medium для быстрой тёмной брони.</x:v>
      </x:c>
    </x:row>
    <x:row r="21">
      <x:c r="A21" s="89" t="str">
        <x:v>AUD2-08</x:v>
      </x:c>
      <x:c r="B21" s="89" t="str">
        <x:v>Смешивание брендов</x:v>
      </x:c>
      <x:c r="C21" s="89" t="str">
        <x:v>Ограничение</x:v>
      </x:c>
      <x:c r="D21" s="89" t="str">
        <x:v>Матрица содержит смеси Citadel, AK и Vallejo.</x:v>
      </x:c>
      <x:c r="E21" s="89" t="str">
        <x:v>Добавлен обязательный тест на палитре и рекомендация использовать медиум той же системы.</x:v>
      </x:c>
      <x:c r="F21" s="89" t="str">
        <x:v>Это практическое ограничение: водная акриловая база совместима, но вязкость, матовость и поверхностное натяжение различаются.</x:v>
      </x:c>
    </x:row>
    <x:row r="25">
      <x:c r="A25" s="260" t="str">
        <x:v>ID</x:v>
      </x:c>
      <x:c r="B25" s="260" t="str">
        <x:v>Источник / идея</x:v>
      </x:c>
      <x:c r="C25" s="260" t="str">
        <x:v>URL</x:v>
      </x:c>
    </x:row>
    <x:row r="26">
      <x:c r="A26" s="257" t="str">
        <x:v>SRC2-01</x:v>
      </x:c>
      <x:c r="B26" s="257" t="str">
        <x:v>Warhammer: Contrast для быстрой армии, Contrast + Medium по металлу, Black Legion и дальнейшие высветления</x:v>
      </x:c>
      <x:c r="C26" s="257" t="str">
        <x:v>https://www.warhammer-community.com/en-gb/articles/9o0iwlza/contrast-tips-for-beginners-how-to-get-started-with-the-citadel-colour-secret-sauce/</x:v>
      </x:c>
    </x:row>
    <x:row r="27">
      <x:c r="A27" s="257" t="str">
        <x:v>SRC2-02</x:v>
      </x:c>
      <x:c r="B27" s="257" t="str">
        <x:v>Warhammer: зенитальная подложка под Contrast для бледной кожи</x:v>
      </x:c>
      <x:c r="C27" s="257" t="str">
        <x:v>https://www.warhammer-community.com/en-gb/articles/MtjsbjPN/painting-the-flesh-eater-courts-how-eavy-metal-rendered-the-royal-court/</x:v>
      </x:c>
    </x:row>
    <x:row r="28">
      <x:c r="A28" s="257" t="str">
        <x:v>SRC2-03</x:v>
      </x:c>
      <x:c r="B28" s="257" t="str">
        <x:v>Warhammer: Tyran Blue по металлу, Targor по Rakarth Flesh, Soulblight Grey по Screaming Skull</x:v>
      </x:c>
      <x:c r="C28" s="257" t="str">
        <x:v>https://www.warhammer-community.com/en-gb/articles/kW3ytOxF/top-tips-for-using-the-seven-all-new-shade-paints/</x:v>
      </x:c>
    </x:row>
    <x:row r="29">
      <x:c r="A29" s="257" t="str">
        <x:v>SRC2-04</x:v>
      </x:c>
      <x:c r="B29" s="257" t="str">
        <x:v>Warhammer: Black Legion, Sigvald Burgundy и разбавленные Guilliman Flesh/Darkoath</x:v>
      </x:c>
      <x:c r="C29" s="257" t="str">
        <x:v>https://www.warhammer-community.com/en-gb/articles/bXLDohrz/how-have-the-warhammertv-painting-team-been-using-the-new-citadel-colour-range/</x:v>
      </x:c>
    </x:row>
    <x:row r="30">
      <x:c r="A30" s="257" t="str">
        <x:v>SRC2-05</x:v>
      </x:c>
      <x:c r="B30" s="257" t="str">
        <x:v>Vallejo: Game Inks как прозрачные фильтры и лессировки</x:v>
      </x:c>
      <x:c r="C30" s="257" t="str">
        <x:v>https://acrylicosvallejo.com/wp-content/uploads/2021/10/vallejo-stepbystep-game-inks-in-mecha-modelling-EN.pdf</x:v>
      </x:c>
    </x:row>
    <x:row r="31">
      <x:c r="A31" s="257" t="str">
        <x:v>SRC2-06</x:v>
      </x:c>
      <x:c r="B31" s="257" t="str">
        <x:v>Vallejo: glowing gemstone через White, Red Ink и Fluorescent Orange/Yellow</x:v>
      </x:c>
      <x:c r="C31" s="257" t="str">
        <x:v>https://acrylicosvallejo.com/wp-content/uploads/2022/04/vallejo-stepbystep-how-to-paint-a-glowing-effect-on-a-gemstone-EN.pdf</x:v>
      </x:c>
    </x:row>
    <x:row r="32">
      <x:c r="A32" s="257" t="str">
        <x:v>SRC2-07</x:v>
      </x:c>
      <x:c r="B32" s="257" t="str">
        <x:v>Vallejo: Xpress Color — прозрачная матовая система для одного слоя</x:v>
      </x:c>
      <x:c r="C32" s="257" t="str">
        <x:v>https://acrylicosvallejo.com/en/category/hobby/xpress-color-en/</x:v>
      </x:c>
    </x:row>
    <x:row r="33">
      <x:c r="A33" s="257" t="str">
        <x:v>SRC2-08</x:v>
      </x:c>
      <x:c r="B33" s="257" t="str">
        <x:v>AK: Basic Skin Colors — переходы, высветления и лессировки</x:v>
      </x:c>
      <x:c r="C33" s="257" t="str">
        <x:v>https://ak-interactive.com/product/wargame-color-set-basic-skin-colors/</x:v>
      </x:c>
    </x:row>
    <x:row r="34">
      <x:c r="A34" s="257" t="str">
        <x:v>SRC2-09</x:v>
      </x:c>
      <x:c r="B34" s="257" t="str">
        <x:v>AK: NMM Silver — четырёхступенчатая холодная цепочка</x:v>
      </x:c>
      <x:c r="C34" s="257" t="str">
        <x:v>https://ak-interactive.com/product/wargame-color-set-non-metallic-metal-silver-with-brush/</x:v>
      </x:c>
    </x:row>
  </x:sheetData>
  <x:mergeCells>
    <x:mergeCell ref="A1:F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36" hidden="0" customWidth="1"/>
    <x:col min="4" max="4" width="36" hidden="0" customWidth="1"/>
    <x:col min="5" max="5" width="48" hidden="0" customWidth="1"/>
    <x:col min="6" max="6" width="41" hidden="0" customWidth="1"/>
    <x:col min="7" max="7" width="56" hidden="0" customWidth="1"/>
  </x:cols>
  <x:sheetData>
    <x:row r="1" ht="38" customHeight="1">
      <x:c r="A1" s="281" t="str">
        <x:v>Роли красок и технологические ограничения</x:v>
      </x:c>
      <x:c r="B1" s="281"/>
      <x:c r="C1" s="281"/>
      <x:c r="D1" s="281"/>
      <x:c r="E1" s="281"/>
      <x:c r="F1" s="281"/>
      <x:c r="G1" s="281"/>
    </x:row>
    <x:row r="3" ht="40" customHeight="1">
      <x:c r="A3" s="286" t="str">
        <x:v>Тип</x:v>
      </x:c>
      <x:c r="B3" s="286" t="str">
        <x:v>Примеры из коллекции</x:v>
      </x:c>
      <x:c r="C3" s="286" t="str">
        <x:v>Основная роль</x:v>
      </x:c>
      <x:c r="D3" s="286" t="str">
        <x:v>Где особенно хорош</x:v>
      </x:c>
      <x:c r="E3" s="286" t="str">
        <x:v>Чего не делать</x:v>
      </x:c>
      <x:c r="F3" s="286" t="str">
        <x:v>Подходящий медиум / растворитель</x:v>
      </x:c>
      <x:c r="G3" s="286" t="str">
        <x:v>Практическое правило</x:v>
      </x:c>
    </x:row>
    <x:row r="4">
      <x:c r="A4" s="89" t="str">
        <x:v>Primer</x:v>
      </x:c>
      <x:c r="B4" s="89" t="str">
        <x:v>AK Black Primer, AK White Primer, Vallejo Ivory Primer</x:v>
      </x:c>
      <x:c r="C4" s="89" t="str">
        <x:v>Адгезионная подготовка поверхности</x:v>
      </x:c>
      <x:c r="D4" s="89" t="str">
        <x:v>Голый пластик, смола, металл</x:v>
      </x:c>
      <x:c r="E4" s="89" t="str">
        <x:v>Не считать Grey Seer/Wraithbone из банок грунтами</x:v>
      </x:c>
      <x:c r="F4" s="89" t="str">
        <x:v>По инструкции производителя</x:v>
      </x:c>
      <x:c r="G4" s="89" t="str">
        <x:v>Наносить тонко и полностью высушивать перед Base.</x:v>
      </x:c>
    </x:row>
    <x:row r="5">
      <x:c r="A5" s="89" t="str">
        <x:v>Base / Standard / Opaque</x:v>
      </x:c>
      <x:c r="B5" s="89" t="str">
        <x:v>Citadel Base, AK 3GEN Standard/Intense, Vallejo Model/Game/Mecha</x:v>
      </x:c>
      <x:c r="C5" s="89" t="str">
        <x:v>Непрозрачная база и восстановление среднего тона</x:v>
      </x:c>
      <x:c r="D5" s="89" t="str">
        <x:v>Броня, ткань, кожа, камень</x:v>
      </x:c>
      <x:c r="E5" s="89" t="str">
        <x:v>Не пытаться закрыть поверхность одним толстым слоем</x:v>
      </x:c>
      <x:c r="F5" s="89" t="str">
        <x:v>Вода или акриловый медиум; для аэрографа — подходящий thinner</x:v>
      </x:c>
      <x:c r="G5" s="89" t="str">
        <x:v>Лучше 2–3 тонких слоя, чем один толстый.</x:v>
      </x:c>
    </x:row>
    <x:row r="6">
      <x:c r="A6" s="89" t="str">
        <x:v>Layer</x:v>
      </x:c>
      <x:c r="B6" s="89" t="str">
        <x:v>Citadel Layer</x:v>
      </x:c>
      <x:c r="C6" s="89" t="str">
        <x:v>Высветления и переходы</x:v>
      </x:c>
      <x:c r="D6" s="89" t="str">
        <x:v>Кромки, выступы, лица</x:v>
      </x:c>
      <x:c r="E6" s="89" t="str">
        <x:v>Не наносить каждый Layer на всю площадь</x:v>
      </x:c>
      <x:c r="F6" s="89" t="str">
        <x:v>Вода или Lahmian Medium</x:v>
      </x:c>
      <x:c r="G6" s="89" t="str">
        <x:v>Каждый следующий Layer занимает меньшую площадь.</x:v>
      </x:c>
    </x:row>
    <x:row r="7">
      <x:c r="A7" s="89" t="str">
        <x:v>Air / Model Air / Game Air / Mecha</x:v>
      </x:c>
      <x:c r="B7" s="89" t="str">
        <x:v>Mephiston Red Air, Game Air Pale Flesh, Model Air Sea Grey</x:v>
      </x:c>
      <x:c r="C7" s="89" t="str">
        <x:v>Тонкие ровные слои и аэрограф</x:v>
      </x:c>
      <x:c r="D7" s="89" t="str">
        <x:v>Гладкие поверхности и прозрачные переходы</x:v>
      </x:c>
      <x:c r="E7" s="89" t="str">
        <x:v>Не ожидать высокой укрывистости за один проход кистью</x:v>
      </x:c>
      <x:c r="F7" s="89" t="str">
        <x:v>Airbrush Thinner/Flow Improver для аэрографа</x:v>
      </x:c>
      <x:c r="G7" s="89" t="str">
        <x:v>Кистью наносить несколькими тонкими слоями; производители допускают применение кистью.</x:v>
      </x:c>
    </x:row>
    <x:row r="8">
      <x:c r="A8" s="89" t="str">
        <x:v>Shade / Wash</x:v>
      </x:c>
      <x:c r="B8" s="89" t="str">
        <x:v>Nuln Oil, Agrax, Druchii, Tyran Blue, Vallejo Rust Wash</x:v>
      </x:c>
      <x:c r="C8" s="89" t="str">
        <x:v>Тень в углублениях и цветная тонировка</x:v>
      </x:c>
      <x:c r="D8" s="89" t="str">
        <x:v>Фактура, складки, панельные линии</x:v>
      </x:c>
      <x:c r="E8" s="89" t="str">
        <x:v>Не заливать автоматически каждую гладкую панель целиком</x:v>
      </x:c>
      <x:c r="F8" s="89" t="str">
        <x:v>Обычно из банки; при необходимости подходящий медиум</x:v>
      </x:c>
      <x:c r="G8" s="89" t="str">
        <x:v>На гладкой броне лучше локальная recess-shade.</x:v>
      </x:c>
    </x:row>
    <x:row r="9">
      <x:c r="A9" s="89" t="str">
        <x:v>Contrast / Xpress</x:v>
      </x:c>
      <x:c r="B9" s="89" t="str">
        <x:v>Blood Angels Red, Warp Lightning, Black Legion, Mystic Blue</x:v>
      </x:c>
      <x:c r="C9" s="89" t="str">
        <x:v>Прозрачная база + тень за один проход</x:v>
      </x:c>
      <x:c r="D9" s="89" t="str">
        <x:v>Фактурные поверхности, мех, ткань, лица</x:v>
      </x:c>
      <x:c r="E9" s="89" t="str">
        <x:v>Не использовать без контроля на больших плоских панелях</x:v>
      </x:c>
      <x:c r="F9" s="89" t="str">
        <x:v>Contrast Medium или Xpress Medium соответственно</x:v>
      </x:c>
      <x:c r="G9" s="89" t="str">
        <x:v>Светлая подложка определяет яркость, температуру и объём.</x:v>
      </x:c>
    </x:row>
    <x:row r="10">
      <x:c r="A10" s="89" t="str">
        <x:v>Game Ink</x:v>
      </x:c>
      <x:c r="B10" s="89" t="str">
        <x:v>Red, Yellow, Green, Blue, Violet Ink</x:v>
      </x:c>
      <x:c r="C10" s="89" t="str">
        <x:v>Прозрачный фильтр и лессировка</x:v>
      </x:c>
      <x:c r="D10" s="89" t="str">
        <x:v>Свечение, цветная броня, объединение переходов</x:v>
      </x:c>
      <x:c r="E10" s="89" t="str">
        <x:v>Не использовать как непрозрачную базу</x:v>
      </x:c>
      <x:c r="F10" s="89" t="str">
        <x:v>Lahmian Medium или акриловый glaze medium</x:v>
      </x:c>
      <x:c r="G10" s="89" t="str">
        <x:v>Светотень под Ink остаётся видимой даже после нескольких тонких слоёв.</x:v>
      </x:c>
    </x:row>
    <x:row r="11">
      <x:c r="A11" s="89" t="str">
        <x:v>Fluorescent</x:v>
      </x:c>
      <x:c r="B11" s="89" t="str">
        <x:v>Yellow, Green, Orange, Magenta Fluorescent</x:v>
      </x:c>
      <x:c r="C11" s="89" t="str">
        <x:v>Максимально яркий цвет и OSL</x:v>
      </x:c>
      <x:c r="D11" s="89" t="str">
        <x:v>Плазма, магия, линзы, яд</x:v>
      </x:c>
      <x:c r="E11" s="89" t="str">
        <x:v>Не наносить прямо на тёмную основу</x:v>
      </x:c>
      <x:c r="F11" s="89" t="str">
        <x:v>Тонкие слои; при необходимости прозрачный медиум</x:v>
      </x:c>
      <x:c r="G11" s="89" t="str">
        <x:v>Сначала White, затем 2–4 тонких Fluorescent-слоя.</x:v>
      </x:c>
    </x:row>
    <x:row r="12">
      <x:c r="A12" s="89" t="str">
        <x:v>Dry</x:v>
      </x:c>
      <x:c r="B12" s="89" t="str">
        <x:v>Ryza Rust, Golden Griffon, Necron Compound, Longbeard Grey</x:v>
      </x:c>
      <x:c r="C12" s="89" t="str">
        <x:v>Быстрое высветление рельефа</x:v>
      </x:c>
      <x:c r="D12" s="89" t="str">
        <x:v>Камень, мех, цепи, коррозия</x:v>
      </x:c>
      <x:c r="E12" s="89" t="str">
        <x:v>Не использовать как обычный Layer на гладкой плоскости</x:v>
      </x:c>
      <x:c r="F12" s="89" t="str">
        <x:v>Обычно без разведения</x:v>
      </x:c>
      <x:c r="G12" s="89" t="str">
        <x:v>Почти сухая кисть; каждый следующий цвет наносить легче.</x:v>
      </x:c>
    </x:row>
    <x:row r="13">
      <x:c r="A13" s="89" t="str">
        <x:v>Technical — gemstone/gloss</x:v>
      </x:c>
      <x:c r="B13" s="89" t="str">
        <x:v>Soulstone Blue, Spiritstone Red, Waystone Green, Nurgle's Rot</x:v>
      </x:c>
      <x:c r="C13" s="89" t="str">
        <x:v>Прозрачный глянцевый спецэффект</x:v>
      </x:c>
      <x:c r="D13" s="89" t="str">
        <x:v>Камни, линзы, слизь</x:v>
      </x:c>
      <x:c r="E13" s="89" t="str">
        <x:v>Не перекрывать общим матовым лаком</x:v>
      </x:c>
      <x:c r="F13" s="89" t="str">
        <x:v>Обычно из банки</x:v>
      </x:c>
      <x:c r="G13" s="89" t="str">
        <x:v>Наносить последним или восстанавливать Gloss после лака.</x:v>
      </x:c>
    </x:row>
    <x:row r="14">
      <x:c r="A14" s="89" t="str">
        <x:v>Technical — texture/weathering</x:v>
      </x:c>
      <x:c r="B14" s="89" t="str">
        <x:v>Typhus Corrosion, Agrellan Earth, Agrellan Badland</x:v>
      </x:c>
      <x:c r="C14" s="89" t="str">
        <x:v>Фактура, трещины, коррозия</x:v>
      </x:c>
      <x:c r="D14" s="89" t="str">
        <x:v>Подставки и повреждения</x:v>
      </x:c>
      <x:c r="E14" s="89" t="str">
        <x:v>Не наносить слишком тонко там, где нужен выраженный рельеф</x:v>
      </x:c>
      <x:c r="F14" s="89" t="str">
        <x:v>По инструкции; не разбавлять без необходимости</x:v>
      </x:c>
      <x:c r="G14" s="89" t="str">
        <x:v>Полностью высушить до Wash и drybrush.</x:v>
      </x:c>
    </x:row>
    <x:row r="15">
      <x:c r="A15" s="89" t="str">
        <x:v>Diorama paste</x:v>
      </x:c>
      <x:c r="B15" s="89" t="str">
        <x:v>AK Asphalt, AK Light Earth</x:v>
      </x:c>
      <x:c r="C15" s="89" t="str">
        <x:v>Готовая объёмная фактура</x:v>
      </x:c>
      <x:c r="D15" s="89" t="str">
        <x:v>Подставки и террейн</x:v>
      </x:c>
      <x:c r="E15" s="89" t="str">
        <x:v>Не запечатывать лаком до полного высыхания массы</x:v>
      </x:c>
      <x:c r="F15" s="89" t="str">
        <x:v>Вода для очистки инструмента до высыхания</x:v>
      </x:c>
      <x:c r="G15" s="89" t="str">
        <x:v>Толстый слой сохнет дольше поверхностно сухого.</x:v>
      </x:c>
    </x:row>
    <x:row r="16">
      <x:c r="A16" s="89" t="str">
        <x:v>Metallic</x:v>
      </x:c>
      <x:c r="B16" s="89" t="str">
        <x:v>Vallejo Metal Color, Leadbelcher, Retributor, Runefang</x:v>
      </x:c>
      <x:c r="C16" s="89" t="str">
        <x:v>Настоящее металлическое отражение</x:v>
      </x:c>
      <x:c r="D16" s="89" t="str">
        <x:v>Оружие, броня, украшения</x:v>
      </x:c>
      <x:c r="E16" s="89" t="str">
        <x:v>Не перекрывать толстым матовым лаком</x:v>
      </x:c>
      <x:c r="F16" s="89" t="str">
        <x:v>Подходящий акриловый thinner при аэрографе</x:v>
      </x:c>
      <x:c r="G16" s="89" t="str">
        <x:v>Shade локально, затем вернуть чистый металл на свет.</x:v>
      </x:c>
    </x:row>
    <x:row r="17">
      <x:c r="A17" s="89" t="str">
        <x:v>Varnish</x:v>
      </x:c>
      <x:c r="B17" s="89" t="str">
        <x:v>AK Matt, Vallejo Gloss, Satin, Metal Varnish</x:v>
      </x:c>
      <x:c r="C17" s="89" t="str">
        <x:v>Защита и управление блеском</x:v>
      </x:c>
      <x:c r="D17" s="89" t="str">
        <x:v>Финальный слой, масла, decals</x:v>
      </x:c>
      <x:c r="E17" s="89" t="str">
        <x:v>Не наносить толстым мокрым слоем</x:v>
      </x:c>
      <x:c r="F17" s="89" t="str">
        <x:v>Для аэрографа — совместимый thinner</x:v>
      </x:c>
      <x:c r="G17" s="89" t="str">
        <x:v>Несколько тонких слоёв надёжнее одного толстого; Metal Varnish сохраняет металлический блеск.</x:v>
      </x:c>
    </x:row>
    <x:row r="18">
      <x:c r="A18" s="89" t="str">
        <x:v>Oil</x:v>
      </x:c>
      <x:c r="B18" s="89" t="str">
        <x:v>Серая Пейна, Сажа газовая, Умбра жжёная</x:v>
      </x:c>
      <x:c r="C18" s="89" t="str">
        <x:v>Фильтры, pin-wash, грязь и мягкие тени</x:v>
      </x:c>
      <x:c r="D18" s="89" t="str">
        <x:v>Гримдарк, техника, лица после защиты</x:v>
      </x:c>
      <x:c r="E18" s="89" t="str">
        <x:v>Не покрывать лаком липкое масло</x:v>
      </x:c>
      <x:c r="F18" s="89" t="str">
        <x:v>Подходящий мягкий растворитель для художественного масла</x:v>
      </x:c>
      <x:c r="G18" s="89" t="str">
        <x:v>Работать по отверждённому лаку и ждать полного высыхания несколько дней.</x:v>
      </x:c>
    </x:row>
    <x:row r="19">
      <x:c r="A19" s="89"/>
      <x:c r="B19" s="89"/>
      <x:c r="C19" s="89"/>
      <x:c r="D19" s="89"/>
      <x:c r="E19" s="89"/>
      <x:c r="F19" s="89"/>
      <x:c r="G19" s="89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9a89ac2380994607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18" hidden="0" customWidth="1"/>
    <x:col min="4" max="4" width="52" hidden="0" customWidth="1"/>
    <x:col min="5" max="5" width="70" hidden="0" customWidth="1"/>
    <x:col min="6" max="6" width="84" hidden="0" customWidth="1"/>
  </x:cols>
  <x:sheetData>
    <x:row r="1" ht="38" customHeight="1">
      <x:c r="A1" s="281" t="str">
        <x:v>Третий проход аудита: роли красок, быстрые официальные схемы и террейн</x:v>
      </x:c>
      <x:c r="B1" s="281"/>
      <x:c r="C1" s="281"/>
      <x:c r="D1" s="281"/>
      <x:c r="E1" s="281"/>
      <x:c r="F1" s="281"/>
    </x:row>
    <x:row r="3">
      <x:c r="A3" s="283" t="str">
        <x:v>Показатель</x:v>
      </x:c>
      <x:c r="B3" s="283" t="str">
        <x:v>Результат</x:v>
      </x:c>
    </x:row>
    <x:row r="4">
      <x:c r="A4" s="289" t="str">
        <x:v>Рецептов до третьего прохода</x:v>
      </x:c>
      <x:c r="B4" s="290" t="n">
        <x:v>86</x:v>
      </x:c>
    </x:row>
    <x:row r="5">
      <x:c r="A5" s="289" t="str">
        <x:v>Новых рецептов</x:v>
      </x:c>
      <x:c r="B5" s="290" t="n">
        <x:v>14</x:v>
      </x:c>
    </x:row>
    <x:row r="6">
      <x:c r="A6" s="289" t="str">
        <x:v>Рецептов после третьего прохода</x:v>
      </x:c>
      <x:c r="B6" s="290" t="n">
        <x:v>100</x:v>
      </x:c>
    </x:row>
    <x:row r="7">
      <x:c r="A7" s="289" t="str">
        <x:v>Новых рецептов подставок и террейна</x:v>
      </x:c>
      <x:c r="B7" s="290" t="n">
        <x:v>5</x:v>
      </x:c>
    </x:row>
    <x:row r="8">
      <x:c r="A8" s="289" t="str">
        <x:v>Новых цветных металлических схем</x:v>
      </x:c>
      <x:c r="B8" s="290" t="n">
        <x:v>5</x:v>
      </x:c>
    </x:row>
    <x:row r="9">
      <x:c r="A9" s="289" t="str">
        <x:v>Новых быстрых схем кожи/дерева/ткани/меха</x:v>
      </x:c>
      <x:c r="B9" s="290" t="n">
        <x:v>4</x:v>
      </x:c>
    </x:row>
    <x:row r="10">
      <x:c r="A10" s="289" t="str">
        <x:v>Добавлен справочник ролей красок</x:v>
      </x:c>
      <x:c r="B10" s="290" t="n">
        <x:v>15</x:v>
      </x:c>
    </x:row>
    <x:row r="11">
      <x:c r="A11" s="289" t="str">
        <x:v>Ключевое улучшение</x:v>
      </x:c>
      <x:c r="B11" s="289" t="str">
        <x:v>Air, Dry, Technical, Ink и Contrast теперь имеют отдельные ограничения применения</x:v>
      </x:c>
    </x:row>
    <x:row r="14">
      <x:c r="A14" s="286" t="str">
        <x:v>ID</x:v>
      </x:c>
      <x:c r="B14" s="286" t="str">
        <x:v>Область</x:v>
      </x:c>
      <x:c r="C14" s="286" t="str">
        <x:v>Статус</x:v>
      </x:c>
      <x:c r="D14" s="286" t="str">
        <x:v>Что обнаружено</x:v>
      </x:c>
      <x:c r="E14" s="286" t="str">
        <x:v>Действие</x:v>
      </x:c>
      <x:c r="F14" s="286" t="str">
        <x:v>Основание</x:v>
      </x:c>
    </x:row>
    <x:row r="15">
      <x:c r="A15" s="89" t="str">
        <x:v>AUD3-01</x:v>
      </x:c>
      <x:c r="B15" s="89" t="str">
        <x:v>Contrast на плоскостях</x:v>
      </x:c>
      <x:c r="C15" s="89" t="str">
        <x:v>Ограничение</x:v>
      </x:c>
      <x:c r="D15" s="89" t="str">
        <x:v>Часть ранних рецептов могла восприниматься как пригодная для любых гладких панелей.</x:v>
      </x:c>
      <x:c r="E15" s="89" t="str">
        <x:v>В справочнике закреплено: Contrast лучше работает на фактуре; большие панели красить секциями либо использовать обычные акрилы/фильтры.</x:v>
      </x:c>
      <x:c r="F15" s="89" t="str">
        <x:v>Warhammer Community прямо предупреждает не использовать Contrast без контроля на больших плоских поверхностях техники.</x:v>
      </x:c>
    </x:row>
    <x:row r="16">
      <x:c r="A16" s="89" t="str">
        <x:v>AUD3-02</x:v>
      </x:c>
      <x:c r="B16" s="89" t="str">
        <x:v>Dry-краски</x:v>
      </x:c>
      <x:c r="C16" s="89" t="str">
        <x:v>Уточнено</x:v>
      </x:c>
      <x:c r="D16" s="89" t="str">
        <x:v>Ryza Rust, Longbeard Grey и Necron Compound ранее фигурировали только внутри рецептов.</x:v>
      </x:c>
      <x:c r="E16" s="89" t="str">
        <x:v>Добавлена отдельная роль: Dry предназначены для рельефа, меха, цепей, камня и коррозии, а не для гладкой многослойки.</x:v>
      </x:c>
      <x:c r="F16" s="89" t="str">
        <x:v>Warhammer Colour описывает Dry как быстрый способ высветлять сложную фактуру.</x:v>
      </x:c>
    </x:row>
    <x:row r="17">
      <x:c r="A17" s="89" t="str">
        <x:v>AUD3-03</x:v>
      </x:c>
      <x:c r="B17" s="89" t="str">
        <x:v>Air-краски кистью</x:v>
      </x:c>
      <x:c r="C17" s="89" t="str">
        <x:v>Подтверждено</x:v>
      </x:c>
      <x:c r="D17" s="89" t="str">
        <x:v>Mephiston Red Air и Vallejo Air могли казаться исключительно аэрографными.</x:v>
      </x:c>
      <x:c r="E17" s="89" t="str">
        <x:v>Закреплено: их можно наносить кистью, но несколькими тонкими слоями.</x:v>
      </x:c>
      <x:c r="F17" s="89" t="str">
        <x:v>Vallejo официально допускает Model Air/Game Air кистью; тонкая консистенция требует нескольких проходов.</x:v>
      </x:c>
    </x:row>
    <x:row r="18">
      <x:c r="A18" s="89" t="str">
        <x:v>AUD3-04</x:v>
      </x:c>
      <x:c r="B18" s="89" t="str">
        <x:v>Цветной металл</x:v>
      </x:c>
      <x:c r="C18" s="89" t="str">
        <x:v>Расширено</x:v>
      </x:c>
      <x:c r="D18" s="89" t="str">
        <x:v>Потенциал Doomfire Magenta, Druchii Violet и Warp Lightning по металлу использовался частично.</x:v>
      </x:c>
      <x:c r="E18" s="89" t="str">
        <x:v>Добавлены пурпурное золото, проклятая сталь, болезненный зелёный металл и два энергетических оружия.</x:v>
      </x:c>
      <x:c r="F18" s="89" t="str">
        <x:v>Warhammer Community приводит цветные Contrast/Shade поверх золота, стали, Leadbelcher и Runelord Brass как рабочие эффекты.</x:v>
      </x:c>
    </x:row>
    <x:row r="19">
      <x:c r="A19" s="89" t="str">
        <x:v>AUD3-05</x:v>
      </x:c>
      <x:c r="B19" s="89" t="str">
        <x:v>Кожа и дерево</x:v>
      </x:c>
      <x:c r="C19" s="89" t="str">
        <x:v>Добавлено</x:v>
      </x:c>
      <x:c r="D19" s="89" t="str">
        <x:v>Не использовались две прямые официальные схемы из имеющихся красок.</x:v>
      </x:c>
      <x:c r="E19" s="89" t="str">
        <x:v>Добавлены Cygor Brown + Medium → Gorthor Brown и Wyldwood + Medium → Baneblade Brown.</x:v>
      </x:c>
      <x:c r="F19" s="89" t="str">
        <x:v>Обе последовательности опубликованы в официальном руководстве по Kruleboyz.</x:v>
      </x:c>
    </x:row>
    <x:row r="20">
      <x:c r="A20" s="89" t="str">
        <x:v>AUD3-06</x:v>
      </x:c>
      <x:c r="B20" s="89" t="str">
        <x:v>Подставки</x:v>
      </x:c>
      <x:c r="C20" s="89" t="str">
        <x:v>Добавлено</x:v>
      </x:c>
      <x:c r="D20" s="89" t="str">
        <x:v>В коллекции есть AK Asphalt, Light Earth, Agrellan, Typhus Corrosion и Dry-краски, но не было системной матрицы.</x:v>
      </x:c>
      <x:c r="E20" s="89" t="str">
        <x:v>Добавлены городской асфальт, сухая земля, пустынные трещины, индустриальная коррозия и холодный гранит.</x:v>
      </x:c>
      <x:c r="F20" s="89" t="str">
        <x:v>Рецепты основаны на назначении текстурных и Dry-материалов и четырёхтонной логике AK Stone and Rock Effects.</x:v>
      </x:c>
    </x:row>
    <x:row r="21">
      <x:c r="A21" s="89" t="str">
        <x:v>AUD3-07</x:v>
      </x:c>
      <x:c r="B21" s="89" t="str">
        <x:v>Лаки</x:v>
      </x:c>
      <x:c r="C21" s="89" t="str">
        <x:v>Уточнено</x:v>
      </x:c>
      <x:c r="D21" s="89" t="str">
        <x:v>Финиш обозначался названием лака, но не объяснялась толщина нанесения.</x:v>
      </x:c>
      <x:c r="E21" s="89" t="str">
        <x:v>Добавлено правило нескольких тонких слоёв; матовый лак не рекомендуется поверх готовых глянцевых и металлических эффектов.</x:v>
      </x:c>
      <x:c r="F21" s="89" t="str">
        <x:v>Vallejo рекомендует работать несколькими тонкими слоями лака вместо одного толстого.</x:v>
      </x:c>
    </x:row>
    <x:row r="25">
      <x:c r="A25" s="292" t="str">
        <x:v>ID</x:v>
      </x:c>
      <x:c r="B25" s="292" t="str">
        <x:v>Источник / идея</x:v>
      </x:c>
      <x:c r="C25" s="292" t="str">
        <x:v>URL</x:v>
      </x:c>
    </x:row>
    <x:row r="26">
      <x:c r="A26" s="289" t="str">
        <x:v>SRC3-01</x:v>
      </x:c>
      <x:c r="B26" s="289" t="str">
        <x:v>Warhammer: Cygor Brown leather, Wyldwood wood, official highlights</x:v>
      </x:c>
      <x:c r="C26" s="289" t="str">
        <x:v>https://www.warhammer-community.com/en-gb/articles/2u7ftZJe/kruleboyz-and-contrast-are-a-match-made-in-swampy-heaven-thanks-to-this-painting-guide/</x:v>
      </x:c>
    </x:row>
    <x:row r="27">
      <x:c r="A27" s="289" t="str">
        <x:v>SRC3-02</x:v>
      </x:c>
      <x:c r="B27" s="289" t="str">
        <x:v>Warhammer: Contrast limitations on flat panels, winter fur, Warp Lightning over metal</x:v>
      </x:c>
      <x:c r="C27" s="289" t="str">
        <x:v>https://www.warhammer-community.com/en-gb/articles/9o0iwlza/contrast-tips-for-beginners-how-to-get-started-with-the-citadel-colour-secret-sauce/</x:v>
      </x:c>
    </x:row>
    <x:row r="28">
      <x:c r="A28" s="289" t="str">
        <x:v>SRC3-03</x:v>
      </x:c>
      <x:c r="B28" s="289" t="str">
        <x:v>Warhammer: colour tints over gold metal</x:v>
      </x:c>
      <x:c r="C28" s="289" t="str">
        <x:v>https://www.warhammer-community.com/en-gb/articles/kGT5PRYk/warhammer-community-investigates-shade-and-contrast-paints-arent-just-for-shading-and-contrasting/</x:v>
      </x:c>
    </x:row>
    <x:row r="29">
      <x:c r="A29" s="289" t="str">
        <x:v>SRC3-04</x:v>
      </x:c>
      <x:c r="B29" s="289" t="str">
        <x:v>Warhammer: Druchii Violet over metal, Sigvald Burgundy cloth</x:v>
      </x:c>
      <x:c r="C29" s="289" t="str">
        <x:v>https://www.warhammer-community.com/en-gb/articles/bXLDohrz/how-have-the-warhammertv-painting-team-been-using-the-new-citadel-colour-range/</x:v>
      </x:c>
    </x:row>
    <x:row r="30">
      <x:c r="A30" s="289" t="str">
        <x:v>SRC3-05</x:v>
      </x:c>
      <x:c r="B30" s="289" t="str">
        <x:v>Warhammer: roles of Dry, Technical and Contrast</x:v>
      </x:c>
      <x:c r="C30" s="289" t="str">
        <x:v>https://www.warhammer-community.com/en-gb/articles/omFJUf55/citadel-colour-the-only-painting-partner-you-need/</x:v>
      </x:c>
    </x:row>
    <x:row r="31">
      <x:c r="A31" s="289" t="str">
        <x:v>SRC3-06</x:v>
      </x:c>
      <x:c r="B31" s="289" t="str">
        <x:v>Vallejo: Model Air basic use and several thin coats</x:v>
      </x:c>
      <x:c r="C31" s="289" t="str">
        <x:v>https://acrylicosvallejo.com/wp-content/uploads/2022/05/vallejo-stepbystep-model-air-basic-use-EN.pdf</x:v>
      </x:c>
    </x:row>
    <x:row r="32">
      <x:c r="A32" s="289" t="str">
        <x:v>SRC3-07</x:v>
      </x:c>
      <x:c r="B32" s="289" t="str">
        <x:v>Vallejo: Model Air can be applied with a brush</x:v>
      </x:c>
      <x:c r="C32" s="289" t="str">
        <x:v>https://acrylicosvallejo.com/en/product/hobby/model-air-khaki-green-num-3-71330/</x:v>
      </x:c>
    </x:row>
    <x:row r="33">
      <x:c r="A33" s="289" t="str">
        <x:v>SRC3-08</x:v>
      </x:c>
      <x:c r="B33" s="289" t="str">
        <x:v>Vallejo: varnishes — several thin coats</x:v>
      </x:c>
      <x:c r="C33" s="289" t="str">
        <x:v>https://acrylicosvallejo.com/wp-content/uploads/2021/06/vallejo-stepbystep-using-vallejo-varnishes-EN.pdf</x:v>
      </x:c>
    </x:row>
    <x:row r="34">
      <x:c r="A34" s="289" t="str">
        <x:v>SRC3-09</x:v>
      </x:c>
      <x:c r="B34" s="289" t="str">
        <x:v>AK: Stone and Rock Effects — four-tone stone logic</x:v>
      </x:c>
      <x:c r="C34" s="289" t="str">
        <x:v>https://ak-interactive.com/product/wargame-color-set-stone-and-rock-effects/</x:v>
      </x:c>
    </x:row>
  </x:sheetData>
  <x:mergeCells>
    <x:mergeCell ref="A1:F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7" hidden="0" customWidth="1"/>
    <x:col min="3" max="3" width="52" hidden="0" customWidth="1"/>
    <x:col min="4" max="4" width="56" hidden="0" customWidth="1"/>
    <x:col min="5" max="5" width="52" hidden="0" customWidth="1"/>
    <x:col min="6" max="6" width="24" hidden="0" customWidth="1"/>
  </x:cols>
  <x:sheetData>
    <x:row r="1" ht="38" customHeight="1">
      <x:c r="A1" s="301" t="str">
        <x:v>Уровни детализации: когда остановиться</x:v>
      </x:c>
      <x:c r="B1" s="301"/>
      <x:c r="C1" s="301"/>
      <x:c r="D1" s="301"/>
      <x:c r="E1" s="301"/>
      <x:c r="F1" s="301"/>
    </x:row>
    <x:row r="2" ht="38" customHeight="1">
      <x:c r="A2" s="305" t="str">
        <x:v>Battle Ready рассчитан на читаемость армии на игровом расстоянии. Enhanced добавляет локальные высветления и детали. Display использует плавные переходы, точечные блики и контролируемые эффекты.</x:v>
      </x:c>
      <x:c r="B2" s="305"/>
      <x:c r="C2" s="305"/>
      <x:c r="D2" s="305"/>
      <x:c r="E2" s="305"/>
      <x:c r="F2" s="305"/>
    </x:row>
    <x:row r="4" ht="40" customHeight="1">
      <x:c r="A4" s="310" t="str">
        <x:v>Элемент</x:v>
      </x:c>
      <x:c r="B4" s="310" t="str">
        <x:v>Battle Ready</x:v>
      </x:c>
      <x:c r="C4" s="310" t="str">
        <x:v>Enhanced / Parade</x:v>
      </x:c>
      <x:c r="D4" s="310" t="str">
        <x:v>Display / персонаж</x:v>
      </x:c>
      <x:c r="E4" s="310" t="str">
        <x:v>Критерий остановки</x:v>
      </x:c>
      <x:c r="F4" s="310" t="str">
        <x:v>Рецепты</x:v>
      </x:c>
    </x:row>
    <x:row r="5">
      <x:c r="A5" s="89" t="str">
        <x:v>Лицо</x:v>
      </x:c>
      <x:c r="B5" s="89" t="str">
        <x:v>База + Guilliman Flesh/Reikland + один светлый тон; глаза не рисовать</x:v>
      </x:c>
      <x:c r="C5" s="89" t="str">
        <x:v>2–3 телесных высветления, простые глаза</x:v>
      </x:c>
      <x:c r="D5" s="89" t="str">
        <x:v>Цветные зоны лица, щетина/румянец, продвинутые глаза</x:v>
      </x:c>
      <x:c r="E5" s="89" t="str">
        <x:v>Лицо читается без резких пятен и косых зрачков</x:v>
      </x:c>
      <x:c r="F5" s="89" t="str">
        <x:v>31–36, 101–103, 116–119</x:v>
      </x:c>
    </x:row>
    <x:row r="6">
      <x:c r="A6" s="89" t="str">
        <x:v>Глаза</x:v>
      </x:c>
      <x:c r="B6" s="89" t="str">
        <x:v>Естественная тень вокруг глазницы</x:v>
      </x:c>
      <x:c r="C6" s="89" t="str">
        <x:v>Grey Seer/White Grey + Corvus Black</x:v>
      </x:c>
      <x:c r="D6" s="89" t="str">
        <x:v>Чёрная обводка, симметричные белки, микроблик</x:v>
      </x:c>
      <x:c r="E6" s="89" t="str">
        <x:v>Оба зрачка смотрят в одном направлении</x:v>
      </x:c>
      <x:c r="F6" s="89" t="str">
        <x:v>101–107</x:v>
      </x:c>
    </x:row>
    <x:row r="7">
      <x:c r="A7" s="89" t="str">
        <x:v>Броня</x:v>
      </x:c>
      <x:c r="B7" s="89" t="str">
        <x:v>Base + локальный Shade + один Highlight</x:v>
      </x:c>
      <x:c r="C7" s="89" t="str">
        <x:v>Возврат Base + 2 Highlights + Edge</x:v>
      </x:c>
      <x:c r="D7" s="89" t="str">
        <x:v>Глазури, отражённый свет, микросколы и точечные блики</x:v>
      </x:c>
      <x:c r="E7" s="89" t="str">
        <x:v>Основные панели читаются с расстояния вытянутой руки</x:v>
      </x:c>
      <x:c r="F7" s="89" t="str">
        <x:v>1–30, 48–60, 70–75</x:v>
      </x:c>
    </x:row>
    <x:row r="8">
      <x:c r="A8" s="89" t="str">
        <x:v>Ткань</x:v>
      </x:c>
      <x:c r="B8" s="89" t="str">
        <x:v>Contrast или Base + Shade</x:v>
      </x:c>
      <x:c r="C8" s="89" t="str">
        <x:v>2 высветления по складкам</x:v>
      </x:c>
      <x:c r="D8" s="89" t="str">
        <x:v>Тонкие лессировки и разница между верхними и нижними складками</x:v>
      </x:c>
      <x:c r="E8" s="89" t="str">
        <x:v>Высветления повторяют форму складки, а не обводят всё одинаково</x:v>
      </x:c>
      <x:c r="F8" s="89" t="str">
        <x:v>3, 27, 47, 72, 80, 98</x:v>
      </x:c>
    </x:row>
    <x:row r="9">
      <x:c r="A9" s="89" t="str">
        <x:v>Кожа и дерево</x:v>
      </x:c>
      <x:c r="B9" s="89" t="str">
        <x:v>Contrast + один светлый край</x:v>
      </x:c>
      <x:c r="C9" s="89" t="str">
        <x:v>2–3 прерывистых высветления</x:v>
      </x:c>
      <x:c r="D9" s="89" t="str">
        <x:v>Волокна, царапины, потёртости и масляная глубина</x:v>
      </x:c>
      <x:c r="E9" s="89" t="str">
        <x:v>Фактура не выглядит равномерной пластиковой полосой</x:v>
      </x:c>
      <x:c r="F9" s="89" t="str">
        <x:v>38–43, 87–88</x:v>
      </x:c>
    </x:row>
    <x:row r="10">
      <x:c r="A10" s="89" t="str">
        <x:v>Металл</x:v>
      </x:c>
      <x:c r="B10" s="89" t="str">
        <x:v>Тёмный металл + Shade + светлый металл</x:v>
      </x:c>
      <x:c r="C10" s="89" t="str">
        <x:v>Локальный Shade и 2 металлических блика</x:v>
      </x:c>
      <x:c r="D10" s="89" t="str">
        <x:v>Цветные глазури, отражения, controlled weathering</x:v>
      </x:c>
      <x:c r="E10" s="89" t="str">
        <x:v>Самый яркий металл занимает только острые кромки</x:v>
      </x:c>
      <x:c r="F10" s="89" t="str">
        <x:v>52–60, 70–71, 79, 84, 90–92</x:v>
      </x:c>
    </x:row>
    <x:row r="11">
      <x:c r="A11" s="89" t="str">
        <x:v>Кость</x:v>
      </x:c>
      <x:c r="B11" s="89" t="str">
        <x:v>Skeleton Horde или Shade по светлой базе</x:v>
      </x:c>
      <x:c r="C11" s="89" t="str">
        <x:v>Вернуть светлую кость + 1–2 блика</x:v>
      </x:c>
      <x:c r="D11" s="89" t="str">
        <x:v>Тёплые/холодные пятна и точечный White</x:v>
      </x:c>
      <x:c r="E11" s="89" t="str">
        <x:v>Трещины тёмные, широкие плоскости светлые</x:v>
      </x:c>
      <x:c r="F11" s="89" t="str">
        <x:v>44–47, 75, 78</x:v>
      </x:c>
    </x:row>
    <x:row r="12">
      <x:c r="A12" s="89" t="str">
        <x:v>Линзы и камни</x:v>
      </x:c>
      <x:c r="B12" s="89" t="str">
        <x:v>White/metal + Contrast/Technical + точка</x:v>
      </x:c>
      <x:c r="C12" s="89" t="str">
        <x:v>Тёмная зона, светлая дуга и Gloss</x:v>
      </x:c>
      <x:c r="D12" s="89" t="str">
        <x:v>Плавный градиент, отражённый блик и OSL</x:v>
      </x:c>
      <x:c r="E12" s="89" t="str">
        <x:v>Белая точка остаётся меньше 10% площади детали</x:v>
      </x:c>
      <x:c r="F12" s="89" t="str">
        <x:v>16, 24, 62, 82, 108–111</x:v>
      </x:c>
    </x:row>
    <x:row r="13">
      <x:c r="A13" s="89" t="str">
        <x:v>OSL</x:v>
      </x:c>
      <x:c r="B13" s="89" t="str">
        <x:v>Только яркий источник без ореола</x:v>
      </x:c>
      <x:c r="C13" s="89" t="str">
        <x:v>Тонкий ореол на ближайших поверхностях</x:v>
      </x:c>
      <x:c r="D13" s="89" t="str">
        <x:v>Планирование теней, градиент и отражённый цвет</x:v>
      </x:c>
      <x:c r="E13" s="89" t="str">
        <x:v>Ореол слабее источника и не попадает за препятствия</x:v>
      </x:c>
      <x:c r="F13" s="89" t="str">
        <x:v>17, 23, 30, 64, 82, 99–100, 104–107, 120</x:v>
      </x:c>
    </x:row>
    <x:row r="14">
      <x:c r="A14" s="89" t="str">
        <x:v>Подставка</x:v>
      </x:c>
      <x:c r="B14" s="89" t="str">
        <x:v>Texture + Wash + один Dry</x:v>
      </x:c>
      <x:c r="C14" s="89" t="str">
        <x:v>Два Dry + локальные эффекты</x:v>
      </x:c>
      <x:c r="D14" s="89" t="str">
        <x:v>Цветовые вариации, масла, сколы и разные финиши</x:v>
      </x:c>
      <x:c r="E14" s="89" t="str">
        <x:v>Подставка поддерживает модель, но не ярче лица и оружия</x:v>
      </x:c>
      <x:c r="F14" s="89" t="str">
        <x:v>69, 93–97, 112–113</x:v>
      </x:c>
    </x:row>
    <x:row r="15">
      <x:c r="A15" s="89"/>
      <x:c r="B15" s="89"/>
      <x:c r="C15" s="89"/>
      <x:c r="D15" s="89"/>
      <x:c r="E15" s="89"/>
      <x:c r="F15" s="89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33ef45d735d499d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18" hidden="0" customWidth="1"/>
    <x:col min="4" max="4" width="54" hidden="0" customWidth="1"/>
    <x:col min="5" max="5" width="72" hidden="0" customWidth="1"/>
    <x:col min="6" max="6" width="84" hidden="0" customWidth="1"/>
  </x:cols>
  <x:sheetData>
    <x:row r="1" ht="38" customHeight="1">
      <x:c r="A1" s="301" t="str">
        <x:v>Четвёртый проход аудита: глаза, кожа, огонь и малые детали</x:v>
      </x:c>
      <x:c r="B1" s="301"/>
      <x:c r="C1" s="301"/>
      <x:c r="D1" s="301"/>
      <x:c r="E1" s="301"/>
      <x:c r="F1" s="301"/>
    </x:row>
    <x:row r="3">
      <x:c r="A3" s="307" t="str">
        <x:v>Показатель</x:v>
      </x:c>
      <x:c r="B3" s="307" t="str">
        <x:v>Результат</x:v>
      </x:c>
    </x:row>
    <x:row r="4">
      <x:c r="A4" s="313" t="str">
        <x:v>Рецептов до прохода</x:v>
      </x:c>
      <x:c r="B4" s="314" t="n">
        <x:v>100</x:v>
      </x:c>
    </x:row>
    <x:row r="5">
      <x:c r="A5" s="313" t="str">
        <x:v>Новых рецептов</x:v>
      </x:c>
      <x:c r="B5" s="314" t="n">
        <x:v>20</x:v>
      </x:c>
    </x:row>
    <x:row r="6">
      <x:c r="A6" s="313" t="str">
        <x:v>Рецептов после прохода</x:v>
      </x:c>
      <x:c r="B6" s="314" t="n">
        <x:v>120</x:v>
      </x:c>
    </x:row>
    <x:row r="7">
      <x:c r="A7" s="313" t="str">
        <x:v>Новых схем глаз и линз</x:v>
      </x:c>
      <x:c r="B7" s="314" t="n">
        <x:v>11</x:v>
      </x:c>
    </x:row>
    <x:row r="8">
      <x:c r="A8" s="313" t="str">
        <x:v>Новых схем кожи</x:v>
      </x:c>
      <x:c r="B8" s="314" t="n">
        <x:v>6</x:v>
      </x:c>
    </x:row>
    <x:row r="9">
      <x:c r="A9" s="313" t="str">
        <x:v>Новых схем огня/лавы/OSL</x:v>
      </x:c>
      <x:c r="B9" s="314" t="n">
        <x:v>3</x:v>
      </x:c>
    </x:row>
    <x:row r="10">
      <x:c r="A10" s="313" t="str">
        <x:v>Добавлен стандарт качества</x:v>
      </x:c>
      <x:c r="B10" s="314" t="str">
        <x:v>Battle Ready → Enhanced → Display</x:v>
      </x:c>
    </x:row>
    <x:row r="11">
      <x:c r="A11" s="313" t="str">
        <x:v>Ключевой принцип</x:v>
      </x:c>
      <x:c r="B11" s="313" t="str">
        <x:v>Малые детали улучшают модель только тогда, когда остаются симметричными и слабее главного фокуса</x:v>
      </x:c>
    </x:row>
    <x:row r="14">
      <x:c r="A14" s="310" t="str">
        <x:v>ID</x:v>
      </x:c>
      <x:c r="B14" s="310" t="str">
        <x:v>Область</x:v>
      </x:c>
      <x:c r="C14" s="310" t="str">
        <x:v>Статус</x:v>
      </x:c>
      <x:c r="D14" s="310" t="str">
        <x:v>Что обнаружено</x:v>
      </x:c>
      <x:c r="E14" s="310" t="str">
        <x:v>Действие</x:v>
      </x:c>
      <x:c r="F14" s="310" t="str">
        <x:v>Основание</x:v>
      </x:c>
    </x:row>
    <x:row r="15">
      <x:c r="A15" s="89" t="str">
        <x:v>AUD4-01</x:v>
      </x:c>
      <x:c r="B15" s="89" t="str">
        <x:v>Глаза</x:v>
      </x:c>
      <x:c r="C15" s="89" t="str">
        <x:v>Добавлено</x:v>
      </x:c>
      <x:c r="D15" s="89" t="str">
        <x:v>Матрица почти не разделяла игровой и демонстрационный уровень глаз.</x:v>
      </x:c>
      <x:c r="E15" s="89" t="str">
        <x:v>Добавлены официальный beginner, intermediate и advanced методы и отдельный стандарт остановки.</x:v>
      </x:c>
      <x:c r="F15" s="89" t="str">
        <x:v>Warhammer Colour рекомендует для массовой армии не рисовать глаза, а intermediate строить через off-white и вертикальный Corvus Black.</x:v>
      </x:c>
    </x:row>
    <x:row r="16">
      <x:c r="A16" s="89" t="str">
        <x:v>AUD4-02</x:v>
      </x:c>
      <x:c r="B16" s="89" t="str">
        <x:v>Светящиеся глаза</x:v>
      </x:c>
      <x:c r="C16" s="89" t="str">
        <x:v>Добавлено</x:v>
      </x:c>
      <x:c r="D16" s="89" t="str">
        <x:v>Были общие OSL-рецепты, но не было компактных глазных схем.</x:v>
      </x:c>
      <x:c r="E16" s="89" t="str">
        <x:v>Добавлены красный, зелёный, голубой и маджентовый варианты с белым центром и ослабленным ореолом.</x:v>
      </x:c>
      <x:c r="F16" s="89" t="str">
        <x:v>Официальный guide рекомендует светлую основу, яркий Contrast с Medium и сохранение белого центра.</x:v>
      </x:c>
    </x:row>
    <x:row r="17">
      <x:c r="A17" s="89" t="str">
        <x:v>AUD4-03</x:v>
      </x:c>
      <x:c r="B17" s="89" t="str">
        <x:v>Изумрудный камень</x:v>
      </x:c>
      <x:c r="C17" s="89" t="str">
        <x:v>Добавлено</x:v>
      </x:c>
      <x:c r="D17" s="89" t="str">
        <x:v>Были только прозрачные Technical-камни.</x:v>
      </x:c>
      <x:c r="E17" s="89" t="str">
        <x:v>Добавлен непрозрачный четырёхступенчатый изумруд по логике AK Green Gems.</x:v>
      </x:c>
      <x:c r="F17" s="89" t="str">
        <x:v>AK использует dark green, emerald, pastel green and white; оттенки заменены красками пользователя.</x:v>
      </x:c>
    </x:row>
    <x:row r="18">
      <x:c r="A18" s="89" t="str">
        <x:v>AUD4-04</x:v>
      </x:c>
      <x:c r="B18" s="89" t="str">
        <x:v>Огонь</x:v>
      </x:c>
      <x:c r="C18" s="89" t="str">
        <x:v>Добавлено</x:v>
      </x:c>
      <x:c r="D18" s="89" t="str">
        <x:v>Ранее был общий огонь, но не была закреплена четырёхцветная логика AK.</x:v>
      </x:c>
      <x:c r="E18" s="89" t="str">
        <x:v>Добавлены отдельные пламя и лавовые трещины с флуоресцентными ступенями.</x:v>
      </x:c>
      <x:c r="F18" s="89" t="str">
        <x:v>AK Fire Effects и Lava Effects задают последовательности red/orange/yellow/light и dark grey/red/fluorescent orange/yellow.</x:v>
      </x:c>
    </x:row>
    <x:row r="19">
      <x:c r="A19" s="89" t="str">
        <x:v>AUD4-05</x:v>
      </x:c>
      <x:c r="B19" s="89" t="str">
        <x:v>Обморожение и зомби</x:v>
      </x:c>
      <x:c r="C19" s="89" t="str">
        <x:v>Добавлено</x:v>
      </x:c>
      <x:c r="D19" s="89" t="str">
        <x:v>Холодная и мёртвая кожа были представлены общими авторскими схемами.</x:v>
      </x:c>
      <x:c r="E19" s="89" t="str">
        <x:v>Добавлены адаптации AK Frozen Flesh и Zombie Skin с отдельными цветовыми ролями.</x:v>
      </x:c>
      <x:c r="F19" s="89" t="str">
        <x:v>AK использует blue-grey-purple для frozen flesh и purple-grey-brown-pale flesh для zombie skin.</x:v>
      </x:c>
    </x:row>
    <x:row r="20">
      <x:c r="A20" s="89" t="str">
        <x:v>AUD4-06</x:v>
      </x:c>
      <x:c r="B20" s="89" t="str">
        <x:v>OSL</x:v>
      </x:c>
      <x:c r="C20" s="89" t="str">
        <x:v>Уточнено</x:v>
      </x:c>
      <x:c r="D20" s="89" t="str">
        <x:v>Рецепты могли провоцировать слишком сильный ореол.</x:v>
      </x:c>
      <x:c r="E20" s="89" t="str">
        <x:v>Внесено правило: планировать OSL заранее, усиливать постепенно и сохранять источник ярче освещаемой поверхности.</x:v>
      </x:c>
      <x:c r="F20" s="89" t="str">
        <x:v>Warhammer Colour Masterclass называет эти правила основой правдоподобного OSL.</x:v>
      </x:c>
    </x:row>
    <x:row r="24">
      <x:c r="A24" s="316" t="str">
        <x:v>ID</x:v>
      </x:c>
      <x:c r="B24" s="316" t="str">
        <x:v>Источник / идея</x:v>
      </x:c>
      <x:c r="C24" s="316" t="str">
        <x:v>URL</x:v>
      </x:c>
    </x:row>
    <x:row r="25">
      <x:c r="A25" s="313" t="str">
        <x:v>SRC4-01</x:v>
      </x:c>
      <x:c r="B25" s="313" t="str">
        <x:v>Warhammer Colour: beginner, intermediate, advanced and glowing eyes</x:v>
      </x:c>
      <x:c r="C25" s="313" t="str">
        <x:v>https://www.warhammer-community.com/en-gb/articles/I5xLe2Uy/how-to-paint-eyes-citadel-colour-masterclass-explains/</x:v>
      </x:c>
    </x:row>
    <x:row r="26">
      <x:c r="A26" s="313" t="str">
        <x:v>SRC4-02</x:v>
      </x:c>
      <x:c r="B26" s="313" t="str">
        <x:v>Warhammer Colour: OSL should be planned, subtle and built gradually</x:v>
      </x:c>
      <x:c r="C26" s="313" t="str">
        <x:v>https://www.warhammer-community.com/en-gb/articles/9PObrqt2/learn-how-to-paint-osl-effects-on-citadel-colour-masterclass-this-week/</x:v>
      </x:c>
    </x:row>
    <x:row r="27">
      <x:c r="A27" s="313" t="str">
        <x:v>SRC4-03</x:v>
      </x:c>
      <x:c r="B27" s="313" t="str">
        <x:v>AK: Emeralds and Green Gems</x:v>
      </x:c>
      <x:c r="C27" s="313" t="str">
        <x:v>https://ak-interactive.com/product/wargame-color-set-emeralds-and-green-gems/</x:v>
      </x:c>
    </x:row>
    <x:row r="28">
      <x:c r="A28" s="313" t="str">
        <x:v>SRC4-04</x:v>
      </x:c>
      <x:c r="B28" s="313" t="str">
        <x:v>AK: Fire Effects</x:v>
      </x:c>
      <x:c r="C28" s="313" t="str">
        <x:v>https://ak-interactive.com/product/wargame-color-set-fire-effects/</x:v>
      </x:c>
    </x:row>
    <x:row r="29">
      <x:c r="A29" s="313" t="str">
        <x:v>SRC4-05</x:v>
      </x:c>
      <x:c r="B29" s="313" t="str">
        <x:v>AK: Lava Effects</x:v>
      </x:c>
      <x:c r="C29" s="313" t="str">
        <x:v>https://ak-interactive.com/product/wargame-color-set-lava-effects/</x:v>
      </x:c>
    </x:row>
    <x:row r="30">
      <x:c r="A30" s="313" t="str">
        <x:v>SRC4-06</x:v>
      </x:c>
      <x:c r="B30" s="313" t="str">
        <x:v>AK: Frozen Flesh</x:v>
      </x:c>
      <x:c r="C30" s="313" t="str">
        <x:v>https://ak-interactive.com/product/wargame-color-set-frozen-flesh/</x:v>
      </x:c>
    </x:row>
    <x:row r="31">
      <x:c r="A31" s="313" t="str">
        <x:v>SRC4-07</x:v>
      </x:c>
      <x:c r="B31" s="313" t="str">
        <x:v>AK: Zombie Skin</x:v>
      </x:c>
      <x:c r="C31" s="313" t="str">
        <x:v>https://ak-interactive.com/product/wargame-color-set-zombie-skin/</x:v>
      </x:c>
    </x:row>
    <x:row r="32">
      <x:c r="A32" s="313" t="str">
        <x:v>SRC4-08</x:v>
      </x:c>
      <x:c r="B32" s="313" t="str">
        <x:v>AK: Basic Skin Colors</x:v>
      </x:c>
      <x:c r="C32" s="313" t="str">
        <x:v>https://ak-interactive.com/product/wargame-color-set-basic-skin-colors/</x:v>
      </x:c>
    </x:row>
  </x:sheetData>
  <x:mergeCells>
    <x:mergeCell ref="A1:F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42" hidden="0" customWidth="1"/>
    <x:col min="3" max="3" width="16" hidden="0" customWidth="1"/>
    <x:col min="4" max="4" width="20" hidden="0" customWidth="1"/>
    <x:col min="5" max="5" width="34" hidden="0" customWidth="1"/>
    <x:col min="6" max="6" width="16" hidden="0" customWidth="1"/>
    <x:col min="7" max="7" width="39" hidden="0" customWidth="1"/>
    <x:col min="8" max="8" width="42" hidden="0" customWidth="1"/>
    <x:col min="9" max="9" width="44" hidden="0" customWidth="1"/>
    <x:col min="10" max="10" width="24" hidden="0" customWidth="1"/>
  </x:cols>
  <x:sheetData>
    <x:row r="1" ht="38" customHeight="1">
      <x:c r="A1" s="332" t="str">
        <x:v>Аэрограф: материалы, стартовые настройки и ограничения</x:v>
      </x:c>
      <x:c r="B1" s="332"/>
      <x:c r="C1" s="332"/>
      <x:c r="D1" s="332"/>
      <x:c r="E1" s="332"/>
      <x:c r="F1" s="332"/>
      <x:c r="G1" s="332"/>
      <x:c r="H1" s="332"/>
      <x:c r="I1" s="332"/>
      <x:c r="J1" s="332"/>
    </x:row>
    <x:row r="2" ht="42" customHeight="1">
      <x:c r="A2" s="336" t="str">
        <x:v>Давление указано рабочее — при нажатом воздухе. Разведение дано как стартовый ориентир по объёму: корректировать по соплу, пигменту, thinner, влажности и требуемой прозрачности. Цель — ровное распыление без капель, паутины и сухого песка.</x:v>
      </x:c>
      <x:c r="B2" s="336"/>
      <x:c r="C2" s="336"/>
      <x:c r="D2" s="336"/>
      <x:c r="E2" s="336"/>
      <x:c r="F2" s="336"/>
      <x:c r="G2" s="336"/>
      <x:c r="H2" s="336"/>
      <x:c r="I2" s="336"/>
      <x:c r="J2" s="336"/>
    </x:row>
    <x:row r="4" ht="44" customHeight="1">
      <x:c r="A4" s="341" t="str">
        <x:v>Категория</x:v>
      </x:c>
      <x:c r="B4" s="341" t="str">
        <x:v>Примеры из коллекции</x:v>
      </x:c>
      <x:c r="C4" s="341" t="str">
        <x:v>Сопло</x:v>
      </x:c>
      <x:c r="D4" s="341" t="str">
        <x:v>Рабочее давление</x:v>
      </x:c>
      <x:c r="E4" s="341" t="str">
        <x:v>Стартовое разведение</x:v>
      </x:c>
      <x:c r="F4" s="341" t="str">
        <x:v>Дистанция</x:v>
      </x:c>
      <x:c r="G4" s="341" t="str">
        <x:v>Лучшее применение</x:v>
      </x:c>
      <x:c r="H4" s="341" t="str">
        <x:v>Риск</x:v>
      </x:c>
      <x:c r="I4" s="341" t="str">
        <x:v>Решение</x:v>
      </x:c>
      <x:c r="J4" s="341" t="str">
        <x:v>Статус</x:v>
      </x:c>
    </x:row>
    <x:row r="5">
      <x:c r="A5" s="89" t="str">
        <x:v>Air / Game Air / Model Air / Mecha</x:v>
      </x:c>
      <x:c r="B5" s="89" t="str">
        <x:v>Mephiston Red Air, Pale Flesh, Bonewhite, Sea Grey, Mecha Color</x:v>
      </x:c>
      <x:c r="C5" s="89" t="str">
        <x:v>0,2–0,4 мм</x:v>
      </x:c>
      <x:c r="D5" s="89" t="str">
        <x:v>15–20 PSI</x:v>
      </x:c>
      <x:c r="E5" s="89" t="str">
        <x:v>Из банки или 5–20% thinner</x:v>
      </x:c>
      <x:c r="F5" s="89" t="str">
        <x:v>3–10 см</x:v>
      </x:c>
      <x:c r="G5" s="89" t="str">
        <x:v>База, плавные слои, модуляция</x:v>
      </x:c>
      <x:c r="H5" s="89" t="str">
        <x:v>Tip-dry при долгой тонкой работе</x:v>
      </x:c>
      <x:c r="I5" s="89" t="str">
        <x:v>Небольшое количество Flow Improver; чистить иглу</x:v>
      </x:c>
      <x:c r="J5" s="89" t="str">
        <x:v>Рекомендуется</x:v>
      </x:c>
    </x:row>
    <x:row r="6">
      <x:c r="A6" s="89" t="str">
        <x:v>AK 3GEN Standard / Intense</x:v>
      </x:c>
      <x:c r="B6" s="89" t="str">
        <x:v>Blood Red, Cadmium Red, Dark Prussian Blue, Yellow, Purple</x:v>
      </x:c>
      <x:c r="C6" s="89" t="str">
        <x:v>0,2–0,4 мм</x:v>
      </x:c>
      <x:c r="D6" s="89" t="str">
        <x:v>14–20 PSI</x:v>
      </x:c>
      <x:c r="E6" s="89" t="str">
        <x:v>Начать с paint:thinner 1:1</x:v>
      </x:c>
      <x:c r="F6" s="89" t="str">
        <x:v>2–10 см</x:v>
      </x:c>
      <x:c r="G6" s="89" t="str">
        <x:v>Любые непрозрачные базы и света</x:v>
      </x:c>
      <x:c r="H6" s="89" t="str">
        <x:v>Разные пигменты требуют разного thinner</x:v>
      </x:c>
      <x:c r="I6" s="89" t="str">
        <x:v>Проверить на бумаге; при зерне добавить thinner</x:v>
      </x:c>
      <x:c r="J6" s="89" t="str">
        <x:v>Рекомендуется</x:v>
      </x:c>
    </x:row>
    <x:row r="7">
      <x:c r="A7" s="89" t="str">
        <x:v>Citadel Base / Layer</x:v>
      </x:c>
      <x:c r="B7" s="89" t="str">
        <x:v>Caledor Sky, Naggaroth Night, Cadian Fleshtone, Lothern Blue</x:v>
      </x:c>
      <x:c r="C7" s="89" t="str">
        <x:v>0,3–0,4 мм</x:v>
      </x:c>
      <x:c r="D7" s="89" t="str">
        <x:v>15–22 PSI</x:v>
      </x:c>
      <x:c r="E7" s="89" t="str">
        <x:v>Начать с 1:1; густые цвета до 1:1,5</x:v>
      </x:c>
      <x:c r="F7" s="89" t="str">
        <x:v>3–10 см</x:v>
      </x:c>
      <x:c r="G7" s="89" t="str">
        <x:v>Модуляция и точные цветовые схемы</x:v>
      </x:c>
      <x:c r="H7" s="89" t="str">
        <x:v>Крупные частицы и засорение</x:v>
      </x:c>
      <x:c r="I7" s="89" t="str">
        <x:v>Очень хорошо перемешать и профильтровать</x:v>
      </x:c>
      <x:c r="J7" s="89" t="str">
        <x:v>Рекомендуется после разведения</x:v>
      </x:c>
    </x:row>
    <x:row r="8">
      <x:c r="A8" s="89" t="str">
        <x:v>Vallejo Model/Game Color и Extra Opaque</x:v>
      </x:c>
      <x:c r="B8" s="89" t="str">
        <x:v>White, Gory Red, Heavy Skintone, Heavy Warmgrey</x:v>
      </x:c>
      <x:c r="C8" s="89" t="str">
        <x:v>0,3–0,4 мм</x:v>
      </x:c>
      <x:c r="D8" s="89" t="str">
        <x:v>15–20 PSI</x:v>
      </x:c>
      <x:c r="E8" s="89" t="str">
        <x:v>Начать с 1:1; Extra Opaque может требовать больше thinner</x:v>
      </x:c>
      <x:c r="F8" s="89" t="str">
        <x:v>3–10 см</x:v>
      </x:c>
      <x:c r="G8" s="89" t="str">
        <x:v>Плотные базы и переходы</x:v>
      </x:c>
      <x:c r="H8" s="89" t="str">
        <x:v>Слишком густая смесь плюётся</x:v>
      </x:c>
      <x:c r="I8" s="89" t="str">
        <x:v>Добавлять thinner постепенно</x:v>
      </x:c>
      <x:c r="J8" s="89" t="str">
        <x:v>Рекомендуется после разведения</x:v>
      </x:c>
    </x:row>
    <x:row r="9">
      <x:c r="A9" s="89" t="str">
        <x:v>Primer</x:v>
      </x:c>
      <x:c r="B9" s="89" t="str">
        <x:v>AK Black/White Primer, Vallejo Ivory Primer</x:v>
      </x:c>
      <x:c r="C9" s="89" t="str">
        <x:v>0,3–0,5 мм</x:v>
      </x:c>
      <x:c r="D9" s="89" t="str">
        <x:v>15–20 PSI</x:v>
      </x:c>
      <x:c r="E9" s="89" t="str">
        <x:v>Из банки или 5–15% thinner</x:v>
      </x:c>
      <x:c r="F9" s="89" t="str">
        <x:v>7–15 см</x:v>
      </x:c>
      <x:c r="G9" s="89" t="str">
        <x:v>Адгезионный грунт</x:v>
      </x:c>
      <x:c r="H9" s="89" t="str">
        <x:v>Лужи и потеря деталей</x:v>
      </x:c>
      <x:c r="I9" s="89" t="str">
        <x:v>Несколько тонких перекрёстных слоёв</x:v>
      </x:c>
      <x:c r="J9" s="89" t="str">
        <x:v>Рекомендуется</x:v>
      </x:c>
    </x:row>
    <x:row r="10">
      <x:c r="A10" s="89" t="str">
        <x:v>Vallejo Metal Color / Air metallic</x:v>
      </x:c>
      <x:c r="B10" s="89" t="str">
        <x:v>Gold, Exhaust Manifold, Gunmetal, Copper</x:v>
      </x:c>
      <x:c r="C10" s="89" t="str">
        <x:v>0,3–0,4 мм</x:v>
      </x:c>
      <x:c r="D10" s="89" t="str">
        <x:v>15–20 PSI</x:v>
      </x:c>
      <x:c r="E10" s="89" t="str">
        <x:v>Из банки или 5–15% thinner</x:v>
      </x:c>
      <x:c r="F10" s="89" t="str">
        <x:v>4–10 см</x:v>
      </x:c>
      <x:c r="G10" s="89" t="str">
        <x:v>Гладкий настоящий металл</x:v>
      </x:c>
      <x:c r="H10" s="89" t="str">
        <x:v>Переразведение даёт пятнистый финиш</x:v>
      </x:c>
      <x:c r="I10" s="89" t="str">
        <x:v>Разводить только для тонких эффектов</x:v>
      </x:c>
      <x:c r="J10" s="89" t="str">
        <x:v>Рекомендуется</x:v>
      </x:c>
    </x:row>
    <x:row r="11">
      <x:c r="A11" s="89" t="str">
        <x:v>Citadel metallics / Model Color metallic</x:v>
      </x:c>
      <x:c r="B11" s="89" t="str">
        <x:v>Retributor, Leadbelcher, Ironbreaker, Silver</x:v>
      </x:c>
      <x:c r="C11" s="89" t="str">
        <x:v>0,4 мм предпочтительно</x:v>
      </x:c>
      <x:c r="D11" s="89" t="str">
        <x:v>18–22 PSI</x:v>
      </x:c>
      <x:c r="E11" s="89" t="str">
        <x:v>Начать с 1:1</x:v>
      </x:c>
      <x:c r="F11" s="89" t="str">
        <x:v>5–12 см</x:v>
      </x:c>
      <x:c r="G11" s="89" t="str">
        <x:v>Металлическая модуляция</x:v>
      </x:c>
      <x:c r="H11" s="89" t="str">
        <x:v>Засорение и неравномерные частицы</x:v>
      </x:c>
      <x:c r="I11" s="89" t="str">
        <x:v>Тщательно размешать, профильтровать, чистить сразу</x:v>
      </x:c>
      <x:c r="J11" s="89" t="str">
        <x:v>С осторожностью</x:v>
      </x:c>
    </x:row>
    <x:row r="12">
      <x:c r="A12" s="89" t="str">
        <x:v>Contrast</x:v>
      </x:c>
      <x:c r="B12" s="89" t="str">
        <x:v>Blood Angels Red, Warp Lightning, Talassar Blue, Black Legion</x:v>
      </x:c>
      <x:c r="C12" s="89" t="str">
        <x:v>0,2–0,4 мм</x:v>
      </x:c>
      <x:c r="D12" s="89" t="str">
        <x:v>10–18 PSI</x:v>
      </x:c>
      <x:c r="E12" s="89" t="str">
        <x:v>Из банки либо с Contrast Medium 1:1–1:3</x:v>
      </x:c>
      <x:c r="F12" s="89" t="str">
        <x:v>3–10 см</x:v>
      </x:c>
      <x:c r="G12" s="89" t="str">
        <x:v>Фильтр, candy-metal, OSL</x:v>
      </x:c>
      <x:c r="H12" s="89" t="str">
        <x:v>Через аэрограф не создаёт кистевую recess-тень</x:v>
      </x:c>
      <x:c r="I12" s="89" t="str">
        <x:v>Использовать как прозрачный фильтр</x:v>
      </x:c>
      <x:c r="J12" s="89" t="str">
        <x:v>Рекомендуется как фильтр</x:v>
      </x:c>
    </x:row>
    <x:row r="13">
      <x:c r="A13" s="89" t="str">
        <x:v>Xpress Color</x:v>
      </x:c>
      <x:c r="B13" s="89" t="str">
        <x:v>Mystic Blue, Black Lotus</x:v>
      </x:c>
      <x:c r="C13" s="89" t="str">
        <x:v>0,2–0,4 мм</x:v>
      </x:c>
      <x:c r="D13" s="89" t="str">
        <x:v>10–18 PSI</x:v>
      </x:c>
      <x:c r="E13" s="89" t="str">
        <x:v>Из банки либо с Xpress Medium</x:v>
      </x:c>
      <x:c r="F13" s="89" t="str">
        <x:v>3–10 см</x:v>
      </x:c>
      <x:c r="G13" s="89" t="str">
        <x:v>Матовый прозрачный фильтр</x:v>
      </x:c>
      <x:c r="H13" s="89" t="str">
        <x:v>Иной медиум меняет поведение</x:v>
      </x:c>
      <x:c r="I13" s="89" t="str">
        <x:v>Предпочитать Xpress Medium</x:v>
      </x:c>
      <x:c r="J13" s="89" t="str">
        <x:v>Рекомендуется как фильтр</x:v>
      </x:c>
    </x:row>
    <x:row r="14">
      <x:c r="A14" s="89" t="str">
        <x:v>Shade / Wash</x:v>
      </x:c>
      <x:c r="B14" s="89" t="str">
        <x:v>Nuln Oil, Agrax, Druchii Violet, Tyran Blue, Rust Wash</x:v>
      </x:c>
      <x:c r="C14" s="89" t="str">
        <x:v>0,2–0,4 мм</x:v>
      </x:c>
      <x:c r="D14" s="89" t="str">
        <x:v>10–18 PSI</x:v>
      </x:c>
      <x:c r="E14" s="89" t="str">
        <x:v>Из банки или 1:1 с подходящим медиумом</x:v>
      </x:c>
      <x:c r="F14" s="89" t="str">
        <x:v>3–10 см</x:v>
      </x:c>
      <x:c r="G14" s="89" t="str">
        <x:v>Общий фильтр и цветная тонировка</x:v>
      </x:c>
      <x:c r="H14" s="89" t="str">
        <x:v>Не собирается автоматически в углубления</x:v>
      </x:c>
      <x:c r="I14" s="89" t="str">
        <x:v>Для pin-wash применять кисть</x:v>
      </x:c>
      <x:c r="J14" s="89" t="str">
        <x:v>Опционально</x:v>
      </x:c>
    </x:row>
    <x:row r="15">
      <x:c r="A15" s="89" t="str">
        <x:v>Game Ink</x:v>
      </x:c>
      <x:c r="B15" s="89" t="str">
        <x:v>Red, Yellow, Green, Blue, Violet Ink</x:v>
      </x:c>
      <x:c r="C15" s="89" t="str">
        <x:v>0,2–0,3 мм</x:v>
      </x:c>
      <x:c r="D15" s="89" t="str">
        <x:v>10–16 PSI</x:v>
      </x:c>
      <x:c r="E15" s="89" t="str">
        <x:v>Из банки либо с акриловым медиумом/thinner</x:v>
      </x:c>
      <x:c r="F15" s="89" t="str">
        <x:v>2–10 см</x:v>
      </x:c>
      <x:c r="G15" s="89" t="str">
        <x:v>Гризайль, фильтры, свечение</x:v>
      </x:c>
      <x:c r="H15" s="89" t="str">
        <x:v>Очень быстро наращивает насыщенность</x:v>
      </x:c>
      <x:c r="I15" s="89" t="str">
        <x:v>Короткие прозрачные проходы</x:v>
      </x:c>
      <x:c r="J15" s="89" t="str">
        <x:v>Рекомендуется</x:v>
      </x:c>
    </x:row>
    <x:row r="16">
      <x:c r="A16" s="89" t="str">
        <x:v>Fluorescent</x:v>
      </x:c>
      <x:c r="B16" s="89" t="str">
        <x:v>Yellow, Green, Orange, Magenta Fluorescent</x:v>
      </x:c>
      <x:c r="C16" s="89" t="str">
        <x:v>0,2–0,4 мм</x:v>
      </x:c>
      <x:c r="D16" s="89" t="str">
        <x:v>12–18 PSI</x:v>
      </x:c>
      <x:c r="E16" s="89" t="str">
        <x:v>Начать с 10–30% thinner</x:v>
      </x:c>
      <x:c r="F16" s="89" t="str">
        <x:v>2–8 см</x:v>
      </x:c>
      <x:c r="G16" s="89" t="str">
        <x:v>OSL и яркий центр</x:v>
      </x:c>
      <x:c r="H16" s="89" t="str">
        <x:v>На тёмной основе почти не виден</x:v>
      </x:c>
      <x:c r="I16" s="89" t="str">
        <x:v>Сначала распылить White</x:v>
      </x:c>
      <x:c r="J16" s="89" t="str">
        <x:v>Рекомендуется</x:v>
      </x:c>
    </x:row>
    <x:row r="17">
      <x:c r="A17" s="89" t="str">
        <x:v>Varnish</x:v>
      </x:c>
      <x:c r="B17" s="89" t="str">
        <x:v>AK Matt, Vallejo Gloss, Satin, Metal Varnish</x:v>
      </x:c>
      <x:c r="C17" s="89" t="str">
        <x:v>0,3–0,5 мм</x:v>
      </x:c>
      <x:c r="D17" s="89" t="str">
        <x:v>15–20 PSI</x:v>
      </x:c>
      <x:c r="E17" s="89" t="str">
        <x:v>Из банки или 10–20% thinner</x:v>
      </x:c>
      <x:c r="F17" s="89" t="str">
        <x:v>8–15 см</x:v>
      </x:c>
      <x:c r="G17" s="89" t="str">
        <x:v>Защита и управление блеском</x:v>
      </x:c>
      <x:c r="H17" s="89" t="str">
        <x:v>Мокрый слой мутнеет или течёт</x:v>
      </x:c>
      <x:c r="I17" s="89" t="str">
        <x:v>2–3 тонких слоя</x:v>
      </x:c>
      <x:c r="J17" s="89" t="str">
        <x:v>Рекомендуется</x:v>
      </x:c>
    </x:row>
    <x:row r="18">
      <x:c r="A18" s="89" t="str">
        <x:v>Chipping Medium</x:v>
      </x:c>
      <x:c r="B18" s="89" t="str">
        <x:v>Vallejo Chipping Medium</x:v>
      </x:c>
      <x:c r="C18" s="89" t="str">
        <x:v>0,3–0,5 мм</x:v>
      </x:c>
      <x:c r="D18" s="89" t="str">
        <x:v>15–20 PSI</x:v>
      </x:c>
      <x:c r="E18" s="89" t="str">
        <x:v>Из банки или минимально развести</x:v>
      </x:c>
      <x:c r="F18" s="89" t="str">
        <x:v>6–12 см</x:v>
      </x:c>
      <x:c r="G18" s="89" t="str">
        <x:v>Равномерный слой для сколов</x:v>
      </x:c>
      <x:c r="H18" s="89" t="str">
        <x:v>Лужи дают крупные неконтролируемые сколы</x:v>
      </x:c>
      <x:c r="I18" s="89" t="str">
        <x:v>Ровный тонкий слой</x:v>
      </x:c>
      <x:c r="J18" s="89" t="str">
        <x:v>Рекомендуется</x:v>
      </x:c>
    </x:row>
    <x:row r="19">
      <x:c r="A19" s="89" t="str">
        <x:v>Dry</x:v>
      </x:c>
      <x:c r="B19" s="89" t="str">
        <x:v>Ryza Rust, Longbeard Grey, Necron Compound, Golden Griffon</x:v>
      </x:c>
      <x:c r="C19" s="89" t="str">
        <x:v>—</x:v>
      </x:c>
      <x:c r="D19" s="89" t="str">
        <x:v>—</x:v>
      </x:c>
      <x:c r="E19" s="89" t="str">
        <x:v>Не распылять</x:v>
      </x:c>
      <x:c r="F19" s="89" t="str">
        <x:v>—</x:v>
      </x:c>
      <x:c r="G19" s="89" t="str">
        <x:v>Сухая кисть по фактуре</x:v>
      </x:c>
      <x:c r="H19" s="89" t="str">
        <x:v>Пастообразность и крупный пигмент</x:v>
      </x:c>
      <x:c r="I19" s="89" t="str">
        <x:v>Использовать по назначению кистью</x:v>
      </x:c>
      <x:c r="J19" s="89" t="str">
        <x:v>Только кисть</x:v>
      </x:c>
    </x:row>
    <x:row r="20">
      <x:c r="A20" s="89" t="str">
        <x:v>Texture / Crackle / Diorama paste</x:v>
      </x:c>
      <x:c r="B20" s="89" t="str">
        <x:v>Agrellan, Typhus Corrosion, Crackle Medium, Asphalt, Light Earth</x:v>
      </x:c>
      <x:c r="C20" s="89" t="str">
        <x:v>—</x:v>
      </x:c>
      <x:c r="D20" s="89" t="str">
        <x:v>—</x:v>
      </x:c>
      <x:c r="E20" s="89" t="str">
        <x:v>Не распылять, кроме специально допускаемого Chipping Medium</x:v>
      </x:c>
      <x:c r="F20" s="89" t="str">
        <x:v>—</x:v>
      </x:c>
      <x:c r="G20" s="89" t="str">
        <x:v>Фактура и рельеф</x:v>
      </x:c>
      <x:c r="H20" s="89" t="str">
        <x:v>Засорение и потеря эффекта</x:v>
      </x:c>
      <x:c r="I20" s="89" t="str">
        <x:v>Кисть, шпатель или губка</x:v>
      </x:c>
      <x:c r="J20" s="89" t="str">
        <x:v>Только кисть/шпатель</x:v>
      </x:c>
    </x:row>
    <x:row r="21">
      <x:c r="A21" s="89" t="str">
        <x:v>Gloss Technical / Blood / Slime</x:v>
      </x:c>
      <x:c r="B21" s="89" t="str">
        <x:v>Soulstone, Spiritstone, Waystone, Blood, Viscera, Nurgle's Rot</x:v>
      </x:c>
      <x:c r="C21" s="89" t="str">
        <x:v>—</x:v>
      </x:c>
      <x:c r="D21" s="89" t="str">
        <x:v>—</x:v>
      </x:c>
      <x:c r="E21" s="89" t="str">
        <x:v>Не рекомендуется</x:v>
      </x:c>
      <x:c r="F21" s="89" t="str">
        <x:v>—</x:v>
      </x:c>
      <x:c r="G21" s="89" t="str">
        <x:v>Локальный глянцевый спецэффект</x:v>
      </x:c>
      <x:c r="H21" s="89" t="str">
        <x:v>Потеря толщины, блеска и контрольной формы</x:v>
      </x:c>
      <x:c r="I21" s="89" t="str">
        <x:v>Наносить кистью после общего лака</x:v>
      </x:c>
      <x:c r="J21" s="89" t="str">
        <x:v>Только кисть</x:v>
      </x:c>
    </x:row>
    <x:row r="22">
      <x:c r="A22" s="89" t="str">
        <x:v>Масляные краски</x:v>
      </x:c>
      <x:c r="B22" s="89" t="str">
        <x:v>Серая Пейна, Сажа газовая, Умбра жжёная</x:v>
      </x:c>
      <x:c r="C22" s="89" t="str">
        <x:v>Не в обычном акриловом аэрографном процессе</x:v>
      </x:c>
      <x:c r="D22" s="89" t="str">
        <x:v>—</x:v>
      </x:c>
      <x:c r="E22" s="89" t="str">
        <x:v>Не распылять в рамках этой матрицы</x:v>
      </x:c>
      <x:c r="F22" s="89" t="str">
        <x:v>—</x:v>
      </x:c>
      <x:c r="G22" s="89" t="str">
        <x:v>Фильтры и pin-wash кистью</x:v>
      </x:c>
      <x:c r="H22" s="89" t="str">
        <x:v>Растворитель, аэрозоль и сложная очистка</x:v>
      </x:c>
      <x:c r="I22" s="89" t="str">
        <x:v>Работать кистью по лаку</x:v>
      </x:c>
      <x:c r="J22" s="89" t="str">
        <x:v>Только кисть</x:v>
      </x:c>
    </x:row>
  </x:sheetData>
  <x:mergeCells>
    <x:mergeCell ref="A1:J1"/>
    <x:mergeCell ref="A2:J2"/>
  </x:mergeCells>
  <x:conditionalFormatting sqref="J5:J22">
    <x:cfRule type="expression" dxfId="31" priority="1">
      <x:formula>LEFT(J5,12)="Рекомендуется"</x:formula>
    </x:cfRule>
    <x:cfRule type="expression" dxfId="32" priority="2">
      <x:formula>LEFT(J5,13)="С осторожностью"</x:formula>
    </x:cfRule>
    <x:cfRule type="expression" dxfId="33" priority="3">
      <x:formula>LEFT(J5,11)="Только кисть"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421ab47d001446e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35" hidden="0" customWidth="1"/>
    <x:col min="4" max="4" width="14" hidden="0" customWidth="1"/>
    <x:col min="5" max="5" width="16" hidden="0" customWidth="1"/>
    <x:col min="6" max="6" width="30" hidden="0" customWidth="1"/>
    <x:col min="7" max="7" width="17" hidden="0" customWidth="1"/>
    <x:col min="8" max="8" width="20" hidden="0" customWidth="1"/>
    <x:col min="9" max="9" width="29" hidden="0" customWidth="1"/>
    <x:col min="10" max="10" width="38" hidden="0" customWidth="1"/>
  </x:cols>
  <x:sheetData>
    <x:row r="1" ht="38" customHeight="1">
      <x:c r="A1" s="332" t="str">
        <x:v>Аэрографные рецепты — быстрый рабочий индекс</x:v>
      </x:c>
      <x:c r="B1" s="332"/>
      <x:c r="C1" s="332"/>
      <x:c r="D1" s="332"/>
      <x:c r="E1" s="332"/>
      <x:c r="F1" s="332"/>
      <x:c r="G1" s="332"/>
      <x:c r="H1" s="332"/>
      <x:c r="I1" s="332"/>
      <x:c r="J1" s="332"/>
    </x:row>
    <x:row r="2" ht="34" customHeight="1">
      <x:c r="A2" s="335" t="str">
        <x:v>Детальная последовательность находится в листе «Матрица слоёв», рецепты 121–150. Здесь собраны настройки для быстрого выбора техники.</x:v>
      </x:c>
      <x:c r="B2" s="335"/>
      <x:c r="C2" s="335"/>
      <x:c r="D2" s="335"/>
      <x:c r="E2" s="335"/>
      <x:c r="F2" s="335"/>
      <x:c r="G2" s="335"/>
      <x:c r="H2" s="335"/>
      <x:c r="I2" s="335"/>
      <x:c r="J2" s="335"/>
    </x:row>
    <x:row r="4" ht="42" customHeight="1">
      <x:c r="A4" s="341" t="str">
        <x:v>ID</x:v>
      </x:c>
      <x:c r="B4" s="341" t="str">
        <x:v>Результат</x:v>
      </x:c>
      <x:c r="C4" s="341" t="str">
        <x:v>Основной метод</x:v>
      </x:c>
      <x:c r="D4" s="341" t="str">
        <x:v>Сопло</x:v>
      </x:c>
      <x:c r="E4" s="341" t="str">
        <x:v>PSI</x:v>
      </x:c>
      <x:c r="F4" s="341" t="str">
        <x:v>Стартовое разведение</x:v>
      </x:c>
      <x:c r="G4" s="341" t="str">
        <x:v>Дистанция</x:v>
      </x:c>
      <x:c r="H4" s="341" t="str">
        <x:v>Количество проходов</x:v>
      </x:c>
      <x:c r="I4" s="341" t="str">
        <x:v>Кистевая доработка</x:v>
      </x:c>
      <x:c r="J4" s="341" t="str">
        <x:v>Главный риск</x:v>
      </x:c>
    </x:row>
    <x:row r="5">
      <x:c r="A5" s="89" t="n">
        <x:v>121</x:v>
      </x:c>
      <x:c r="B5" s="89" t="str">
        <x:v>Красная броня</x:v>
      </x:c>
      <x:c r="C5" s="89" t="str">
        <x:v>Модуляция снизу вверх</x:v>
      </x:c>
      <x:c r="D5" s="89" t="str">
        <x:v>0,3</x:v>
      </x:c>
      <x:c r="E5" s="89" t="str">
        <x:v>15–18</x:v>
      </x:c>
      <x:c r="F5" s="89" t="str">
        <x:v>Обычные акрилы 1:1</x:v>
      </x:c>
      <x:c r="G5" s="89" t="str">
        <x:v>3–8 см</x:v>
      </x:c>
      <x:c r="H5" s="89" t="str">
        <x:v>3–6 на цвет</x:v>
      </x:c>
      <x:c r="I5" s="89" t="str">
        <x:v>Кромки и фильтр</x:v>
      </x:c>
      <x:c r="J5" s="89" t="str">
        <x:v>Залить красным все тени</x:v>
      </x:c>
    </x:row>
    <x:row r="6">
      <x:c r="A6" s="89" t="n">
        <x:v>122</x:v>
      </x:c>
      <x:c r="B6" s="89" t="str">
        <x:v>Синяя броня</x:v>
      </x:c>
      <x:c r="C6" s="89" t="str">
        <x:v>Модуляция + Ink</x:v>
      </x:c>
      <x:c r="D6" s="89" t="str">
        <x:v>0,3</x:v>
      </x:c>
      <x:c r="E6" s="89" t="str">
        <x:v>15–18</x:v>
      </x:c>
      <x:c r="F6" s="89" t="str">
        <x:v>Акрил 1:1; Ink тонко</x:v>
      </x:c>
      <x:c r="G6" s="89" t="str">
        <x:v>3–8 см</x:v>
      </x:c>
      <x:c r="H6" s="89" t="str">
        <x:v>3–6</x:v>
      </x:c>
      <x:c r="I6" s="89" t="str">
        <x:v>Baharroth edge</x:v>
      </x:c>
      <x:c r="J6" s="89" t="str">
        <x:v>Слишком насыщенный Ink</x:v>
      </x:c>
    </x:row>
    <x:row r="7">
      <x:c r="A7" s="89" t="n">
        <x:v>123</x:v>
      </x:c>
      <x:c r="B7" s="89" t="str">
        <x:v>Бирюзовая броня</x:v>
      </x:c>
      <x:c r="C7" s="89" t="str">
        <x:v>Модуляция + Akhelian filter</x:v>
      </x:c>
      <x:c r="D7" s="89" t="str">
        <x:v>0,3</x:v>
      </x:c>
      <x:c r="E7" s="89" t="str">
        <x:v>14–18</x:v>
      </x:c>
      <x:c r="F7" s="89" t="str">
        <x:v>Акрил 1:1; Contrast с Medium</x:v>
      </x:c>
      <x:c r="G7" s="89" t="str">
        <x:v>3–8 см</x:v>
      </x:c>
      <x:c r="H7" s="89" t="str">
        <x:v>3–6</x:v>
      </x:c>
      <x:c r="I7" s="89" t="str">
        <x:v>White points</x:v>
      </x:c>
      <x:c r="J7" s="89" t="str">
        <x:v>Потемнение от Akhelian</x:v>
      </x:c>
    </x:row>
    <x:row r="8">
      <x:c r="A8" s="89" t="n">
        <x:v>124</x:v>
      </x:c>
      <x:c r="B8" s="89" t="str">
        <x:v>Оливковая броня</x:v>
      </x:c>
      <x:c r="C8" s="89" t="str">
        <x:v>Верхний жёлто-оливковый свет</x:v>
      </x:c>
      <x:c r="D8" s="89" t="str">
        <x:v>0,3</x:v>
      </x:c>
      <x:c r="E8" s="89" t="str">
        <x:v>15–18</x:v>
      </x:c>
      <x:c r="F8" s="89" t="str">
        <x:v>Акрил 1:1</x:v>
      </x:c>
      <x:c r="G8" s="89" t="str">
        <x:v>3–8 см</x:v>
      </x:c>
      <x:c r="H8" s="89" t="str">
        <x:v>3–5</x:v>
      </x:c>
      <x:c r="I8" s="89" t="str">
        <x:v>Pale Sand edge</x:v>
      </x:c>
      <x:c r="J8" s="89" t="str">
        <x:v>Сделать броню чисто жёлтой</x:v>
      </x:c>
    </x:row>
    <x:row r="9">
      <x:c r="A9" s="89" t="n">
        <x:v>125</x:v>
      </x:c>
      <x:c r="B9" s="89" t="str">
        <x:v>Фиолетовая броня</x:v>
      </x:c>
      <x:c r="C9" s="89" t="str">
        <x:v>Тёмная база → серо-фиолетовый свет</x:v>
      </x:c>
      <x:c r="D9" s="89" t="str">
        <x:v>0,3</x:v>
      </x:c>
      <x:c r="E9" s="89" t="str">
        <x:v>14–18</x:v>
      </x:c>
      <x:c r="F9" s="89" t="str">
        <x:v>Акрил 1:1</x:v>
      </x:c>
      <x:c r="G9" s="89" t="str">
        <x:v>3–8 см</x:v>
      </x:c>
      <x:c r="H9" s="89" t="str">
        <x:v>3–5</x:v>
      </x:c>
      <x:c r="I9" s="89" t="str">
        <x:v>Slaanesh Grey</x:v>
      </x:c>
      <x:c r="J9" s="89" t="str">
        <x:v>Слишком большая серая зона</x:v>
      </x:c>
    </x:row>
    <x:row r="10">
      <x:c r="A10" s="89" t="n">
        <x:v>126</x:v>
      </x:c>
      <x:c r="B10" s="89" t="str">
        <x:v>Жёлтая броня</x:v>
      </x:c>
      <x:c r="C10" s="89" t="str">
        <x:v>Белый грунт → жёлтая модуляция</x:v>
      </x:c>
      <x:c r="D10" s="89" t="str">
        <x:v>0,3</x:v>
      </x:c>
      <x:c r="E10" s="89" t="str">
        <x:v>15–20</x:v>
      </x:c>
      <x:c r="F10" s="89" t="str">
        <x:v>Air из банки; обычные 1:1</x:v>
      </x:c>
      <x:c r="G10" s="89" t="str">
        <x:v>4–10 см</x:v>
      </x:c>
      <x:c r="H10" s="89" t="str">
        <x:v>4–8</x:v>
      </x:c>
      <x:c r="I10" s="89" t="str">
        <x:v>White points</x:v>
      </x:c>
      <x:c r="J10" s="89" t="str">
        <x:v>Полосы от мокрых проходов</x:v>
      </x:c>
    </x:row>
    <x:row r="11">
      <x:c r="A11" s="89" t="n">
        <x:v>127</x:v>
      </x:c>
      <x:c r="B11" s="89" t="str">
        <x:v>Белая броня</x:v>
      </x:c>
      <x:c r="C11" s="89" t="str">
        <x:v>Зениталь и полупрозрачный белый</x:v>
      </x:c>
      <x:c r="D11" s="89" t="str">
        <x:v>0,2–0,3</x:v>
      </x:c>
      <x:c r="E11" s="89" t="str">
        <x:v>12–16</x:v>
      </x:c>
      <x:c r="F11" s="89" t="str">
        <x:v>Сильно тонкие слои</x:v>
      </x:c>
      <x:c r="G11" s="89" t="str">
        <x:v>2–7 см</x:v>
      </x:c>
      <x:c r="H11" s="89" t="str">
        <x:v>5–10</x:v>
      </x:c>
      <x:c r="I11" s="89" t="str">
        <x:v>White edge</x:v>
      </x:c>
      <x:c r="J11" s="89" t="str">
        <x:v>Утрата подложки</x:v>
      </x:c>
    </x:row>
    <x:row r="12">
      <x:c r="A12" s="89" t="n">
        <x:v>128</x:v>
      </x:c>
      <x:c r="B12" s="89" t="str">
        <x:v>Чёрная броня</x:v>
      </x:c>
      <x:c r="C12" s="89" t="str">
        <x:v>Чёрный → серый малой площадью</x:v>
      </x:c>
      <x:c r="D12" s="89" t="str">
        <x:v>0,2–0,3</x:v>
      </x:c>
      <x:c r="E12" s="89" t="str">
        <x:v>12–16</x:v>
      </x:c>
      <x:c r="F12" s="89" t="str">
        <x:v>Акрил 1:1</x:v>
      </x:c>
      <x:c r="G12" s="89" t="str">
        <x:v>2–7 см</x:v>
      </x:c>
      <x:c r="H12" s="89" t="str">
        <x:v>3–5</x:v>
      </x:c>
      <x:c r="I12" s="89" t="str">
        <x:v>White Grey edge</x:v>
      </x:c>
      <x:c r="J12" s="89" t="str">
        <x:v>Сделать модель серой</x:v>
      </x:c>
    </x:row>
    <x:row r="13">
      <x:c r="A13" s="89" t="n">
        <x:v>129</x:v>
      </x:c>
      <x:c r="B13" s="89" t="str">
        <x:v>Тёплая кожа</x:v>
      </x:c>
      <x:c r="C13" s="89" t="str">
        <x:v>Объём + телесный фильтр</x:v>
      </x:c>
      <x:c r="D13" s="89" t="str">
        <x:v>0,2–0,3</x:v>
      </x:c>
      <x:c r="E13" s="89" t="str">
        <x:v>12–16</x:v>
      </x:c>
      <x:c r="F13" s="89" t="str">
        <x:v>Акрил 1:1–1:2</x:v>
      </x:c>
      <x:c r="G13" s="89" t="str">
        <x:v>2–6 см</x:v>
      </x:c>
      <x:c r="H13" s="89" t="str">
        <x:v>3–6</x:v>
      </x:c>
      <x:c r="I13" s="89" t="str">
        <x:v>Глаза, губы, блики</x:v>
      </x:c>
      <x:c r="J13" s="89" t="str">
        <x:v>Залить анатомию</x:v>
      </x:c>
    </x:row>
    <x:row r="14">
      <x:c r="A14" s="89" t="n">
        <x:v>130</x:v>
      </x:c>
      <x:c r="B14" s="89" t="str">
        <x:v>Мертвенная кожа</x:v>
      </x:c>
      <x:c r="C14" s="89" t="str">
        <x:v>Зениталь + холодные фильтры</x:v>
      </x:c>
      <x:c r="D14" s="89" t="str">
        <x:v>0,2–0,3</x:v>
      </x:c>
      <x:c r="E14" s="89" t="str">
        <x:v>12–15</x:v>
      </x:c>
      <x:c r="F14" s="89" t="str">
        <x:v>Фильтры очень жидкие</x:v>
      </x:c>
      <x:c r="G14" s="89" t="str">
        <x:v>2–6 см</x:v>
      </x:c>
      <x:c r="H14" s="89" t="str">
        <x:v>4–8</x:v>
      </x:c>
      <x:c r="I14" s="89" t="str">
        <x:v>Лицевые детали</x:v>
      </x:c>
      <x:c r="J14" s="89" t="str">
        <x:v>Слишком фиолетовая кожа</x:v>
      </x:c>
    </x:row>
    <x:row r="15">
      <x:c r="A15" s="89" t="n">
        <x:v>134</x:v>
      </x:c>
      <x:c r="B15" s="89" t="str">
        <x:v>Candy-red metal</x:v>
      </x:c>
      <x:c r="C15" s="89" t="str">
        <x:v>Серебро → красные фильтры</x:v>
      </x:c>
      <x:c r="D15" s="89" t="str">
        <x:v>0,3</x:v>
      </x:c>
      <x:c r="E15" s="89" t="str">
        <x:v>12–16</x:v>
      </x:c>
      <x:c r="F15" s="89" t="str">
        <x:v>Contrast + Medium</x:v>
      </x:c>
      <x:c r="G15" s="89" t="str">
        <x:v>3–8 см</x:v>
      </x:c>
      <x:c r="H15" s="89" t="str">
        <x:v>4–8</x:v>
      </x:c>
      <x:c r="I15" s="89" t="str">
        <x:v>Silver edges</x:v>
      </x:c>
      <x:c r="J15" s="89" t="str">
        <x:v>Потеря металлика</x:v>
      </x:c>
    </x:row>
    <x:row r="16">
      <x:c r="A16" s="89" t="n">
        <x:v>135</x:v>
      </x:c>
      <x:c r="B16" s="89" t="str">
        <x:v>Candy-blue metal</x:v>
      </x:c>
      <x:c r="C16" s="89" t="str">
        <x:v>Серебро → синие фильтры</x:v>
      </x:c>
      <x:c r="D16" s="89" t="str">
        <x:v>0,3</x:v>
      </x:c>
      <x:c r="E16" s="89" t="str">
        <x:v>12–16</x:v>
      </x:c>
      <x:c r="F16" s="89" t="str">
        <x:v>Contrast + Medium</x:v>
      </x:c>
      <x:c r="G16" s="89" t="str">
        <x:v>3–8 см</x:v>
      </x:c>
      <x:c r="H16" s="89" t="str">
        <x:v>4–8</x:v>
      </x:c>
      <x:c r="I16" s="89" t="str">
        <x:v>Silver edges</x:v>
      </x:c>
      <x:c r="J16" s="89" t="str">
        <x:v>Слишком тёмный Leviadon</x:v>
      </x:c>
    </x:row>
    <x:row r="17">
      <x:c r="A17" s="89" t="n">
        <x:v>136</x:v>
      </x:c>
      <x:c r="B17" s="89" t="str">
        <x:v>Candy-teal metal</x:v>
      </x:c>
      <x:c r="C17" s="89" t="str">
        <x:v>Металл → teal filters</x:v>
      </x:c>
      <x:c r="D17" s="89" t="str">
        <x:v>0,3</x:v>
      </x:c>
      <x:c r="E17" s="89" t="str">
        <x:v>12–16</x:v>
      </x:c>
      <x:c r="F17" s="89" t="str">
        <x:v>Contrast + Medium</x:v>
      </x:c>
      <x:c r="G17" s="89" t="str">
        <x:v>3–8 см</x:v>
      </x:c>
      <x:c r="H17" s="89" t="str">
        <x:v>4–8</x:v>
      </x:c>
      <x:c r="I17" s="89" t="str">
        <x:v>Silver edges</x:v>
      </x:c>
      <x:c r="J17" s="89" t="str">
        <x:v>Неравномерная глазурь</x:v>
      </x:c>
    </x:row>
    <x:row r="18">
      <x:c r="A18" s="89" t="n">
        <x:v>139</x:v>
      </x:c>
      <x:c r="B18" s="89" t="str">
        <x:v>Синяя плазма</x:v>
      </x:c>
      <x:c r="C18" s="89" t="str">
        <x:v>Широкий ореол → белый центр</x:v>
      </x:c>
      <x:c r="D18" s="89" t="str">
        <x:v>0,2–0,3</x:v>
      </x:c>
      <x:c r="E18" s="89" t="str">
        <x:v>10–15</x:v>
      </x:c>
      <x:c r="F18" s="89" t="str">
        <x:v>Прозрачные слои</x:v>
      </x:c>
      <x:c r="G18" s="89" t="str">
        <x:v>1–5 см</x:v>
      </x:c>
      <x:c r="H18" s="89" t="str">
        <x:v>5–10</x:v>
      </x:c>
      <x:c r="I18" s="89" t="str">
        <x:v>Рёбра катушки</x:v>
      </x:c>
      <x:c r="J18" s="89" t="str">
        <x:v>Ореол ярче источника</x:v>
      </x:c>
    </x:row>
    <x:row r="19">
      <x:c r="A19" s="89" t="n">
        <x:v>140</x:v>
      </x:c>
      <x:c r="B19" s="89" t="str">
        <x:v>Зелёная плазма</x:v>
      </x:c>
      <x:c r="C19" s="89" t="str">
        <x:v>Contrast + Fluorescent</x:v>
      </x:c>
      <x:c r="D19" s="89" t="str">
        <x:v>0,2–0,3</x:v>
      </x:c>
      <x:c r="E19" s="89" t="str">
        <x:v>10–15</x:v>
      </x:c>
      <x:c r="F19" s="89" t="str">
        <x:v>Fluo 10–30% thinner</x:v>
      </x:c>
      <x:c r="G19" s="89" t="str">
        <x:v>1–5 см</x:v>
      </x:c>
      <x:c r="H19" s="89" t="str">
        <x:v>5–10</x:v>
      </x:c>
      <x:c r="I19" s="89" t="str">
        <x:v>White core</x:v>
      </x:c>
      <x:c r="J19" s="89" t="str">
        <x:v>Fluo на тёмной основе</x:v>
      </x:c>
    </x:row>
    <x:row r="20">
      <x:c r="A20" s="89" t="n">
        <x:v>141</x:v>
      </x:c>
      <x:c r="B20" s="89" t="str">
        <x:v>Маджентовое свечение</x:v>
      </x:c>
      <x:c r="C20" s="89" t="str">
        <x:v>Magenta + purple boundary</x:v>
      </x:c>
      <x:c r="D20" s="89" t="str">
        <x:v>0,2–0,3</x:v>
      </x:c>
      <x:c r="E20" s="89" t="str">
        <x:v>10–15</x:v>
      </x:c>
      <x:c r="F20" s="89" t="str">
        <x:v>Contrast + Medium</x:v>
      </x:c>
      <x:c r="G20" s="89" t="str">
        <x:v>1–5 см</x:v>
      </x:c>
      <x:c r="H20" s="89" t="str">
        <x:v>5–10</x:v>
      </x:c>
      <x:c r="I20" s="89" t="str">
        <x:v>White core</x:v>
      </x:c>
      <x:c r="J20" s="89" t="str">
        <x:v>Слишком широкий фиолетовый край</x:v>
      </x:c>
    </x:row>
    <x:row r="21">
      <x:c r="A21" s="89" t="n">
        <x:v>142</x:v>
      </x:c>
      <x:c r="B21" s="89" t="str">
        <x:v>Тёплый OSL</x:v>
      </x:c>
      <x:c r="C21" s="89" t="str">
        <x:v>Red → Orange → Yellow → White</x:v>
      </x:c>
      <x:c r="D21" s="89" t="str">
        <x:v>0,2–0,3</x:v>
      </x:c>
      <x:c r="E21" s="89" t="str">
        <x:v>10–14</x:v>
      </x:c>
      <x:c r="F21" s="89" t="str">
        <x:v>Акрил 1:2–1:4</x:v>
      </x:c>
      <x:c r="G21" s="89" t="str">
        <x:v>1–6 см</x:v>
      </x:c>
      <x:c r="H21" s="89" t="str">
        <x:v>5–10</x:v>
      </x:c>
      <x:c r="I21" s="89" t="str">
        <x:v>Источник света</x:v>
      </x:c>
      <x:c r="J21" s="89" t="str">
        <x:v>Свет проходит сквозь препятствия</x:v>
      </x:c>
    </x:row>
    <x:row r="22">
      <x:c r="A22" s="89" t="n">
        <x:v>143</x:v>
      </x:c>
      <x:c r="B22" s="89" t="str">
        <x:v>Холодный OSL</x:v>
      </x:c>
      <x:c r="C22" s="89" t="str">
        <x:v>Blue-grey reflective light</x:v>
      </x:c>
      <x:c r="D22" s="89" t="str">
        <x:v>0,2–0,3</x:v>
      </x:c>
      <x:c r="E22" s="89" t="str">
        <x:v>10–14</x:v>
      </x:c>
      <x:c r="F22" s="89" t="str">
        <x:v>Акрил 1:2–1:4</x:v>
      </x:c>
      <x:c r="G22" s="89" t="str">
        <x:v>1–6 см</x:v>
      </x:c>
      <x:c r="H22" s="89" t="str">
        <x:v>4–8</x:v>
      </x:c>
      <x:c r="I22" s="89" t="str">
        <x:v>White edge</x:v>
      </x:c>
      <x:c r="J22" s="89" t="str">
        <x:v>Слишком белая теневая сторона</x:v>
      </x:c>
    </x:row>
    <x:row r="23">
      <x:c r="A23" s="89" t="n">
        <x:v>144</x:v>
      </x:c>
      <x:c r="B23" s="89" t="str">
        <x:v>Копоть</x:v>
      </x:c>
      <x:c r="C23" s="89" t="str">
        <x:v>Тёмный центр → прозрачный край</x:v>
      </x:c>
      <x:c r="D23" s="89" t="str">
        <x:v>0,2–0,3</x:v>
      </x:c>
      <x:c r="E23" s="89" t="str">
        <x:v>10–14</x:v>
      </x:c>
      <x:c r="F23" s="89" t="str">
        <x:v>Contrast + Medium 1:3+</x:v>
      </x:c>
      <x:c r="G23" s="89" t="str">
        <x:v>2–8 см</x:v>
      </x:c>
      <x:c r="H23" s="89" t="str">
        <x:v>2–6</x:v>
      </x:c>
      <x:c r="I23" s="89" t="str">
        <x:v>Oil soot optional</x:v>
      </x:c>
      <x:c r="J23" s="89" t="str">
        <x:v>Ровный чёрный круг</x:v>
      </x:c>
    </x:row>
    <x:row r="24">
      <x:c r="A24" s="89" t="n">
        <x:v>145</x:v>
      </x:c>
      <x:c r="B24" s="89" t="str">
        <x:v>Пыль</x:v>
      </x:c>
      <x:c r="C24" s="89" t="str">
        <x:v>Нижний полупрозрачный фильтр</x:v>
      </x:c>
      <x:c r="D24" s="89" t="str">
        <x:v>0,3</x:v>
      </x:c>
      <x:c r="E24" s="89" t="str">
        <x:v>12–16</x:v>
      </x:c>
      <x:c r="F24" s="89" t="str">
        <x:v>Paint:thinner 1:4–1:8</x:v>
      </x:c>
      <x:c r="G24" s="89" t="str">
        <x:v>5–12 см</x:v>
      </x:c>
      <x:c r="H24" s="89" t="str">
        <x:v>3–8</x:v>
      </x:c>
      <x:c r="I24" s="89" t="str">
        <x:v>Oil dirt</x:v>
      </x:c>
      <x:c r="J24" s="89" t="str">
        <x:v>Меловой непрозрачный слой</x:v>
      </x:c>
    </x:row>
    <x:row r="25">
      <x:c r="A25" s="89" t="n">
        <x:v>146</x:v>
      </x:c>
      <x:c r="B25" s="89" t="str">
        <x:v>Ржавчина</x:v>
      </x:c>
      <x:c r="C25" s="89" t="str">
        <x:v>Нерегулярные пятна</x:v>
      </x:c>
      <x:c r="D25" s="89" t="str">
        <x:v>0,2–0,3</x:v>
      </x:c>
      <x:c r="E25" s="89" t="str">
        <x:v>12–16</x:v>
      </x:c>
      <x:c r="F25" s="89" t="str">
        <x:v>Paint:thinner 1:1–1:3</x:v>
      </x:c>
      <x:c r="G25" s="89" t="str">
        <x:v>2–8 см</x:v>
      </x:c>
      <x:c r="H25" s="89" t="str">
        <x:v>Много коротких</x:v>
      </x:c>
      <x:c r="I25" s="89" t="str">
        <x:v>Dry rust and chips</x:v>
      </x:c>
      <x:c r="J25" s="89" t="str">
        <x:v>Ровная оранжевая поверхность</x:v>
      </x:c>
    </x:row>
    <x:row r="26">
      <x:c r="A26" s="89" t="n">
        <x:v>147</x:v>
      </x:c>
      <x:c r="B26" s="89" t="str">
        <x:v>Chipping</x:v>
      </x:c>
      <x:c r="C26" s="89" t="str">
        <x:v>Medium + верхний цвет</x:v>
      </x:c>
      <x:c r="D26" s="89" t="str">
        <x:v>0,3–0,5</x:v>
      </x:c>
      <x:c r="E26" s="89" t="str">
        <x:v>15–20</x:v>
      </x:c>
      <x:c r="F26" s="89" t="str">
        <x:v>Medium почти из банки</x:v>
      </x:c>
      <x:c r="G26" s="89" t="str">
        <x:v>6–12 см</x:v>
      </x:c>
      <x:c r="H26" s="89" t="str">
        <x:v>1–2 ровных</x:v>
      </x:c>
      <x:c r="I26" s="89" t="str">
        <x:v>Скалывание водой</x:v>
      </x:c>
      <x:c r="J26" s="89" t="str">
        <x:v>Лужи Medium</x:v>
      </x:c>
    </x:row>
    <x:row r="27">
      <x:c r="A27" s="89" t="n">
        <x:v>148</x:v>
      </x:c>
      <x:c r="B27" s="89" t="str">
        <x:v>Gloss barrier</x:v>
      </x:c>
      <x:c r="C27" s="89" t="str">
        <x:v>Несколько тонких слоёв</x:v>
      </x:c>
      <x:c r="D27" s="89" t="str">
        <x:v>0,3–0,5</x:v>
      </x:c>
      <x:c r="E27" s="89" t="str">
        <x:v>15–20</x:v>
      </x:c>
      <x:c r="F27" s="89" t="str">
        <x:v>0–20% thinner</x:v>
      </x:c>
      <x:c r="G27" s="89" t="str">
        <x:v>8–15 см</x:v>
      </x:c>
      <x:c r="H27" s="89" t="str">
        <x:v>2–3</x:v>
      </x:c>
      <x:c r="I27" s="89" t="str">
        <x:v>Oil wash after cure</x:v>
      </x:c>
      <x:c r="J27" s="89" t="str">
        <x:v>Мокрый толстый лак</x:v>
      </x:c>
    </x:row>
    <x:row r="28">
      <x:c r="A28" s="89" t="n">
        <x:v>149</x:v>
      </x:c>
      <x:c r="B28" s="89" t="str">
        <x:v>Matt varnish</x:v>
      </x:c>
      <x:c r="C28" s="89" t="str">
        <x:v>Пылевой + равномерный слой</x:v>
      </x:c>
      <x:c r="D28" s="89" t="str">
        <x:v>0,3–0,5</x:v>
      </x:c>
      <x:c r="E28" s="89" t="str">
        <x:v>15–20</x:v>
      </x:c>
      <x:c r="F28" s="89" t="str">
        <x:v>0–20% thinner</x:v>
      </x:c>
      <x:c r="G28" s="89" t="str">
        <x:v>8–15 см</x:v>
      </x:c>
      <x:c r="H28" s="89" t="str">
        <x:v>2–3</x:v>
      </x:c>
      <x:c r="I28" s="89" t="str">
        <x:v>Вернуть Gloss локально</x:v>
      </x:c>
      <x:c r="J28" s="89" t="str">
        <x:v>Замутнение металлов</x:v>
      </x:c>
    </x:row>
    <x:row r="29">
      <x:c r="A29" s="89" t="n">
        <x:v>150</x:v>
      </x:c>
      <x:c r="B29" s="89" t="str">
        <x:v>Серийная армия</x:v>
      </x:c>
      <x:c r="C29" s="89" t="str">
        <x:v>Зениталь + прозрачный цвет</x:v>
      </x:c>
      <x:c r="D29" s="89" t="str">
        <x:v>0,3</x:v>
      </x:c>
      <x:c r="E29" s="89" t="str">
        <x:v>15–18 / 10–16</x:v>
      </x:c>
      <x:c r="F29" s="89" t="str">
        <x:v>По категории краски</x:v>
      </x:c>
      <x:c r="G29" s="89" t="str">
        <x:v>3–12 см</x:v>
      </x:c>
      <x:c r="H29" s="89" t="str">
        <x:v>3–8</x:v>
      </x:c>
      <x:c r="I29" s="89" t="str">
        <x:v>Средний тон и edge</x:v>
      </x:c>
      <x:c r="J29" s="89" t="str">
        <x:v>Переоценить Contrast на плоскостях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dbf1f022d1e49f6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1" hidden="0" customWidth="1"/>
    <x:col min="3" max="3" width="18" hidden="0" customWidth="1"/>
    <x:col min="4" max="4" width="55" hidden="0" customWidth="1"/>
    <x:col min="5" max="5" width="73" hidden="0" customWidth="1"/>
    <x:col min="6" max="6" width="86" hidden="0" customWidth="1"/>
  </x:cols>
  <x:sheetData>
    <x:row r="1" ht="38" customHeight="1">
      <x:c r="A1" s="332" t="str">
        <x:v>Пятый проход аудита: аэрограф как основной инструмент</x:v>
      </x:c>
      <x:c r="B1" s="332"/>
      <x:c r="C1" s="332"/>
      <x:c r="D1" s="332"/>
      <x:c r="E1" s="332"/>
      <x:c r="F1" s="332"/>
    </x:row>
    <x:row r="3">
      <x:c r="A3" s="338" t="str">
        <x:v>Показатель</x:v>
      </x:c>
      <x:c r="B3" s="338" t="str">
        <x:v>Результат</x:v>
      </x:c>
    </x:row>
    <x:row r="4">
      <x:c r="A4" s="344" t="str">
        <x:v>Рецептов до прохода</x:v>
      </x:c>
      <x:c r="B4" s="345" t="n">
        <x:v>120</x:v>
      </x:c>
    </x:row>
    <x:row r="5">
      <x:c r="A5" s="344" t="str">
        <x:v>Новых аэрографных рецептов</x:v>
      </x:c>
      <x:c r="B5" s="345" t="n">
        <x:v>30</x:v>
      </x:c>
    </x:row>
    <x:row r="6">
      <x:c r="A6" s="344" t="str">
        <x:v>Рецептов после прохода</x:v>
      </x:c>
      <x:c r="B6" s="345" t="n">
        <x:v>150</x:v>
      </x:c>
    </x:row>
    <x:row r="7">
      <x:c r="A7" s="344" t="str">
        <x:v>Категорий материалов проверено</x:v>
      </x:c>
      <x:c r="B7" s="345" t="n">
        <x:v>18</x:v>
      </x:c>
    </x:row>
    <x:row r="8">
      <x:c r="A8" s="344" t="str">
        <x:v>Новых аэрографных процессов</x:v>
      </x:c>
      <x:c r="B8" s="345" t="n">
        <x:v>7</x:v>
      </x:c>
    </x:row>
    <x:row r="9">
      <x:c r="A9" s="344" t="str">
        <x:v>Рекомендуемый базовый диапазон Vallejo</x:v>
      </x:c>
      <x:c r="B9" s="345" t="str">
        <x:v>15–20 PSI</x:v>
      </x:c>
    </x:row>
    <x:row r="10">
      <x:c r="A10" s="344" t="str">
        <x:v>Базовое правило разведения</x:v>
      </x:c>
      <x:c r="B10" s="345" t="str">
        <x:v>Начальная пропорция → тест распыла → коррекция</x:v>
      </x:c>
    </x:row>
    <x:row r="11">
      <x:c r="A11" s="344" t="str">
        <x:v>Материалы, оставленные кистевыми</x:v>
      </x:c>
      <x:c r="B11" s="345" t="str">
        <x:v>Dry, Texture, Crackle, глянцевые Technical, кровь, слизь и масла</x:v>
      </x:c>
    </x:row>
    <x:row r="12">
      <x:c r="A12" s="344" t="str">
        <x:v>Ключевой принцип</x:v>
      </x:c>
      <x:c r="B12" s="344" t="str">
        <x:v>Аэрограф создаёт объём и фильтры; кисть возвращает резкость и микродеталь</x:v>
      </x:c>
    </x:row>
    <x:row r="15">
      <x:c r="A15" s="341" t="str">
        <x:v>ID</x:v>
      </x:c>
      <x:c r="B15" s="341" t="str">
        <x:v>Область</x:v>
      </x:c>
      <x:c r="C15" s="341" t="str">
        <x:v>Статус</x:v>
      </x:c>
      <x:c r="D15" s="341" t="str">
        <x:v>Что обнаружено</x:v>
      </x:c>
      <x:c r="E15" s="341" t="str">
        <x:v>Действие</x:v>
      </x:c>
      <x:c r="F15" s="341" t="str">
        <x:v>Основание</x:v>
      </x:c>
    </x:row>
    <x:row r="16">
      <x:c r="A16" s="89" t="str">
        <x:v>AUD5-01</x:v>
      </x:c>
      <x:c r="B16" s="89" t="str">
        <x:v>Давление</x:v>
      </x:c>
      <x:c r="C16" s="89" t="str">
        <x:v>Уточнено</x:v>
      </x:c>
      <x:c r="D16" s="89" t="str">
        <x:v>Ранее в матрице не было единого правила измерения давления.</x:v>
      </x:c>
      <x:c r="E16" s="89" t="str">
        <x:v>Все диапазоны считаются при нажатом воздухе; тонкие линии используют меньшее давление и меньшую дистанцию.</x:v>
      </x:c>
      <x:c r="F16" s="89" t="str">
        <x:v>Iwata рекомендует настраивать рабочее давление при движущемся воздухе и снижать PSI для тонких линий.</x:v>
      </x:c>
    </x:row>
    <x:row r="17">
      <x:c r="A17" s="89" t="str">
        <x:v>AUD5-02</x:v>
      </x:c>
      <x:c r="B17" s="89" t="str">
        <x:v>Разведение</x:v>
      </x:c>
      <x:c r="C17" s="89" t="str">
        <x:v>Уточнено</x:v>
      </x:c>
      <x:c r="D17" s="89" t="str">
        <x:v>Пользователь может развести любую обычную акриловую краску, но фиксированная пропорция ненадёжна.</x:v>
      </x:c>
      <x:c r="E17" s="89" t="str">
        <x:v>Добавлены стартовые диапазоны и диагностика: зерно → больше thinner; паутина → меньше thinner/давления либо больше дистанция.</x:v>
      </x:c>
      <x:c r="F17" s="89" t="str">
        <x:v>Iwata рекомендует доводить краску до распыляемой консистенции и наносить повторными тонкими проходами.</x:v>
      </x:c>
    </x:row>
    <x:row r="18">
      <x:c r="A18" s="89" t="str">
        <x:v>AUD5-03</x:v>
      </x:c>
      <x:c r="B18" s="89" t="str">
        <x:v>Vallejo Air/Mecha/Primer</x:v>
      </x:c>
      <x:c r="C18" s="89" t="str">
        <x:v>Подтверждено</x:v>
      </x:c>
      <x:c r="D18" s="89" t="str">
        <x:v>Нужно было закрепить официальные параметры специально аэрографных линеек.</x:v>
      </x:c>
      <x:c r="E18" s="89" t="str">
        <x:v>Для Model Air, Game Air, Mecha и Primer принят базовый диапазон 15–20 PSI; допускается применение прямо из флакона или с Airbrush Thinner/Flow Improver.</x:v>
      </x:c>
      <x:c r="F18" s="89" t="str">
        <x:v>Официальные страницы Vallejo приводят эти параметры для всех перечисленных линеек.</x:v>
      </x:c>
    </x:row>
    <x:row r="19">
      <x:c r="A19" s="89" t="str">
        <x:v>AUD5-04</x:v>
      </x:c>
      <x:c r="B19" s="89" t="str">
        <x:v>AK 3GEN</x:v>
      </x:c>
      <x:c r="C19" s="89" t="str">
        <x:v>Подтверждено</x:v>
      </x:c>
      <x:c r="D19" s="89" t="str">
        <x:v>Обычные AK Standard могли ошибочно считаться только кистевыми.</x:v>
      </x:c>
      <x:c r="E19" s="89" t="str">
        <x:v>Закреплено, что 3GEN рассчитаны на кисть и аэрограф после разведения; предпочтителен AK 3GEN Thinner.</x:v>
      </x:c>
      <x:c r="F19" s="89" t="str">
        <x:v>AK указывает, что 3GEN легко разводятся для аэрографа, а фирменный thinner снижает риск засорения.</x:v>
      </x:c>
    </x:row>
    <x:row r="20">
      <x:c r="A20" s="89" t="str">
        <x:v>AUD5-05</x:v>
      </x:c>
      <x:c r="B20" s="89" t="str">
        <x:v>Wash через аэрограф</x:v>
      </x:c>
      <x:c r="C20" s="89" t="str">
        <x:v>Уточнено</x:v>
      </x:c>
      <x:c r="D20" s="89" t="str">
        <x:v>Аэрографная Shade/Wash могла восприниматься как эквивалент кистевой проливки.</x:v>
      </x:c>
      <x:c r="E20" s="89" t="str">
        <x:v>Внесено различие: распылённый Wash является фильтром; для углублений и panel lines по-прежнему нужна кисть.</x:v>
      </x:c>
      <x:c r="F20" s="89" t="str">
        <x:v>Vallejo допускает Wash через аэрограф и описывает его также как glaze/filter.</x:v>
      </x:c>
    </x:row>
    <x:row r="21">
      <x:c r="A21" s="89" t="str">
        <x:v>AUD5-06</x:v>
      </x:c>
      <x:c r="B21" s="89" t="str">
        <x:v>Металлики</x:v>
      </x:c>
      <x:c r="C21" s="89" t="str">
        <x:v>Ограничение</x:v>
      </x:c>
      <x:c r="D21" s="89" t="str">
        <x:v>Переразбавление металликов способно испортить равномерность частиц.</x:v>
      </x:c>
      <x:c r="E21" s="89" t="str">
        <x:v>Для Vallejo Metal Color принят режим из банки или минимальное разведение; густые Citadel metallic рекомендуется фильтровать и применять с более крупным соплом.</x:v>
      </x:c>
      <x:c r="F21" s="89" t="str">
        <x:v>Vallejo предупреждает, что чрезмерное разведение специализированного металлического аэрографного цвета может дать неравномерный финиш.</x:v>
      </x:c>
    </x:row>
    <x:row r="22">
      <x:c r="A22" s="89" t="str">
        <x:v>AUD5-07</x:v>
      </x:c>
      <x:c r="B22" s="89" t="str">
        <x:v>Безопасность</x:v>
      </x:c>
      <x:c r="C22" s="89" t="str">
        <x:v>Добавлено</x:v>
      </x:c>
      <x:c r="D22" s="89" t="str">
        <x:v>Водные краски ошибочно могут восприниматься как полностью безопасные для дыхания.</x:v>
      </x:c>
      <x:c r="E22" s="89" t="str">
        <x:v>Добавлены вентиляция, маска от аэрозоля и spray-out pot; масла и растворительные материалы исключены из обычного акрилового процесса.</x:v>
      </x:c>
      <x:c r="F22" s="89" t="str">
        <x:v>Iwata рекомендует вентиляцию и защиту при распылении; аэрозольный туман требует контроля даже при водных красках.</x:v>
      </x:c>
    </x:row>
    <x:row r="27">
      <x:c r="A27" s="347" t="str">
        <x:v>ID</x:v>
      </x:c>
      <x:c r="B27" s="347" t="str">
        <x:v>Источник / идея</x:v>
      </x:c>
      <x:c r="C27" s="347" t="str">
        <x:v>URL</x:v>
      </x:c>
    </x:row>
    <x:row r="28">
      <x:c r="A28" s="344" t="str">
        <x:v>SRC5-01</x:v>
      </x:c>
      <x:c r="B28" s="344" t="str">
        <x:v>Vallejo Model Air: directly or with thinner/flow improver; 15–20 PSI</x:v>
      </x:c>
      <x:c r="C28" s="344" t="str">
        <x:v>https://acrylicosvallejo.com/en/product/model-air-en/medium-yellow-71002/</x:v>
      </x:c>
    </x:row>
    <x:row r="29">
      <x:c r="A29" s="344" t="str">
        <x:v>SRC5-02</x:v>
      </x:c>
      <x:c r="B29" s="344" t="str">
        <x:v>Vallejo Game Air: direct airbrush use; 15–20 PSI</x:v>
      </x:c>
      <x:c r="C29" s="344" t="str">
        <x:v>https://acrylicosvallejo.com/en/product/hobby/game-air-en/desert-yellow-72763/</x:v>
      </x:c>
    </x:row>
    <x:row r="30">
      <x:c r="A30" s="344" t="str">
        <x:v>SRC5-03</x:v>
      </x:c>
      <x:c r="B30" s="344" t="str">
        <x:v>Vallejo Mecha Color: direct or diluted; 15–20 PSI</x:v>
      </x:c>
      <x:c r="C30" s="344" t="str">
        <x:v>https://acrylicosvallejo.com/en/product/hobby/mecha-color-en/electric-blue-69020/</x:v>
      </x:c>
    </x:row>
    <x:row r="31">
      <x:c r="A31" s="344" t="str">
        <x:v>SRC5-04</x:v>
      </x:c>
      <x:c r="B31" s="344" t="str">
        <x:v>Vallejo Primer: direct or diluted; 15–20 PSI</x:v>
      </x:c>
      <x:c r="C31" s="344" t="str">
        <x:v>https://acrylicosvallejo.com/en/product/hobby/primers-en/earth-green-early-70611/</x:v>
      </x:c>
    </x:row>
    <x:row r="32">
      <x:c r="A32" s="344" t="str">
        <x:v>SRC5-05</x:v>
      </x:c>
      <x:c r="B32" s="344" t="str">
        <x:v>Vallejo Game Color: brush paint can be airbrushed when properly diluted</x:v>
      </x:c>
      <x:c r="C32" s="344" t="str">
        <x:v>https://acrylicosvallejo.com/en/product/hobby/game-color-en/black-72051/</x:v>
      </x:c>
    </x:row>
    <x:row r="33">
      <x:c r="A33" s="344" t="str">
        <x:v>SRC5-06</x:v>
      </x:c>
      <x:c r="B33" s="344" t="str">
        <x:v>Vallejo Wash: brush or airbrush; wash/glaze/filter functions</x:v>
      </x:c>
      <x:c r="C33" s="344" t="str">
        <x:v>https://acrylicosvallejo.com/en/product/hobby/game-color-en/black-wash/</x:v>
      </x:c>
    </x:row>
    <x:row r="34">
      <x:c r="A34" s="344" t="str">
        <x:v>SRC5-07</x:v>
      </x:c>
      <x:c r="B34" s="344" t="str">
        <x:v>Vallejo metallic airbrush color: ready to use; excessive thinning can be uneven</x:v>
      </x:c>
      <x:c r="C34" s="344" t="str">
        <x:v>https://acrylicosvallejo.com/en/producto/hobby/true-metallic-metal-en/arcane-gold-177/</x:v>
      </x:c>
    </x:row>
    <x:row r="35">
      <x:c r="A35" s="344" t="str">
        <x:v>SRC5-08</x:v>
      </x:c>
      <x:c r="B35" s="344" t="str">
        <x:v>AK 3GEN Thinner: airbrush performance and clog prevention</x:v>
      </x:c>
      <x:c r="C35" s="344" t="str">
        <x:v>https://ak-interactive.com/product/ak11500-thinner-100ml/</x:v>
      </x:c>
    </x:row>
    <x:row r="36">
      <x:c r="A36" s="344" t="str">
        <x:v>SRC5-09</x:v>
      </x:c>
      <x:c r="B36" s="344" t="str">
        <x:v>AK 3GEN acrylic: brush and airbrush after dilution</x:v>
      </x:c>
      <x:c r="C36" s="344" t="str">
        <x:v>https://ak-interactive.com/product/purple-standard/</x:v>
      </x:c>
    </x:row>
    <x:row r="37">
      <x:c r="A37" s="344" t="str">
        <x:v>SRC5-10</x:v>
      </x:c>
      <x:c r="B37" s="344" t="str">
        <x:v>Iwata setup: lower pressure and close distance for finer lines; skim-milk consistency</x:v>
      </x:c>
      <x:c r="C37" s="344" t="str">
        <x:v>https://www.iwata-airbrush.com/equipment-setup.html</x:v>
      </x:c>
    </x:row>
    <x:row r="38">
      <x:c r="A38" s="344" t="str">
        <x:v>SRC5-11</x:v>
      </x:c>
      <x:c r="B38" s="344" t="str">
        <x:v>Iwata FAQ: working pressure adjusted while air flows</x:v>
      </x:c>
      <x:c r="C38" s="344" t="str">
        <x:v>https://www.iwata-airbrush.com/frequently-asked-questions.html</x:v>
      </x:c>
    </x:row>
    <x:row r="39">
      <x:c r="A39" s="344" t="str">
        <x:v>SRC5-12</x:v>
      </x:c>
      <x:c r="B39" s="344" t="str">
        <x:v>Iwata safety: ventilation and appropriate protection</x:v>
      </x:c>
      <x:c r="C39" s="344" t="str">
        <x:v>https://www.iwata-airbrush.com/frequently-asked-questions.html</x:v>
      </x:c>
    </x:row>
  </x:sheetData>
  <x:mergeCells>
    <x:mergeCell ref="A1:F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6" hidden="0" customWidth="1"/>
    <x:col min="3" max="3" width="43" hidden="0" customWidth="1"/>
    <x:col min="4" max="4" width="39" hidden="0" customWidth="1"/>
    <x:col min="5" max="5" width="38" hidden="0" customWidth="1"/>
    <x:col min="6" max="6" width="58" hidden="0" customWidth="1"/>
    <x:col min="7" max="7" width="14" hidden="0" customWidth="1"/>
    <x:col min="8" max="8" width="45" hidden="0" customWidth="1"/>
    <x:col min="9" max="9" width="26" hidden="0" customWidth="1"/>
  </x:cols>
  <x:sheetData>
    <x:row r="1" ht="38" customHeight="1">
      <x:c r="A1" s="365" t="str">
        <x:v>Выбор техники по требуемому результату</x:v>
      </x:c>
      <x:c r="B1" s="365"/>
      <x:c r="C1" s="365"/>
      <x:c r="D1" s="365"/>
      <x:c r="E1" s="365"/>
      <x:c r="F1" s="365"/>
      <x:c r="G1" s="365"/>
      <x:c r="H1" s="365"/>
      <x:c r="I1" s="365"/>
    </x:row>
    <x:row r="2" ht="38" customHeight="1">
      <x:c r="A2" s="368" t="str">
        <x:v>Матрица построена вокруг имеющейся коллекции. Аэрограф отвечает за подложки, объём и фильтры; кисть — за фактуру, кромки и микродеталь; масла — за съёмные тени и загрязнения по лаку.</x:v>
      </x:c>
      <x:c r="B2" s="368"/>
      <x:c r="C2" s="368"/>
      <x:c r="D2" s="368"/>
      <x:c r="E2" s="368"/>
      <x:c r="F2" s="368"/>
      <x:c r="G2" s="368"/>
      <x:c r="H2" s="368"/>
      <x:c r="I2" s="368"/>
    </x:row>
    <x:row r="4" ht="42" customHeight="1">
      <x:c r="A4" s="373" t="str">
        <x:v>Техника</x:v>
      </x:c>
      <x:c r="B4" s="373" t="str">
        <x:v>Основной инструмент</x:v>
      </x:c>
      <x:c r="C4" s="373" t="str">
        <x:v>Лучшие краски коллекции</x:v>
      </x:c>
      <x:c r="D4" s="373" t="str">
        <x:v>Результат</x:v>
      </x:c>
      <x:c r="E4" s="373" t="str">
        <x:v>Когда применять</x:v>
      </x:c>
      <x:c r="F4" s="373" t="str">
        <x:v>Базовый процесс</x:v>
      </x:c>
      <x:c r="G4" s="373" t="str">
        <x:v>Сложность</x:v>
      </x:c>
      <x:c r="H4" s="373" t="str">
        <x:v>Главный риск</x:v>
      </x:c>
      <x:c r="I4" s="373" t="str">
        <x:v>Рецепты</x:v>
      </x:c>
    </x:row>
    <x:row r="5">
      <x:c r="A5" s="89" t="str">
        <x:v>Аэрографная модуляция</x:v>
      </x:c>
      <x:c r="B5" s="89" t="str">
        <x:v>Аэрограф + кисть</x:v>
      </x:c>
      <x:c r="C5" s="89" t="str">
        <x:v>AK 3GEN, Citadel Base/Layer, Vallejo Air</x:v>
      </x:c>
      <x:c r="D5" s="89" t="str">
        <x:v>Плавный объём и направленный свет</x:v>
      </x:c>
      <x:c r="E5" s="89" t="str">
        <x:v>Броня, плащи, кожа</x:v>
      </x:c>
      <x:c r="F5" s="89" t="str">
        <x:v>Тёмный → средний под 45° → светлый сверху → edge</x:v>
      </x:c>
      <x:c r="G5" s="89" t="str">
        <x:v>Средняя</x:v>
      </x:c>
      <x:c r="H5" s="89" t="str">
        <x:v>Перекрыть тёмную базу</x:v>
      </x:c>
      <x:c r="I5" s="89" t="str">
        <x:v>121–131</x:v>
      </x:c>
    </x:row>
    <x:row r="6">
      <x:c r="A6" s="89" t="str">
        <x:v>Зенитальная подложка</x:v>
      </x:c>
      <x:c r="B6" s="89" t="str">
        <x:v>Аэрограф</x:v>
      </x:c>
      <x:c r="C6" s="89" t="str">
        <x:v>Black Primer, Grey Seer, White</x:v>
      </x:c>
      <x:c r="D6" s="89" t="str">
        <x:v>Готовая светотень под прозрачные краски</x:v>
      </x:c>
      <x:c r="E6" s="89" t="str">
        <x:v>Contrast, Xpress, Ink</x:v>
      </x:c>
      <x:c r="F6" s="89" t="str">
        <x:v>Чёрный → серый под 45° → белый сверху</x:v>
      </x:c>
      <x:c r="G6" s="89" t="str">
        <x:v>Низкая</x:v>
      </x:c>
      <x:c r="H6" s="89" t="str">
        <x:v>Сделать всю модель серой</x:v>
      </x:c>
      <x:c r="I6" s="89" t="str">
        <x:v>76, 132, 150</x:v>
      </x:c>
    </x:row>
    <x:row r="7">
      <x:c r="A7" s="89" t="str">
        <x:v>Гризайль</x:v>
      </x:c>
      <x:c r="B7" s="89" t="str">
        <x:v>Аэрограф + кисть</x:v>
      </x:c>
      <x:c r="C7" s="89" t="str">
        <x:v>Black, German Grey, Medium Grey, White Grey, White</x:v>
      </x:c>
      <x:c r="D7" s="89" t="str">
        <x:v>Чёрно-белый объём под Ink</x:v>
      </x:c>
      <x:c r="E7" s="89" t="str">
        <x:v>Яркая цветная броня и ткань</x:v>
      </x:c>
      <x:c r="F7" s="89" t="str">
        <x:v>Закончить монохром → прозрачный цвет</x:v>
      </x:c>
      <x:c r="G7" s="89" t="str">
        <x:v>Средняя</x:v>
      </x:c>
      <x:c r="H7" s="89" t="str">
        <x:v>Слабый контраст подмалёвка</x:v>
      </x:c>
      <x:c r="I7" s="89" t="str">
        <x:v>85, 133</x:v>
      </x:c>
    </x:row>
    <x:row r="8">
      <x:c r="A8" s="89" t="str">
        <x:v>Black basing</x:v>
      </x:c>
      <x:c r="B8" s="89" t="str">
        <x:v>Аэрограф</x:v>
      </x:c>
      <x:c r="C8" s="89" t="str">
        <x:v>Black Primer, Medium Grey, White Grey, White</x:v>
      </x:c>
      <x:c r="D8" s="89" t="str">
        <x:v>Нерегулярная сложная поверхность</x:v>
      </x:c>
      <x:c r="E8" s="89" t="str">
        <x:v>Броня, техника, органика</x:v>
      </x:c>
      <x:c r="F8" s="89" t="str">
        <x:v>Чёрный → облачный mottling → прозрачный цвет</x:v>
      </x:c>
      <x:c r="G8" s="89" t="str">
        <x:v>Высокая</x:v>
      </x:c>
      <x:c r="H8" s="89" t="str">
        <x:v>Сделать mottling равномерным</x:v>
      </x:c>
      <x:c r="I8" s="89" t="str">
        <x:v>158–159</x:v>
      </x:c>
    </x:row>
    <x:row r="9">
      <x:c r="A9" s="89" t="str">
        <x:v>Предшейдинг</x:v>
      </x:c>
      <x:c r="B9" s="89" t="str">
        <x:v>Аэрограф</x:v>
      </x:c>
      <x:c r="C9" s="89" t="str">
        <x:v>Dark Prussian Blue, Black, Grey Seer, White</x:v>
      </x:c>
      <x:c r="D9" s="89" t="str">
        <x:v>Выраженные линии и панели под прозрачным цветом</x:v>
      </x:c>
      <x:c r="E9" s="89" t="str">
        <x:v>Техника и крупная броня</x:v>
      </x:c>
      <x:c r="F9" s="89" t="str">
        <x:v>Тёмные швы → светлые центры → прозрачный базовый цвет</x:v>
      </x:c>
      <x:c r="G9" s="89" t="str">
        <x:v>Высокая</x:v>
      </x:c>
      <x:c r="H9" s="89" t="str">
        <x:v>Полностью скрыть предшейдинг</x:v>
      </x:c>
      <x:c r="I9" s="89" t="str">
        <x:v>174</x:v>
      </x:c>
    </x:row>
    <x:row r="10">
      <x:c r="A10" s="89" t="str">
        <x:v>Постшейдинг</x:v>
      </x:c>
      <x:c r="B10" s="89" t="str">
        <x:v>Аэрограф</x:v>
      </x:c>
      <x:c r="C10" s="89" t="str">
        <x:v>Dark Prussian Blue, Caledor, Teclis, Lothern</x:v>
      </x:c>
      <x:c r="D10" s="89" t="str">
        <x:v>Управляемая коррекция готовой базы</x:v>
      </x:c>
      <x:c r="E10" s="89" t="str">
        <x:v>Панели и гладкая броня</x:v>
      </x:c>
      <x:c r="F10" s="89" t="str">
        <x:v>База → локальная тень → локальный свет → фильтр</x:v>
      </x:c>
      <x:c r="G10" s="89" t="str">
        <x:v>Средняя</x:v>
      </x:c>
      <x:c r="H10" s="89" t="str">
        <x:v>Резкие аэрографные пятна</x:v>
      </x:c>
      <x:c r="I10" s="89" t="str">
        <x:v>175</x:v>
      </x:c>
    </x:row>
    <x:row r="11">
      <x:c r="A11" s="89" t="str">
        <x:v>Комплементарный андерпейнт</x:v>
      </x:c>
      <x:c r="B11" s="89" t="str">
        <x:v>Аэрограф</x:v>
      </x:c>
      <x:c r="C11" s="89" t="str">
        <x:v>Incubi/Dark Prussian/Purple под Red/Orange/Yellow</x:v>
      </x:c>
      <x:c r="D11" s="89" t="str">
        <x:v>Насыщенные света и цветные тени</x:v>
      </x:c>
      <x:c r="E11" s="89" t="str">
        <x:v>Персонажи и демонстрационная броня</x:v>
      </x:c>
      <x:c r="F11" s="89" t="str">
        <x:v>Дополнительный цвет в тени → основной цвет тонко</x:v>
      </x:c>
      <x:c r="G11" s="89" t="str">
        <x:v>Высокая</x:v>
      </x:c>
      <x:c r="H11" s="89" t="str">
        <x:v>Грязный коричневый переход</x:v>
      </x:c>
      <x:c r="I11" s="89" t="str">
        <x:v>151–153</x:v>
      </x:c>
    </x:row>
    <x:row r="12">
      <x:c r="A12" s="89" t="str">
        <x:v>Countershading</x:v>
      </x:c>
      <x:c r="B12" s="89" t="str">
        <x:v>Аэрограф + glaze</x:v>
      </x:c>
      <x:c r="C12" s="89" t="str">
        <x:v>Stegadon, Kabalite, Sybarite, Deepkin Flesh</x:v>
      </x:c>
      <x:c r="D12" s="89" t="str">
        <x:v>Натуралистичная спина и светлый живот</x:v>
      </x:c>
      <x:c r="E12" s="89" t="str">
        <x:v>Рептилии, звери, рыбы</x:v>
      </x:c>
      <x:c r="F12" s="89" t="str">
        <x:v>Тёмный верх → светлые бока → светлый низ</x:v>
      </x:c>
      <x:c r="G12" s="89" t="str">
        <x:v>Высокая</x:v>
      </x:c>
      <x:c r="H12" s="89" t="str">
        <x:v>Слишком ровная горизонтальная граница</x:v>
      </x:c>
      <x:c r="I12" s="89" t="str">
        <x:v>154</x:v>
      </x:c>
    </x:row>
    <x:row r="13">
      <x:c r="A13" s="89" t="str">
        <x:v>Stippling кистью</x:v>
      </x:c>
      <x:c r="B13" s="89" t="str">
        <x:v>Кисть</x:v>
      </x:c>
      <x:c r="C13" s="89" t="str">
        <x:v>Daemonette, Warpfiend, Slaanesh, Pale Sand</x:v>
      </x:c>
      <x:c r="D13" s="89" t="str">
        <x:v>Матовая точечная фактура</x:v>
      </x:c>
      <x:c r="E13" s="89" t="str">
        <x:v>Кожа, ткань, чешуя</x:v>
      </x:c>
      <x:c r="F13" s="89" t="str">
        <x:v>Крупные тёмные точки → мелкие светлые</x:v>
      </x:c>
      <x:c r="G13" s="89" t="str">
        <x:v>Средняя</x:v>
      </x:c>
      <x:c r="H13" s="89" t="str">
        <x:v>Равномерная крапинка</x:v>
      </x:c>
      <x:c r="I13" s="89" t="str">
        <x:v>155–156, 169</x:v>
      </x:c>
    </x:row>
    <x:row r="14">
      <x:c r="A14" s="89" t="str">
        <x:v>Stipple/spatter аэрографом</x:v>
      </x:c>
      <x:c r="B14" s="89" t="str">
        <x:v>Аэрограф на низком воздухе</x:v>
      </x:c>
      <x:c r="C14" s="89" t="str">
        <x:v>Rust, Brown Rose, Pale Sand</x:v>
      </x:c>
      <x:c r="D14" s="89" t="str">
        <x:v>Нерегулярные пятна и брызги</x:v>
      </x:c>
      <x:c r="E14" s="89" t="str">
        <x:v>Ржавчина, кожа, грязь</x:v>
      </x:c>
      <x:c r="F14" s="89" t="str">
        <x:v>Проверка на бумаге → короткие импульсы → контроль маской</x:v>
      </x:c>
      <x:c r="G14" s="89" t="str">
        <x:v>Средняя</x:v>
      </x:c>
      <x:c r="H14" s="89" t="str">
        <x:v>Крупная капля на фокусной зоне</x:v>
      </x:c>
      <x:c r="I14" s="89" t="str">
        <x:v>157, 177–178</x:v>
      </x:c>
    </x:row>
    <x:row r="15">
      <x:c r="A15" s="89" t="str">
        <x:v>Glazing</x:v>
      </x:c>
      <x:c r="B15" s="89" t="str">
        <x:v>Кисть или аэрограф</x:v>
      </x:c>
      <x:c r="C15" s="89" t="str">
        <x:v>Inks, Contrast, Shades, Lahmian/Contrast Medium</x:v>
      </x:c>
      <x:c r="D15" s="89" t="str">
        <x:v>Сглаживание и изменение оттенка</x:v>
      </x:c>
      <x:c r="E15" s="89" t="str">
        <x:v>Практически любой материал</x:v>
      </x:c>
      <x:c r="F15" s="89" t="str">
        <x:v>Очень прозрачный слой → полное высыхание → повтор</x:v>
      </x:c>
      <x:c r="G15" s="89" t="str">
        <x:v>Средняя</x:v>
      </x:c>
      <x:c r="H15" s="89" t="str">
        <x:v>Кольца и лужи</x:v>
      </x:c>
      <x:c r="I15" s="89" t="str">
        <x:v>25, 116, 180 и др.</x:v>
      </x:c>
    </x:row>
    <x:row r="16">
      <x:c r="A16" s="89" t="str">
        <x:v>Wet blending</x:v>
      </x:c>
      <x:c r="B16" s="89" t="str">
        <x:v>Кисть</x:v>
      </x:c>
      <x:c r="C16" s="89" t="str">
        <x:v>Incubi, Kabalite, Sybarite, Moot</x:v>
      </x:c>
      <x:c r="D16" s="89" t="str">
        <x:v>Плавный переход за один рабочий сеанс</x:v>
      </x:c>
      <x:c r="E16" s="89" t="str">
        <x:v>Клинки, крупные гладкие формы</x:v>
      </x:c>
      <x:c r="F16" s="89" t="str">
        <x:v>Два влажных цвета → смешивание границы → следующий цвет</x:v>
      </x:c>
      <x:c r="G16" s="89" t="str">
        <x:v>Высокая</x:v>
      </x:c>
      <x:c r="H16" s="89" t="str">
        <x:v>Грязная смесь от чрезмерных движений</x:v>
      </x:c>
      <x:c r="I16" s="89" t="str">
        <x:v>180</x:v>
      </x:c>
    </x:row>
    <x:row r="17">
      <x:c r="A17" s="89" t="str">
        <x:v>Drybrush</x:v>
      </x:c>
      <x:c r="B17" s="89" t="str">
        <x:v>Сухая кисть</x:v>
      </x:c>
      <x:c r="C17" s="89" t="str">
        <x:v>Longbeard, Ryza Rust, Necron Compound</x:v>
      </x:c>
      <x:c r="D17" s="89" t="str">
        <x:v>Быстрое выделение рельефа</x:v>
      </x:c>
      <x:c r="E17" s="89" t="str">
        <x:v>Камень, мех, коррозия</x:v>
      </x:c>
      <x:c r="F17" s="89" t="str">
        <x:v>Снять почти всю краску → лёгкие проходы</x:v>
      </x:c>
      <x:c r="G17" s="89" t="str">
        <x:v>Низкая</x:v>
      </x:c>
      <x:c r="H17" s="89" t="str">
        <x:v>Меловой налёт на гладких местах</x:v>
      </x:c>
      <x:c r="I17" s="89" t="str">
        <x:v>50, 61, 78, 89, 93–97</x:v>
      </x:c>
    </x:row>
    <x:row r="18">
      <x:c r="A18" s="89" t="str">
        <x:v>Маскирование</x:v>
      </x:c>
      <x:c r="B18" s="89" t="str">
        <x:v>Лента/масса/Liquid Mask + аэрограф</x:v>
      </x:c>
      <x:c r="C18" s="89" t="str">
        <x:v>Death Guard, Dark Sand, Medium Grey</x:v>
      </x:c>
      <x:c r="D18" s="89" t="str">
        <x:v>Чёткая геометрия</x:v>
      </x:c>
      <x:c r="E18" s="89" t="str">
        <x:v>Камуфляж, полосы, панели</x:v>
      </x:c>
      <x:c r="F18" s="89" t="str">
        <x:v>Высушить слой → маска → следующий цвет → снять маску</x:v>
      </x:c>
      <x:c r="G18" s="89" t="str">
        <x:v>Высокая</x:v>
      </x:c>
      <x:c r="H18" s="89" t="str">
        <x:v>Подрыв краски и затёки</x:v>
      </x:c>
      <x:c r="I18" s="89" t="str">
        <x:v>172</x:v>
      </x:c>
    </x:row>
    <x:row r="19">
      <x:c r="A19" s="89" t="str">
        <x:v>Свободный камуфляж</x:v>
      </x:c>
      <x:c r="B19" s="89" t="str">
        <x:v>Аэрограф</x:v>
      </x:c>
      <x:c r="C19" s="89" t="str">
        <x:v>German Grey, Death Guard, Dark Sand</x:v>
      </x:c>
      <x:c r="D19" s="89" t="str">
        <x:v>Мягкие края пятен</x:v>
      </x:c>
      <x:c r="E19" s="89" t="str">
        <x:v>Техника и крупная броня</x:v>
      </x:c>
      <x:c r="F19" s="89" t="str">
        <x:v>Низкое PSI → близкая дистанция → узкая мягкая кайма</x:v>
      </x:c>
      <x:c r="G19" s="89" t="str">
        <x:v>Высокая</x:v>
      </x:c>
      <x:c r="H19" s="89" t="str">
        <x:v>Слишком широкие размытые края</x:v>
      </x:c>
      <x:c r="I19" s="89" t="str">
        <x:v>173</x:v>
      </x:c>
    </x:row>
    <x:row r="20">
      <x:c r="A20" s="89" t="str">
        <x:v>Двухцветные сколы</x:v>
      </x:c>
      <x:c r="B20" s="89" t="str">
        <x:v>Губка + кисть</x:v>
      </x:c>
      <x:c r="C20" s="89" t="str">
        <x:v>Pale Sand, Deep Brown, Iron Warriors, Silver</x:v>
      </x:c>
      <x:c r="D20" s="89" t="str">
        <x:v>Глубокое повреждение краски</x:v>
      </x:c>
      <x:c r="E20" s="89" t="str">
        <x:v>Броня и техника</x:v>
      </x:c>
      <x:c r="F20" s="89" t="str">
        <x:v>Светлый ободок → тёмный центр → металл локально</x:v>
      </x:c>
      <x:c r="G20" s="89" t="str">
        <x:v>Средняя</x:v>
      </x:c>
      <x:c r="H20" s="89" t="str">
        <x:v>Все сколы одинакового размера</x:v>
      </x:c>
      <x:c r="I20" s="89" t="str">
        <x:v>171</x:v>
      </x:c>
    </x:row>
    <x:row r="21">
      <x:c r="A21" s="89" t="str">
        <x:v>Chipping Medium</x:v>
      </x:c>
      <x:c r="B21" s="89" t="str">
        <x:v>Аэрограф/кисть + вода</x:v>
      </x:c>
      <x:c r="C21" s="89" t="str">
        <x:v>Iron Warriors, Deep Brown, основной цвет</x:v>
      </x:c>
      <x:c r="D21" s="89" t="str">
        <x:v>Реально снятый верхний слой</x:v>
      </x:c>
      <x:c r="E21" s="89" t="str">
        <x:v>Техника и крупные панели</x:v>
      </x:c>
      <x:c r="F21" s="89" t="str">
        <x:v>Подслой → Medium → верхний цвет → вода → скалывание</x:v>
      </x:c>
      <x:c r="G21" s="89" t="str">
        <x:v>Высокая</x:v>
      </x:c>
      <x:c r="H21" s="89" t="str">
        <x:v>Слишком толстый верхний слой</x:v>
      </x:c>
      <x:c r="I21" s="89" t="str">
        <x:v>68, 147</x:v>
      </x:c>
    </x:row>
    <x:row r="22">
      <x:c r="A22" s="89" t="str">
        <x:v>Мрамор и декоративный камень</x:v>
      </x:c>
      <x:c r="B22" s="89" t="str">
        <x:v>Аэрограф + тонкая кисть + масла</x:v>
      </x:c>
      <x:c r="C22" s="89" t="str">
        <x:v>White/Grey/Dark Reaper/Black/Payne Grey</x:v>
      </x:c>
      <x:c r="D22" s="89" t="str">
        <x:v>Глубокие прожилки и глянец</x:v>
      </x:c>
      <x:c r="E22" s="89" t="str">
        <x:v>Пьедесталы, оружие, броня</x:v>
      </x:c>
      <x:c r="F22" s="89" t="str">
        <x:v>База → ветвящиеся прожилки → полупрозрачное перекрытие → Gloss</x:v>
      </x:c>
      <x:c r="G22" s="89" t="str">
        <x:v>Высокая</x:v>
      </x:c>
      <x:c r="H22" s="89" t="str">
        <x:v>Равномерная сетка прожилок</x:v>
      </x:c>
      <x:c r="I22" s="89" t="str">
        <x:v>160–162</x:v>
      </x:c>
    </x:row>
    <x:row r="23">
      <x:c r="A23" s="89" t="str">
        <x:v>Текстура волос и меха</x:v>
      </x:c>
      <x:c r="B23" s="89" t="str">
        <x:v>Кисть + drybrush</x:v>
      </x:c>
      <x:c r="C23" s="89" t="str">
        <x:v>Black/Eshin/Fenrisian, Browns, Sands</x:v>
      </x:c>
      <x:c r="D23" s="89" t="str">
        <x:v>Читаемые пряди и шерсть</x:v>
      </x:c>
      <x:c r="E23" s="89" t="str">
        <x:v>Головы, шкуры, плащи</x:v>
      </x:c>
      <x:c r="F23" s="89" t="str">
        <x:v>Тень → группы прядей → отдельные волоски</x:v>
      </x:c>
      <x:c r="G23" s="89" t="str">
        <x:v>Средняя</x:v>
      </x:c>
      <x:c r="H23" s="89" t="str">
        <x:v>Высветлить каждую борозду одинаково</x:v>
      </x:c>
      <x:c r="I23" s="89" t="str">
        <x:v>164–168</x:v>
      </x:c>
    </x:row>
    <x:row r="24">
      <x:c r="A24" s="89" t="str">
        <x:v>Масляное картирование</x:v>
      </x:c>
      <x:c r="B24" s="89" t="str">
        <x:v>Масляная кисть</x:v>
      </x:c>
      <x:c r="C24" s="89" t="str">
        <x:v>Burnt Umber, Payne Grey, Lamp Black</x:v>
      </x:c>
      <x:c r="D24" s="89" t="str">
        <x:v>Разные типы тёмной грязи и теней</x:v>
      </x:c>
      <x:c r="E24" s="89" t="str">
        <x:v>Техника, гримдарк, сложная броня</x:v>
      </x:c>
      <x:c r="F24" s="89" t="str">
        <x:v>Лак → три масла по зонам → снять с выступов → сушить</x:v>
      </x:c>
      <x:c r="G24" s="89" t="str">
        <x:v>Высокая</x:v>
      </x:c>
      <x:c r="H24" s="89" t="str">
        <x:v>Смешать масла в один грязный слой</x:v>
      </x:c>
      <x:c r="I24" s="89" t="str">
        <x:v>65–67, 179</x:v>
      </x:c>
    </x:row>
    <x:row r="25">
      <x:c r="A25" s="89" t="str">
        <x:v>OSL</x:v>
      </x:c>
      <x:c r="B25" s="89" t="str">
        <x:v>Аэрограф + кисть</x:v>
      </x:c>
      <x:c r="C25" s="89" t="str">
        <x:v>White, Fluorescent, Contrast, яркие Layers</x:v>
      </x:c>
      <x:c r="D25" s="89" t="str">
        <x:v>Свет от локального источника</x:v>
      </x:c>
      <x:c r="E25" s="89" t="str">
        <x:v>Плазма, глаза, огонь</x:v>
      </x:c>
      <x:c r="F25" s="89" t="str">
        <x:v>Слабый широкий ореол → меньший яркий → белый источник</x:v>
      </x:c>
      <x:c r="G25" s="89" t="str">
        <x:v>Высокая</x:v>
      </x:c>
      <x:c r="H25" s="89" t="str">
        <x:v>Ореол ярче источника</x:v>
      </x:c>
      <x:c r="I25" s="89" t="str">
        <x:v>17, 23, 99–107, 139–143</x:v>
      </x:c>
    </x:row>
    <x:row r="26">
      <x:c r="A26" s="89" t="str">
        <x:v>Разделённый финиш</x:v>
      </x:c>
      <x:c r="B26" s="89" t="str">
        <x:v>Лаки + маскирование/кисть</x:v>
      </x:c>
      <x:c r="C26" s="89" t="str">
        <x:v>Matt, Satin, Gloss, Metal Varnish</x:v>
      </x:c>
      <x:c r="D26" s="89" t="str">
        <x:v>Разные материалы при близком цвете</x:v>
      </x:c>
      <x:c r="E26" s="89" t="str">
        <x:v>Мокрая кожа, металл, ткань, лужи</x:v>
      </x:c>
      <x:c r="F26" s="89" t="str">
        <x:v>Общий Matt → локально вернуть Satin/Gloss/Metal</x:v>
      </x:c>
      <x:c r="G26" s="89" t="str">
        <x:v>Средняя</x:v>
      </x:c>
      <x:c r="H26" s="89" t="str">
        <x:v>Сделать всю модель одинаково блестящей</x:v>
      </x:c>
      <x:c r="I26" s="89" t="str">
        <x:v>181–210</x:v>
      </x:c>
    </x:row>
    <x:row r="27">
      <x:c r="A27" s="89" t="str">
        <x:v>Мокрые белые блики</x:v>
      </x:c>
      <x:c r="B27" s="89" t="str">
        <x:v>Тонкая кисть</x:v>
      </x:c>
      <x:c r="C27" s="89" t="str">
        <x:v>White, Pale Flesh, Blood/Viscera</x:v>
      </x:c>
      <x:c r="D27" s="89" t="str">
        <x:v>Свежая плоть, слизь и раны</x:v>
      </x:c>
      <x:c r="E27" s="89" t="str">
        <x:v>Органика и gore</x:v>
      </x:c>
      <x:c r="F27" s="89" t="str">
        <x:v>Яркая база → цветная glaze → чистые белые точки → Gloss</x:v>
      </x:c>
      <x:c r="G27" s="89" t="str">
        <x:v>Высокая</x:v>
      </x:c>
      <x:c r="H27" s="89" t="str">
        <x:v>Слишком крупные белые пятна</x:v>
      </x:c>
      <x:c r="I27" s="89" t="str">
        <x:v>181–184</x:v>
      </x:c>
    </x:row>
    <x:row r="28">
      <x:c r="A28" s="89" t="str">
        <x:v>Дым</x:v>
      </x:c>
      <x:c r="B28" s="89" t="str">
        <x:v>Кисть + drybrush/glaze</x:v>
      </x:c>
      <x:c r="C28" s="89" t="str">
        <x:v>Black, greys, Frostheart, Warp Lightning, Purple</x:v>
      </x:c>
      <x:c r="D28" s="89" t="str">
        <x:v>Мягкие клубы</x:v>
      </x:c>
      <x:c r="E28" s="89" t="str">
        <x:v>Выхлоп, магия, гранаты</x:v>
      </x:c>
      <x:c r="F28" s="89" t="str">
        <x:v>Тёмное основание → светлые внешние клубы → glaze</x:v>
      </x:c>
      <x:c r="G28" s="89" t="str">
        <x:v>Средняя</x:v>
      </x:c>
      <x:c r="H28" s="89" t="str">
        <x:v>Сделать дым камнем</x:v>
      </x:c>
      <x:c r="I28" s="89" t="str">
        <x:v>191–195</x:v>
      </x:c>
    </x:row>
    <x:row r="29">
      <x:c r="A29" s="89" t="str">
        <x:v>Термическое окрашивание</x:v>
      </x:c>
      <x:c r="B29" s="89" t="str">
        <x:v>Аэрограф или глазури</x:v>
      </x:c>
      <x:c r="C29" s="89" t="str">
        <x:v>Yellow/Violet/Blue Ink, Exhaust Manifold, Copper</x:v>
      </x:c>
      <x:c r="D29" s="89" t="str">
        <x:v>Следы нагрева металла</x:v>
      </x:c>
      <x:c r="E29" s="89" t="str">
        <x:v>Выхлопы, стволы, двигатели</x:v>
      </x:c>
      <x:c r="F29" s="89" t="str">
        <x:v>Металл → жёлтый → фиолетовый → синий → копоть</x:v>
      </x:c>
      <x:c r="G29" s="89" t="str">
        <x:v>Высокая</x:v>
      </x:c>
      <x:c r="H29" s="89" t="str">
        <x:v>Непрозрачные радужные кольца</x:v>
      </x:c>
      <x:c r="I29" s="89" t="str">
        <x:v>196–197</x:v>
      </x:c>
    </x:row>
    <x:row r="30">
      <x:c r="A30" s="89" t="str">
        <x:v>Патина</x:v>
      </x:c>
      <x:c r="B30" s="89" t="str">
        <x:v>Кисть + Technical</x:v>
      </x:c>
      <x:c r="C30" s="89" t="str">
        <x:v>Nihilakh Oxide, bronze/copper, Silver</x:v>
      </x:c>
      <x:c r="D30" s="89" t="str">
        <x:v>Старая бронза и медь</x:v>
      </x:c>
      <x:c r="E30" s="89" t="str">
        <x:v>Статуи, механизмы, украшения</x:v>
      </x:c>
      <x:c r="F30" s="89" t="str">
        <x:v>Металл → Shade → патина в углубления → вернуть кромки</x:v>
      </x:c>
      <x:c r="G30" s="89" t="str">
        <x:v>Средняя</x:v>
      </x:c>
      <x:c r="H30" s="89" t="str">
        <x:v>Покрыть патиной весь металл</x:v>
      </x:c>
      <x:c r="I30" s="89" t="str">
        <x:v>198, 200</x:v>
      </x:c>
    </x:row>
    <x:row r="31">
      <x:c r="A31" s="89" t="str">
        <x:v>Призрачная светлая база</x:v>
      </x:c>
      <x:c r="B31" s="89" t="str">
        <x:v>Аэрограф/кисть + Contrast</x:v>
      </x:c>
      <x:c r="C31" s="89" t="str">
        <x:v>White Primer, Frostheart, Hexwraith, Dreadful Visage</x:v>
      </x:c>
      <x:c r="D31" s="89" t="str">
        <x:v>Эфирное внутреннее свечение</x:v>
      </x:c>
      <x:c r="E31" s="89" t="str">
        <x:v>Духи и магический дым</x:v>
      </x:c>
      <x:c r="F31" s="89" t="str">
        <x:v>White → прозрачная тень → светлые концы → локальный Fluorescent</x:v>
      </x:c>
      <x:c r="G31" s="89" t="str">
        <x:v>Низкая</x:v>
      </x:c>
      <x:c r="H31" s="89" t="str">
        <x:v>Слишком тёмная непрозрачная фигура</x:v>
      </x:c>
      <x:c r="I31" s="89" t="str">
        <x:v>205–207</x:v>
      </x:c>
    </x:row>
    <x:row r="32">
      <x:c r="A32" s="89" t="str">
        <x:v>Иридисцентная глазурь</x:v>
      </x:c>
      <x:c r="B32" s="89" t="str">
        <x:v>Аэрограф/кисть</x:v>
      </x:c>
      <x:c r="C32" s="89" t="str">
        <x:v>Akhelian, Luxion, Blue/Violet Ink</x:v>
      </x:c>
      <x:c r="D32" s="89" t="str">
        <x:v>Переливчатый панцирь</x:v>
      </x:c>
      <x:c r="E32" s="89" t="str">
        <x:v>Насекомые и фантастическая броня</x:v>
      </x:c>
      <x:c r="F32" s="89" t="str">
        <x:v>Black/metallic base → отдельные прозрачные цветовые зоны → Silver → Gloss</x:v>
      </x:c>
      <x:c r="G32" s="89" t="str">
        <x:v>Высокая</x:v>
      </x:c>
      <x:c r="H32" s="89" t="str">
        <x:v>Смешать переливы в один цвет</x:v>
      </x:c>
      <x:c r="I32" s="89" t="str">
        <x:v>210</x:v>
      </x:c>
    </x:row>
    <x:row r="33">
      <x:c r="A33" s="89" t="str">
        <x:v>Вариация оттенка кожи</x:v>
      </x:c>
      <x:c r="B33" s="89" t="str">
        <x:v>Кисть + аэрограф</x:v>
      </x:c>
      <x:c r="C33" s="89" t="str">
        <x:v>Heavy Skintone, Bugman's, Targor, Flesh tones, Brown Rose</x:v>
      </x:c>
      <x:c r="D33" s="89" t="str">
        <x:v>Разные андертоны без новых наборов</x:v>
      </x:c>
      <x:c r="E33" s="89" t="str">
        <x:v>Лица и открытая кожа</x:v>
      </x:c>
      <x:c r="F33" s="89" t="str">
        <x:v>Нейтральная база → цветной андертон в тени → телесные света → skin glaze</x:v>
      </x:c>
      <x:c r="G33" s="89" t="str">
        <x:v>Высокая</x:v>
      </x:c>
      <x:c r="H33" s="89" t="str">
        <x:v>Зелёная/синяя/розовая маска</x:v>
      </x:c>
      <x:c r="I33" s="89" t="str">
        <x:v>211–216</x:v>
      </x:c>
    </x:row>
    <x:row r="34">
      <x:c r="A34" s="89" t="str">
        <x:v>Подкожный freehand</x:v>
      </x:c>
      <x:c r="B34" s="89" t="str">
        <x:v>Тонкая кисть + glaze</x:v>
      </x:c>
      <x:c r="C34" s="89" t="str">
        <x:v>Blue Ink, Dark Prussian Blue, skin tones</x:v>
      </x:c>
      <x:c r="D34" s="89" t="str">
        <x:v>Вены, татуировки и рубцы внутри кожи</x:v>
      </x:c>
      <x:c r="E34" s="89" t="str">
        <x:v>Персонажи и крупные лица</x:v>
      </x:c>
      <x:c r="F34" s="89" t="str">
        <x:v>Цветная линия → частично перекрыть телесной глазурью</x:v>
      </x:c>
      <x:c r="G34" s="89" t="str">
        <x:v>Высокая</x:v>
      </x:c>
      <x:c r="H34" s="89" t="str">
        <x:v>Узор выглядит нарисованным поверх кожи</x:v>
      </x:c>
      <x:c r="I34" s="89" t="str">
        <x:v>217–220</x:v>
      </x:c>
    </x:row>
    <x:row r="35">
      <x:c r="A35" s="89" t="str">
        <x:v>Шаблонный freehand</x:v>
      </x:c>
      <x:c r="B35" s="89" t="str">
        <x:v>Кисть</x:v>
      </x:c>
      <x:c r="C35" s="89" t="str">
        <x:v>White Grey, Black, Blood Red, Yellow</x:v>
      </x:c>
      <x:c r="D35" s="89" t="str">
        <x:v>Шахматы, четвертование, орнаменты</x:v>
      </x:c>
      <x:c r="E35" s="89" t="str">
        <x:v>Щиты, баннеры, панели</x:v>
      </x:c>
      <x:c r="F35" s="89" t="str">
        <x:v>Тонкий шаблон → заполнение → исправление → высветление</x:v>
      </x:c>
      <x:c r="G35" s="89" t="str">
        <x:v>Высокая</x:v>
      </x:c>
      <x:c r="H35" s="89" t="str">
        <x:v>Сразу рисовать чистовую форму</x:v>
      </x:c>
      <x:c r="I35" s="89" t="str">
        <x:v>223–224, 227, 230</x:v>
      </x:c>
    </x:row>
    <x:row r="36">
      <x:c r="A36" s="89" t="str">
        <x:v>Молнии и энергетические линии</x:v>
      </x:c>
      <x:c r="B36" s="89" t="str">
        <x:v>Тонкая кисть</x:v>
      </x:c>
      <x:c r="C36" s="89" t="str">
        <x:v>Lothern, Baharroth, White, Blue Ink</x:v>
      </x:c>
      <x:c r="D36" s="89" t="str">
        <x:v>Разветвлённый электрический рисунок</x:v>
      </x:c>
      <x:c r="E36" s="89" t="str">
        <x:v>Броня и оружие</x:v>
      </x:c>
      <x:c r="F36" s="89" t="str">
        <x:v>Ломаная база → короткая светлая сердцевина → точки узлов</x:v>
      </x:c>
      <x:c r="G36" s="89" t="str">
        <x:v>Высокая</x:v>
      </x:c>
      <x:c r="H36" s="89" t="str">
        <x:v>Плавные параллельные волны</x:v>
      </x:c>
      <x:c r="I36" s="89" t="str">
        <x:v>225</x:v>
      </x:c>
    </x:row>
    <x:row r="37">
      <x:c r="A37" s="89" t="str">
        <x:v>Трафарет и маска</x:v>
      </x:c>
      <x:c r="B37" s="89" t="str">
        <x:v>Аэрограф</x:v>
      </x:c>
      <x:c r="C37" s="89" t="str">
        <x:v>White Grey, Yellow, Blood Red, базовый цвет панели</x:v>
      </x:c>
      <x:c r="D37" s="89" t="str">
        <x:v>Ровные номера и символы</x:v>
      </x:c>
      <x:c r="E37" s="89" t="str">
        <x:v>Техника и крупная броня</x:v>
      </x:c>
      <x:c r="F37" s="89" t="str">
        <x:v>Плотный шаблон → сухие проходы → коррекция базой</x:v>
      </x:c>
      <x:c r="G37" s="89" t="str">
        <x:v>Средняя</x:v>
      </x:c>
      <x:c r="H37" s="89" t="str">
        <x:v>Мокрый overspray под шаблон</x:v>
      </x:c>
      <x:c r="I37" s="89" t="str">
        <x:v>221–222, 229</x:v>
      </x:c>
    </x:row>
    <x:row r="38">
      <x:c r="A38" s="89" t="str">
        <x:v>Направленный streaking</x:v>
      </x:c>
      <x:c r="B38" s="89" t="str">
        <x:v>Кисть + аэрограф + масло</x:v>
      </x:c>
      <x:c r="C38" s="89" t="str">
        <x:v>Deep Brown, Dark/Light Rust, Dark/Pale Sand, Burnt Umber</x:v>
      </x:c>
      <x:c r="D38" s="89" t="str">
        <x:v>Потёки под гравитацией</x:v>
      </x:c>
      <x:c r="E38" s="89" t="str">
        <x:v>Техника, броня, террейн</x:v>
      </x:c>
      <x:c r="F38" s="89" t="str">
        <x:v>Источник → тонкая линия → растянуть по направлению → усилить начало</x:v>
      </x:c>
      <x:c r="G38" s="89" t="str">
        <x:v>Средняя</x:v>
      </x:c>
      <x:c r="H38" s="89" t="str">
        <x:v>Потёки без источника</x:v>
      </x:c>
      <x:c r="I38" s="89" t="str">
        <x:v>231–234</x:v>
      </x:c>
    </x:row>
    <x:row r="39">
      <x:c r="A39" s="89" t="str">
        <x:v>Двухтональный spatter</x:v>
      </x:c>
      <x:c r="B39" s="89" t="str">
        <x:v>Аэрограф/жёсткая кисть</x:v>
      </x:c>
      <x:c r="C39" s="89" t="str">
        <x:v>Deep Brown, Light Earth, Dark Sand, Pale Sand</x:v>
      </x:c>
      <x:c r="D39" s="89" t="str">
        <x:v>Многослойные брызги грязи</x:v>
      </x:c>
      <x:c r="E39" s="89" t="str">
        <x:v>Ноги, колёса, нижняя броня</x:v>
      </x:c>
      <x:c r="F39" s="89" t="str">
        <x:v>Тёмные крупные → светлые мелкие → локальная влажность</x:v>
      </x:c>
      <x:c r="G39" s="89" t="str">
        <x:v>Средняя</x:v>
      </x:c>
      <x:c r="H39" s="89" t="str">
        <x:v>Одинаковые точки по всей модели</x:v>
      </x:c>
      <x:c r="I39" s="89" t="str">
        <x:v>235</x:v>
      </x:c>
    </x:row>
    <x:row r="40">
      <x:c r="A40" s="89" t="str">
        <x:v>Контрастные сколы по цвету</x:v>
      </x:c>
      <x:c r="B40" s="89" t="str">
        <x:v>Губка + кисть</x:v>
      </x:c>
      <x:c r="C40" s="89" t="str">
        <x:v>White, Eshin/Dawnstone, Fire Dragon, Deep Brown, metal</x:v>
      </x:c>
      <x:c r="D40" s="89" t="str">
        <x:v>Сколы, сохраняющие цвет брони</x:v>
      </x:c>
      <x:c r="E40" s="89" t="str">
        <x:v>Белая, чёрная и красная броня</x:v>
      </x:c>
      <x:c r="F40" s="89" t="str">
        <x:v>Светлый цвет брони → тёмный центр → metal локально</x:v>
      </x:c>
      <x:c r="G40" s="89" t="str">
        <x:v>Средняя</x:v>
      </x:c>
      <x:c r="H40" s="89" t="str">
        <x:v>Один бежевый цвет для любой брони</x:v>
      </x:c>
      <x:c r="I40" s="89" t="str">
        <x:v>236–238</x:v>
      </x:c>
    </x:row>
    <x:row r="41">
      <x:c r="A41" s="89" t="str">
        <x:v>Раскрытие редкой краски</x:v>
      </x:c>
      <x:c r="B41" s="89" t="str">
        <x:v>Кисть/аэрограф по роли материала</x:v>
      </x:c>
      <x:c r="C41" s="89" t="str">
        <x:v>Ahriman, Phoenician, Old Gold, Sea Grey и др.</x:v>
      </x:c>
      <x:c r="D41" s="89" t="str">
        <x:v>Самостоятельный визуальный результат</x:v>
      </x:c>
      <x:c r="E41" s="89" t="str">
        <x:v>Когда краска дублировала близкий оттенок</x:v>
      </x:c>
      <x:c r="F41" s="89" t="str">
        <x:v>Назначить ей базу/фильтр/фактуру, а не случайный промежуточный слой</x:v>
      </x:c>
      <x:c r="G41" s="89" t="str">
        <x:v>Низкая</x:v>
      </x:c>
      <x:c r="H41" s="89" t="str">
        <x:v>Формальное использование без собственной роли</x:v>
      </x:c>
      <x:c r="I41" s="89" t="str">
        <x:v>241–270</x:v>
      </x:c>
    </x:row>
    <x:row r="42">
      <x:c r="A42" s="89" t="str">
        <x:v>Xpress с фирменным Medium</x:v>
      </x:c>
      <x:c r="B42" s="89" t="str">
        <x:v>Кисть/аэрограф</x:v>
      </x:c>
      <x:c r="C42" s="89" t="str">
        <x:v>Black Lotus, Mystic Blue, Xpress Medium</x:v>
      </x:c>
      <x:c r="D42" s="89" t="str">
        <x:v>Контролируемая тёмная прозрачность</x:v>
      </x:c>
      <x:c r="E42" s="89" t="str">
        <x:v>Ткань, фильтры, холодные тени</x:v>
      </x:c>
      <x:c r="F42" s="89" t="str">
        <x:v>1:1 база → локальный чистый Xpress → 1:5 glaze</x:v>
      </x:c>
      <x:c r="G42" s="89" t="str">
        <x:v>Средняя</x:v>
      </x:c>
      <x:c r="H42" s="89" t="str">
        <x:v>Почти чёрная поверхность и кольца</x:v>
      </x:c>
      <x:c r="I42" s="89" t="str">
        <x:v>244–245</x:v>
      </x:c>
    </x:row>
    <x:row r="43">
      <x:c r="A43" s="89" t="str">
        <x:v>Контраст в двух насыщенностях</x:v>
      </x:c>
      <x:c r="B43" s="89" t="str">
        <x:v>Кисть</x:v>
      </x:c>
      <x:c r="C43" s="89" t="str">
        <x:v>Kroxigor, Shyish, Garaghak, Gore-Grunta</x:v>
      </x:c>
      <x:c r="D43" s="89" t="str">
        <x:v>База и глубокая тень одной краской</x:v>
      </x:c>
      <x:c r="E43" s="89" t="str">
        <x:v>Фактурная кожа, ткань, мех</x:v>
      </x:c>
      <x:c r="F43" s="89" t="str">
        <x:v>Medium-разбавленная база → чистая краска только в глубине</x:v>
      </x:c>
      <x:c r="G43" s="89" t="str">
        <x:v>Низкая</x:v>
      </x:c>
      <x:c r="H43" s="89" t="str">
        <x:v>Два одинаково тёмных слоя</x:v>
      </x:c>
      <x:c r="I43" s="89" t="str">
        <x:v>246, 251–253</x:v>
      </x:c>
    </x:row>
    <x:row r="44">
      <x:c r="A44" s="89" t="str">
        <x:v>Тёплый грунт</x:v>
      </x:c>
      <x:c r="B44" s="89" t="str">
        <x:v>Аэрограф</x:v>
      </x:c>
      <x:c r="C44" s="89" t="str">
        <x:v>Ivory Primer</x:v>
      </x:c>
      <x:c r="D44" s="89" t="str">
        <x:v>Быстрая тёплая основа</x:v>
      </x:c>
      <x:c r="E44" s="89" t="str">
        <x:v>Кожа, кость, жёлтый, красный, коричневый</x:v>
      </x:c>
      <x:c r="F44" s="89" t="str">
        <x:v>Тонкий Primer → локальный White → прозрачная система</x:v>
      </x:c>
      <x:c r="G44" s="89" t="str">
        <x:v>Низкая</x:v>
      </x:c>
      <x:c r="H44" s="89" t="str">
        <x:v>Считать грунт финишным цветом без проверки укрывистости</x:v>
      </x:c>
      <x:c r="I44" s="89" t="str">
        <x:v>255–256</x:v>
      </x:c>
    </x:row>
    <x:row r="45">
      <x:c r="A45" s="89" t="str">
        <x:v>Dry metallic</x:v>
      </x:c>
      <x:c r="B45" s="89" t="str">
        <x:v>Сухая кисть</x:v>
      </x:c>
      <x:c r="C45" s="89" t="str">
        <x:v>Golden Griffon, Necron Compound</x:v>
      </x:c>
      <x:c r="D45" s="89" t="str">
        <x:v>Быстрое металлическое чтение рельефа</x:v>
      </x:c>
      <x:c r="E45" s="89" t="str">
        <x:v>Цепи, механизмы, древняя фактура</x:v>
      </x:c>
      <x:c r="F45" s="89" t="str">
        <x:v>Тёмный металл → Shade → Dry → точечный яркий металл</x:v>
      </x:c>
      <x:c r="G45" s="89" t="str">
        <x:v>Низкая</x:v>
      </x:c>
      <x:c r="H45" s="89" t="str">
        <x:v>Пылевой металлический налёт на гладких панелях</x:v>
      </x:c>
      <x:c r="I45" s="89" t="str">
        <x:v>263–264</x:v>
      </x:c>
    </x:row>
    <x:row r="46">
      <x:c r="A46" s="89" t="str">
        <x:v>Цветной подслой под Mordant Earth</x:v>
      </x:c>
      <x:c r="B46" s="89" t="str">
        <x:v>Кисть</x:v>
      </x:c>
      <x:c r="C46" s="89" t="str">
        <x:v>Magmadroth, Warp Lightning, Fluorescent, Mordant Earth</x:v>
      </x:c>
      <x:c r="D46" s="89" t="str">
        <x:v>Светящиеся трещины</x:v>
      </x:c>
      <x:c r="E46" s="89" t="str">
        <x:v>Лава, токсичная земля, магические разломы</x:v>
      </x:c>
      <x:c r="F46" s="89" t="str">
        <x:v>Яркий полностью сухой подслой → толстый Mordant → локальный Gloss</x:v>
      </x:c>
      <x:c r="G46" s="89" t="str">
        <x:v>Средняя</x:v>
      </x:c>
      <x:c r="H46" s="89" t="str">
        <x:v>Тонкая корка и слабый цвет трещин</x:v>
      </x:c>
      <x:c r="I46" s="89" t="str">
        <x:v>266–267</x:v>
      </x:c>
    </x:row>
    <x:row r="47">
      <x:c r="A47" s="89" t="str">
        <x:v>Окрашенный снег без snow paste</x:v>
      </x:c>
      <x:c r="B47" s="89" t="str">
        <x:v>Кисть + аэрограф/drybrush</x:v>
      </x:c>
      <x:c r="C47" s="89" t="str">
        <x:v>Light Earth, Bonewhite, White Grey, White, Frostheart</x:v>
      </x:c>
      <x:c r="D47" s="89" t="str">
        <x:v>Сухой или тающий снег</x:v>
      </x:c>
      <x:c r="E47" s="89" t="str">
        <x:v>Подставки и террейн</x:v>
      </x:c>
      <x:c r="F47" s="89" t="str">
        <x:v>Фактура → полностью перекрыть Bonewhite → белые света → локальный холод/вода</x:v>
      </x:c>
      <x:c r="G47" s="89" t="str">
        <x:v>Низкая</x:v>
      </x:c>
      <x:c r="H47" s="89" t="str">
        <x:v>Оставить земляной цвет на свежем снегу</x:v>
      </x:c>
      <x:c r="I47" s="89" t="str">
        <x:v>268–269</x:v>
      </x:c>
    </x:row>
    <x:row r="48">
      <x:c r="A48" s="89" t="str">
        <x:v>Пепельная среда</x:v>
      </x:c>
      <x:c r="B48" s="89" t="str">
        <x:v>Текстура + drybrush + масло</x:v>
      </x:c>
      <x:c r="C48" s="89" t="str">
        <x:v>Asphalt, Basilicanum, Sea Grey, White Grey, Lamp Black</x:v>
      </x:c>
      <x:c r="D48" s="89" t="str">
        <x:v>Холодная безжизненная база</x:v>
      </x:c>
      <x:c r="E48" s="89" t="str">
        <x:v>Ash Wastes и вулканический террейн</x:v>
      </x:c>
      <x:c r="F48" s="89" t="str">
        <x:v>Тёмная текстура → серый фильтр → мягкие сухие света → сажа</x:v>
      </x:c>
      <x:c r="G48" s="89" t="str">
        <x:v>Низкая</x:v>
      </x:c>
      <x:c r="H48" s="89" t="str">
        <x:v>Слишком резкий каменный drybrush</x:v>
      </x:c>
      <x:c r="I48" s="89" t="str">
        <x:v>270</x:v>
      </x:c>
    </x:row>
    <x:row r="49">
      <x:c r="A49" s="89" t="str">
        <x:v>NMM по значениям</x:v>
      </x:c>
      <x:c r="B49" s="89" t="str">
        <x:v>Кисть + glaze</x:v>
      </x:c>
      <x:c r="C49" s="89" t="str">
        <x:v>Black, greys, White; browns/yellows for gold</x:v>
      </x:c>
      <x:c r="D49" s="89" t="str">
        <x:v>Металл без metallic paint</x:v>
      </x:c>
      <x:c r="E49" s="89" t="str">
        <x:v>Персонажи, оружие, дисплейные детали</x:v>
      </x:c>
      <x:c r="F49" s="89" t="str">
        <x:v>Сначала White/Black reflection map → затем средние тона → цветная glaze</x:v>
      </x:c>
      <x:c r="G49" s="89" t="str">
        <x:v>Высокая</x:v>
      </x:c>
      <x:c r="H49" s="89" t="str">
        <x:v>Равномерный красивый градиент без металлического контраста</x:v>
      </x:c>
      <x:c r="I49" s="89" t="str">
        <x:v>281–288</x:v>
      </x:c>
    </x:row>
    <x:row r="50">
      <x:c r="A50" s="89" t="str">
        <x:v>SENMM</x:v>
      </x:c>
      <x:c r="B50" s="89" t="str">
        <x:v>Кисть + glaze</x:v>
      </x:c>
      <x:c r="C50" s="89" t="str">
        <x:v>Dark Prussian, Lothern, White, Gorthor, Pale Sand</x:v>
      </x:c>
      <x:c r="D50" s="89" t="str">
        <x:v>Отражение неба и земли</x:v>
      </x:c>
      <x:c r="E50" s="89" t="str">
        <x:v>Клинки и хром</x:v>
      </x:c>
      <x:c r="F50" s="89" t="str">
        <x:v>Холодное небо сверху → White horizon → тёплая земля снизу</x:v>
      </x:c>
      <x:c r="G50" s="89" t="str">
        <x:v>Очень высокая</x:v>
      </x:c>
      <x:c r="H50" s="89" t="str">
        <x:v>Симметричный обычный градиент</x:v>
      </x:c>
      <x:c r="I50" s="89" t="str">
        <x:v>289–290</x:v>
      </x:c>
    </x:row>
    <x:row r="51">
      <x:c r="A51" s="89" t="str">
        <x:v>NMM с цветным отражением</x:v>
      </x:c>
      <x:c r="B51" s="89" t="str">
        <x:v>Кисть + прозрачная glaze</x:v>
      </x:c>
      <x:c r="C51" s="89" t="str">
        <x:v>Frostheart, Warp Lightning, Contrast Medium</x:v>
      </x:c>
      <x:c r="D51" s="89" t="str">
        <x:v>Магический свет на неметаллическом металле</x:v>
      </x:c>
      <x:c r="E51" s="89" t="str">
        <x:v>Артефакты и силовые клинки</x:v>
      </x:c>
      <x:c r="F51" s="89" t="str">
        <x:v>Закончить NMM → очень тонкий цвет только со стороны источника → вернуть White</x:v>
      </x:c>
      <x:c r="G51" s="89" t="str">
        <x:v>Очень высокая</x:v>
      </x:c>
      <x:c r="H51" s="89" t="str">
        <x:v>Цветная glaze уничтожает значения</x:v>
      </x:c>
      <x:c r="I51" s="89" t="str">
        <x:v>299–300</x:v>
      </x:c>
    </x:row>
    <x:row r="52">
      <x:c r="A52" s="89" t="str">
        <x:v>Technical gemstone</x:v>
      </x:c>
      <x:c r="B52" s="89" t="str">
        <x:v>Metallic base + Technical + кисть</x:v>
      </x:c>
      <x:c r="C52" s="89" t="str">
        <x:v>Runefang, Soulstone, Spiritstone, Waystone</x:v>
      </x:c>
      <x:c r="D52" s="89" t="str">
        <x:v>Внутренний металлический блеск</x:v>
      </x:c>
      <x:c r="E52" s="89" t="str">
        <x:v>Камни и крупные линзы</x:v>
      </x:c>
      <x:c r="F52" s="89" t="str">
        <x:v>Silver → тёмная половина → Technical → светлая дуга → White point</x:v>
      </x:c>
      <x:c r="G52" s="89" t="str">
        <x:v>Низкая</x:v>
      </x:c>
      <x:c r="H52" s="89" t="str">
        <x:v>Непрозрачный цвет скрывает металл</x:v>
      </x:c>
      <x:c r="I52" s="89" t="str">
        <x:v>276–278</x:v>
      </x:c>
    </x:row>
    <x:row r="53">
      <x:c r="A53" s="89" t="str">
        <x:v>Прозрачная мембрана</x:v>
      </x:c>
      <x:c r="B53" s="89" t="str">
        <x:v>Кисть/аэрограф + glaze</x:v>
      </x:c>
      <x:c r="C53" s="89" t="str">
        <x:v>White Grey, Frostheart, Dreadful, Magos, Inks</x:v>
      </x:c>
      <x:c r="D53" s="89" t="str">
        <x:v>Тонкое полупрозрачное крыло</x:v>
      </x:c>
      <x:c r="E53" s="89" t="str">
        <x:v>Крылья, плавники, магические ткани</x:v>
      </x:c>
      <x:c r="F53" s="89" t="str">
        <x:v>Светлый центр → насыщенные жилки/края → Satin</x:v>
      </x:c>
      <x:c r="G53" s="89" t="str">
        <x:v>Высокая</x:v>
      </x:c>
      <x:c r="H53" s="89" t="str">
        <x:v>Одинаковая насыщенность всей площади</x:v>
      </x:c>
      <x:c r="I53" s="89" t="str">
        <x:v>294–295</x:v>
      </x:c>
    </x:row>
    <x:row r="54">
      <x:c r="A54" s="89" t="str">
        <x:v>Перламутр</x:v>
      </x:c>
      <x:c r="B54" s="89" t="str">
        <x:v>Кисть + сверхтонкие glaze</x:v>
      </x:c>
      <x:c r="C54" s="89" t="str">
        <x:v>White, Dreadful, Frostheart, Volupus</x:v>
      </x:c>
      <x:c r="D54" s="89" t="str">
        <x:v>Белая поверхность с цветными переливами</x:v>
      </x:c>
      <x:c r="E54" s="89" t="str">
        <x:v>Раковины, украшения, броня</x:v>
      </x:c>
      <x:c r="F54" s="89" t="str">
        <x:v>Почти белая база → разные прозрачные температуры по сторонам → White</x:v>
      </x:c>
      <x:c r="G54" s="89" t="str">
        <x:v>Очень высокая</x:v>
      </x:c>
      <x:c r="H54" s="89" t="str">
        <x:v>Цветные полосы становятся основным цветом</x:v>
      </x:c>
      <x:c r="I54" s="89" t="str">
        <x:v>296</x:v>
      </x:c>
    </x:row>
    <x:row r="55">
      <x:c r="A55" s="89" t="str">
        <x:v>Внутренний свет кристалла</x:v>
      </x:c>
      <x:c r="B55" s="89" t="str">
        <x:v>Кисть</x:v>
      </x:c>
      <x:c r="C55" s="89" t="str">
        <x:v>Deep Brown/Orange/Yellow или purple chain + White</x:v>
      </x:c>
      <x:c r="D55" s="89" t="str">
        <x:v>Прозрачный объём</x:v>
      </x:c>
      <x:c r="E55" s="89" t="str">
        <x:v>Кристаллы и крупные gems</x:v>
      </x:c>
      <x:c r="F55" s="89" t="str">
        <x:v>Тёмные внешние грани → светлый внутренний центр → White inside</x:v>
      </x:c>
      <x:c r="G55" s="89" t="str">
        <x:v>Высокая</x:v>
      </x:c>
      <x:c r="H55" s="89" t="str">
        <x:v>Обычный edge highlight вместо внутреннего света</x:v>
      </x:c>
      <x:c r="I55" s="89" t="str">
        <x:v>297–298</x:v>
      </x:c>
    </x:row>
    <x:row r="56">
      <x:c r="A56" s="89" t="str">
        <x:v>Crackle по типу материала</x:v>
      </x:c>
      <x:c r="B56" s="89" t="str">
        <x:v>Texture + drybrush</x:v>
      </x:c>
      <x:c r="C56" s="89" t="str">
        <x:v>Agrellan Earth/Badland, Mordant, Crackle Medium</x:v>
      </x:c>
      <x:c r="D56" s="89" t="str">
        <x:v>Разная земля и корка</x:v>
      </x:c>
      <x:c r="E56" s="89" t="str">
        <x:v>Подставки</x:v>
      </x:c>
      <x:c r="F56" s="89" t="str">
        <x:v>Выбрать характер рельефа → правильная подложка → толщина → локальный finish</x:v>
      </x:c>
      <x:c r="G56" s="89" t="str">
        <x:v>Низкая</x:v>
      </x:c>
      <x:c r="H56" s="89" t="str">
        <x:v>Использовать все crackle как одинаковую землю</x:v>
      </x:c>
      <x:c r="I56" s="89" t="str">
        <x:v>240, 266–267, 279–280</x:v>
      </x:c>
    </x:row>
    <x:row r="57">
      <x:c r="A57" s="89" t="str">
        <x:v>Контролируемый blood spatter</x:v>
      </x:c>
      <x:c r="B57" s="89" t="str">
        <x:v>Жёсткая кисть/аэрограф + Technical</x:v>
      </x:c>
      <x:c r="C57" s="89" t="str">
        <x:v>Gory Red, AK Blood Red, Blood for the Blood God</x:v>
      </x:c>
      <x:c r="D57" s="89" t="str">
        <x:v>Свежие направленные капли</x:v>
      </x:c>
      <x:c r="E57" s="89" t="str">
        <x:v>Холодная броня, плоть, оружие, снег</x:v>
      </x:c>
      <x:c r="F57" s="89" t="str">
        <x:v>Тёмный базовый spatter → меньший яркий → Technical только части капель</x:v>
      </x:c>
      <x:c r="G57" s="89" t="str">
        <x:v>Средняя</x:v>
      </x:c>
      <x:c r="H57" s="89" t="str">
        <x:v>Равномерное конфетти без источника</x:v>
      </x:c>
      <x:c r="I57" s="89" t="str">
        <x:v>301–306</x:v>
      </x:c>
    </x:row>
    <x:row r="58">
      <x:c r="A58" s="89" t="str">
        <x:v>Skin cloak</x:v>
      </x:c>
      <x:c r="B58" s="89" t="str">
        <x:v>Кисть + glaze</x:v>
      </x:c>
      <x:c r="C58" s="89" t="str">
        <x:v>Rakarth, Sickly Pink, skin tones, Carroburg, Blood</x:v>
      </x:c>
      <x:c r="D58" s="89" t="str">
        <x:v>Свежая или старая содранная кожа</x:v>
      </x:c>
      <x:c r="E58" s="89" t="str">
        <x:v>Плащи и трофеи</x:v>
      </x:c>
      <x:c r="F58" s="89" t="str">
        <x:v>Skin base → разные тени → свет по складкам → швы → локальная влажность</x:v>
      </x:c>
      <x:c r="G58" s="89" t="str">
        <x:v>Высокая</x:v>
      </x:c>
      <x:c r="H58" s="89" t="str">
        <x:v>Обычная бежевая ткань или общий Gloss</x:v>
      </x:c>
      <x:c r="I58" s="89" t="str">
        <x:v>307–309</x:v>
      </x:c>
    </x:row>
    <x:row r="59">
      <x:c r="A59" s="89" t="str">
        <x:v>Мускульные волокна</x:v>
      </x:c>
      <x:c r="B59" s="89" t="str">
        <x:v>Тонкая кисть</x:v>
      </x:c>
      <x:c r="C59" s="89" t="str">
        <x:v>Gory Red, Berserker Bloodshade, Blood Red, Pink Horror</x:v>
      </x:c>
      <x:c r="D59" s="89" t="str">
        <x:v>Открытая мускулатура</x:v>
      </x:c>
      <x:c r="E59" s="89" t="str">
        <x:v>Демоны и повреждения</x:v>
      </x:c>
      <x:c r="F59" s="89" t="str">
        <x:v>Тёмные борозды → продольные красные волокна → светлые отдельные нити</x:v>
      </x:c>
      <x:c r="G59" s="89" t="str">
        <x:v>Высокая</x:v>
      </x:c>
      <x:c r="H59" s="89" t="str">
        <x:v>Равномерная поперечная штриховка</x:v>
      </x:c>
      <x:c r="I59" s="89" t="str">
        <x:v>310</x:v>
      </x:c>
    </x:row>
    <x:row r="60">
      <x:c r="A60" s="89" t="str">
        <x:v>Oil pin-wash</x:v>
      </x:c>
      <x:c r="B60" s="89" t="str">
        <x:v>Масло + Gloss</x:v>
      </x:c>
      <x:c r="C60" s="89" t="str">
        <x:v>Burnt Umber, Payne Grey, Lamp Black</x:v>
      </x:c>
      <x:c r="D60" s="89" t="str">
        <x:v>Чистые панельные линии</x:v>
      </x:c>
      <x:c r="E60" s="89" t="str">
        <x:v>Броня, техника, металлы</x:v>
      </x:c>
      <x:c r="F60" s="89" t="str">
        <x:v>Gloss → жидкое масло точечно → capillary flow → cleanup → dry → varnish</x:v>
      </x:c>
      <x:c r="G60" s="89" t="str">
        <x:v>Низкая</x:v>
      </x:c>
      <x:c r="H60" s="89" t="str">
        <x:v>Общая грязная заливка панели</x:v>
      </x:c>
      <x:c r="I60" s="89" t="str">
        <x:v>311–313</x:v>
      </x:c>
    </x:row>
    <x:row r="61">
      <x:c r="A61" s="89" t="str">
        <x:v>Oil mapping</x:v>
      </x:c>
      <x:c r="B61" s="89" t="str">
        <x:v>Масло + Satin</x:v>
      </x:c>
      <x:c r="C61" s="89" t="str">
        <x:v>Burnt Umber, Payne Grey, Lamp Black</x:v>
      </x:c>
      <x:c r="D61" s="89" t="str">
        <x:v>Цветовая температура и сложная грязь</x:v>
      </x:c>
      <x:c r="E61" s="89" t="str">
        <x:v>Крупная броня и монстры</x:v>
      </x:c>
      <x:c r="F61" s="89" t="str">
        <x:v>Три цвета по разным физическим зонам → отдельная растушёвка</x:v>
      </x:c>
      <x:c r="G61" s="89" t="str">
        <x:v>Высокая</x:v>
      </x:c>
      <x:c r="H61" s="89" t="str">
        <x:v>Смешать все масла в один цвет</x:v>
      </x:c>
      <x:c r="I61" s="89" t="str">
        <x:v>314–320</x:v>
      </x:c>
    </x:row>
    <x:row r="62">
      <x:c r="A62" s="89" t="str">
        <x:v>Digital camouflage</x:v>
      </x:c>
      <x:c r="B62" s="89" t="str">
        <x:v>Маска + аэрограф</x:v>
      </x:c>
      <x:c r="C62" s="89" t="str">
        <x:v>German Grey, Medium Grey, Sea Grey, Black</x:v>
      </x:c>
      <x:c r="D62" s="89" t="str">
        <x:v>Пиксельные кластеры</x:v>
      </x:c>
      <x:c r="E62" s="89" t="str">
        <x:v>Техника и броня</x:v>
      </x:c>
      <x:c r="F62" s="89" t="str">
        <x:v>База → прямоугольные кластеры разных размеров → filter</x:v>
      </x:c>
      <x:c r="G62" s="89" t="str">
        <x:v>Высокая</x:v>
      </x:c>
      <x:c r="H62" s="89" t="str">
        <x:v>Шахматная сетка одинаковых квадратов</x:v>
      </x:c>
      <x:c r="I62" s="89" t="str">
        <x:v>321</x:v>
      </x:c>
    </x:row>
    <x:row r="63">
      <x:c r="A63" s="89" t="str">
        <x:v>Whitewash</x:v>
      </x:c>
      <x:c r="B63" s="89" t="str">
        <x:v>Chipping Medium + аэрограф</x:v>
      </x:c>
      <x:c r="C63" s="89" t="str">
        <x:v>White Grey, White, базовая броня</x:v>
      </x:c>
      <x:c r="D63" s="89" t="str">
        <x:v>Изношенная зимняя побелка</x:v>
      </x:c>
      <x:c r="E63" s="89" t="str">
        <x:v>Техника и крупная броня</x:v>
      </x:c>
      <x:c r="F63" s="89" t="str">
        <x:v>Старая броня → Chipping Medium → thin white → water chipping → grime</x:v>
      </x:c>
      <x:c r="G63" s="89" t="str">
        <x:v>Высокая</x:v>
      </x:c>
      <x:c r="H63" s="89" t="str">
        <x:v>Выглядит новой белой бронёй</x:v>
      </x:c>
      <x:c r="I63" s="89" t="str">
        <x:v>322</x:v>
      </x:c>
    </x:row>
    <x:row r="64">
      <x:c r="A64" s="89" t="str">
        <x:v>Disruptive camouflage</x:v>
      </x:c>
      <x:c r="B64" s="89" t="str">
        <x:v>Маска/свободная аэрография</x:v>
      </x:c>
      <x:c r="C64" s="89" t="str">
        <x:v>Dark Sand, Death Guard, Deep Brown, Sea Grey</x:v>
      </x:c>
      <x:c r="D64" s="89" t="str">
        <x:v>Ломка силуэта крупными полями</x:v>
      </x:c>
      <x:c r="E64" s="89" t="str">
        <x:v>Техника, плащи, броня</x:v>
      </x:c>
      <x:c r="F64" s="89" t="str">
        <x:v>Крупные поля → средние пятна → малые accents → общий filter</x:v>
      </x:c>
      <x:c r="G64" s="89" t="str">
        <x:v>Средняя</x:v>
      </x:c>
      <x:c r="H64" s="89" t="str">
        <x:v>Все цвета занимают одинаковую площадь</x:v>
      </x:c>
      <x:c r="I64" s="89" t="str">
        <x:v>323–327</x:v>
      </x:c>
    </x:row>
    <x:row r="65">
      <x:c r="A65" s="89" t="str">
        <x:v>Stealth-field fade</x:v>
      </x:c>
      <x:c r="B65" s="89" t="str">
        <x:v>Аэрограф + кисть</x:v>
      </x:c>
      <x:c r="C65" s="89" t="str">
        <x:v>White Grey, Frostheart, Baharroth, Blue Ink</x:v>
      </x:c>
      <x:c r="D65" s="89" t="str">
        <x:v>Энергетический переход невидимости</x:v>
      </x:c>
      <x:c r="E65" s="89" t="str">
        <x:v>Stealth units и sci-fi техника</x:v>
      </x:c>
      <x:c r="F65" s="89" t="str">
        <x:v>Готовая схема → рваная белая граница → голубой glow → исчезающая сторона</x:v>
      </x:c>
      <x:c r="G65" s="89" t="str">
        <x:v>Очень высокая</x:v>
      </x:c>
      <x:c r="H65" s="89" t="str">
        <x:v>Эффект не проходит через всю геометрию модели</x:v>
      </x:c>
      <x:c r="I65" s="89" t="str">
        <x:v>328</x:v>
      </x:c>
    </x:row>
    <x:row r="66">
      <x:c r="A66" s="89" t="str">
        <x:v>Локальное восстановление финиша</x:v>
      </x:c>
      <x:c r="B66" s="89" t="str">
        <x:v>Аэрограф/кисть с лаками</x:v>
      </x:c>
      <x:c r="C66" s="89" t="str">
        <x:v>Matt, Satin, Gloss, Metal Varnish</x:v>
      </x:c>
      <x:c r="D66" s="89" t="str">
        <x:v>Различие материалов после общего лака</x:v>
      </x:c>
      <x:c r="E66" s="89" t="str">
        <x:v>Любая сложная модель</x:v>
      </x:c>
      <x:c r="F66" s="89" t="str">
        <x:v>Общий Matt → локальный Satin/Metal/Gloss → вернуть glints</x:v>
      </x:c>
      <x:c r="G66" s="89" t="str">
        <x:v>Средняя</x:v>
      </x:c>
      <x:c r="H66" s="89" t="str">
        <x:v>Вся модель одинаково блестит</x:v>
      </x:c>
      <x:c r="I66" s="89" t="str">
        <x:v>329–330</x:v>
      </x:c>
    </x:row>
    <x:row r="67">
      <x:c r="A67" s="89" t="str">
        <x:v>Направленный свет</x:v>
      </x:c>
      <x:c r="B67" s="89" t="str">
        <x:v>Аэрограф + кисть</x:v>
      </x:c>
      <x:c r="C67" s="89" t="str">
        <x:v>Любые основные цепочки + Pale Sand/White</x:v>
      </x:c>
      <x:c r="D67" s="89" t="str">
        <x:v>Единая сценическая светотень</x:v>
      </x:c>
      <x:c r="E67" s="89" t="str">
        <x:v>Персонажи и дисплейные модели</x:v>
      </x:c>
      <x:c r="F67" s="89" t="str">
        <x:v>Не вращать модель → свет только со стороны источника → селективные края</x:v>
      </x:c>
      <x:c r="G67" s="89" t="str">
        <x:v>Средняя</x:v>
      </x:c>
      <x:c r="H67" s="89" t="str">
        <x:v>Симметричное высветление</x:v>
      </x:c>
      <x:c r="I67" s="89" t="str">
        <x:v>331–334</x:v>
      </x:c>
    </x:row>
    <x:row r="68">
      <x:c r="A68" s="89" t="str">
        <x:v>Rim light</x:v>
      </x:c>
      <x:c r="B68" s="89" t="str">
        <x:v>Аэрограф/кисть</x:v>
      </x:c>
      <x:c r="C68" s="89" t="str">
        <x:v>Frostheart/Baharroth или Orange Fire/Yellow</x:v>
      </x:c>
      <x:c r="D68" s="89" t="str">
        <x:v>Отделение силуэта от фона</x:v>
      </x:c>
      <x:c r="E68" s="89" t="str">
        <x:v>Тёмные модели и персонажи</x:v>
      </x:c>
      <x:c r="F68" s="89" t="str">
        <x:v>Узкий свет по силуэту со стороны заднего источника</x:v>
      </x:c>
      <x:c r="G68" s="89" t="str">
        <x:v>Высокая</x:v>
      </x:c>
      <x:c r="H68" s="89" t="str">
        <x:v>Обвести каждую кромку</x:v>
      </x:c>
      <x:c r="I68" s="89" t="str">
        <x:v>335–336</x:v>
      </x:c>
    </x:row>
    <x:row r="69">
      <x:c r="A69" s="89" t="str">
        <x:v>Два источника света</x:v>
      </x:c>
      <x:c r="B69" s="89" t="str">
        <x:v>Аэрограф + glaze</x:v>
      </x:c>
      <x:c r="C69" s="89" t="str">
        <x:v>Red/Blue families, Inks, White</x:v>
      </x:c>
      <x:c r="D69" s="89" t="str">
        <x:v>Кинематографическое разделение</x:v>
      </x:c>
      <x:c r="E69" s="89" t="str">
        <x:v>Диорамы и персонажи</x:v>
      </x:c>
      <x:c r="F69" s="89" t="str">
        <x:v>Два отдельных цветных поля → тёмная зона между → белые источники</x:v>
      </x:c>
      <x:c r="G69" s="89" t="str">
        <x:v>Очень высокая</x:v>
      </x:c>
      <x:c r="H69" s="89" t="str">
        <x:v>Смешать всё в фиолетовый</x:v>
      </x:c>
      <x:c r="I69" s="89" t="str">
        <x:v>337</x:v>
      </x:c>
    </x:row>
    <x:row r="70">
      <x:c r="A70" s="89" t="str">
        <x:v>Bounce light</x:v>
      </x:c>
      <x:c r="B70" s="89" t="str">
        <x:v>Аэрограф + кисть</x:v>
      </x:c>
      <x:c r="C70" s="89" t="str">
        <x:v>Orange/Yellow или The Fang/Fenrisian</x:v>
      </x:c>
      <x:c r="D70" s="89" t="str">
        <x:v>Отражённый свет от подставки</x:v>
      </x:c>
      <x:c r="E70" s="89" t="str">
        <x:v>Лава и снег</x:v>
      </x:c>
      <x:c r="F70" s="89" t="str">
        <x:v>Слабый нижний filter → меньшие яркие кромки → быстрое затухание вверх</x:v>
      </x:c>
      <x:c r="G70" s="89" t="str">
        <x:v>Высокая</x:v>
      </x:c>
      <x:c r="H70" s="89" t="str">
        <x:v>Bounce ярче источника</x:v>
      </x:c>
      <x:c r="I70" s="89" t="str">
        <x:v>338–339</x:v>
      </x:c>
    </x:row>
    <x:row r="71">
      <x:c r="A71" s="89" t="str">
        <x:v>Фокусная иерархия</x:v>
      </x:c>
      <x:c r="B71" s="89" t="str">
        <x:v>Кисть + glaze</x:v>
      </x:c>
      <x:c r="C71" s="89" t="str">
        <x:v>Skin tones, White, Black, faction colour</x:v>
      </x:c>
      <x:c r="D71" s="89" t="str">
        <x:v>Направление взгляда</x:v>
      </x:c>
      <x:c r="E71" s="89" t="str">
        <x:v>Любая модель</x:v>
      </x:c>
      <x:c r="F71" s="89" t="str">
        <x:v>Лицо/оружие +1 свет → низ затемнить → вторичные детали упростить</x:v>
      </x:c>
      <x:c r="G71" s="89" t="str">
        <x:v>Средняя</x:v>
      </x:c>
      <x:c r="H71" s="89" t="str">
        <x:v>Несколько одинаково ярких центров</x:v>
      </x:c>
      <x:c r="I71" s="89" t="str">
        <x:v>340–344</x:v>
      </x:c>
    </x:row>
    <x:row r="72">
      <x:c r="A72" s="89" t="str">
        <x:v>Селективный edge</x:v>
      </x:c>
      <x:c r="B72" s="89" t="str">
        <x:v>Кисть</x:v>
      </x:c>
      <x:c r="C72" s="89" t="str">
        <x:v>Светлый вариант каждого материала</x:v>
      </x:c>
      <x:c r="D72" s="89" t="str">
        <x:v>Чистота без потери объёма</x:v>
      </x:c>
      <x:c r="E72" s="89" t="str">
        <x:v>Аэрографная броня</x:v>
      </x:c>
      <x:c r="F72" s="89" t="str">
        <x:v>Средний edge сверху → максимум только на фокусе → закрытые кромки без линии</x:v>
      </x:c>
      <x:c r="G72" s="89" t="str">
        <x:v>Средняя</x:v>
      </x:c>
      <x:c r="H72" s="89" t="str">
        <x:v>Обводка всех панелей</x:v>
      </x:c>
      <x:c r="I72" s="89" t="str">
        <x:v>345</x:v>
      </x:c>
    </x:row>
    <x:row r="73">
      <x:c r="A73" s="89" t="str">
        <x:v>Цветное разделение</x:v>
      </x:c>
      <x:c r="B73" s="89" t="str">
        <x:v>Тонкая кисть</x:v>
      </x:c>
      <x:c r="C73" s="89" t="str">
        <x:v>Black, Dark Prussian, Deep Brown, Phoenician</x:v>
      </x:c>
      <x:c r="D73" s="89" t="str">
        <x:v>Читаемость соседних материалов</x:v>
      </x:c>
      <x:c r="E73" s="89" t="str">
        <x:v>Сложные модели</x:v>
      </x:c>
      <x:c r="F73" s="89" t="str">
        <x:v>Тёмная линия только в реальном стыке → вернуть Base по сторонам</x:v>
      </x:c>
      <x:c r="G73" s="89" t="str">
        <x:v>Средняя</x:v>
      </x:c>
      <x:c r="H73" s="89" t="str">
        <x:v>Комиксная обводка всего</x:v>
      </x:c>
      <x:c r="I73" s="89" t="str">
        <x:v>346–347</x:v>
      </x:c>
    </x:row>
    <x:row r="74">
      <x:c r="A74" s="89" t="str">
        <x:v>Гибрид TMM/NMM</x:v>
      </x:c>
      <x:c r="B74" s="89" t="str">
        <x:v>Metallic + кисть</x:v>
      </x:c>
      <x:c r="C74" s="89" t="str">
        <x:v>Gold/steel metallics + Black/Deep Brown/White</x:v>
      </x:c>
      <x:c r="D74" s="89" t="str">
        <x:v>Усиленные отражения настоящего металла</x:v>
      </x:c>
      <x:c r="E74" s="89" t="str">
        <x:v>Персонажи и крупная броня</x:v>
      </x:c>
      <x:c r="F74" s="89" t="str">
        <x:v>TMM base → световые blocks → резкая соседняя тень → point highlights</x:v>
      </x:c>
      <x:c r="G74" s="89" t="str">
        <x:v>Высокая</x:v>
      </x:c>
      <x:c r="H74" s="89" t="str">
        <x:v>Серебряная обводка всей детали</x:v>
      </x:c>
      <x:c r="I74" s="89" t="str">
        <x:v>348–349</x:v>
      </x:c>
    </x:row>
    <x:row r="75">
      <x:c r="A75" s="89" t="str">
        <x:v>Шкала боевого износа</x:v>
      </x:c>
      <x:c r="B75" s="89" t="str">
        <x:v>Кисть/аэрограф/масла</x:v>
      </x:c>
      <x:c r="C75" s="89" t="str">
        <x:v>Chips, streaks, dust, rust, soot</x:v>
      </x:c>
      <x:c r="D75" s="89" t="str">
        <x:v>Связный уровень weathering</x:v>
      </x:c>
      <x:c r="E75" s="89" t="str">
        <x:v>Армии и кампании</x:v>
      </x:c>
      <x:c r="F75" s="89" t="str">
        <x:v>Выбрать light/medium/heavy до начала → сохранить фокус чистым</x:v>
      </x:c>
      <x:c r="G75" s="89" t="str">
        <x:v>Низкая</x:v>
      </x:c>
      <x:c r="H75" s="89" t="str">
        <x:v>Случайная смесь тяжёлых эффектов</x:v>
      </x:c>
      <x:c r="I75" s="89" t="str">
        <x:v>350</x:v>
      </x:c>
    </x:row>
    <x:row r="76">
      <x:c r="A76" s="89" t="str">
        <x:v>Армейский master workflow</x:v>
      </x:c>
      <x:c r="B76" s="89" t="str">
        <x:v>Все инструменты</x:v>
      </x:c>
      <x:c r="C76" s="89" t="str">
        <x:v>Рецепты коллекции по фракциям</x:v>
      </x:c>
      <x:c r="D76" s="89" t="str">
        <x:v>Повторяемая армейская схема</x:v>
      </x:c>
      <x:c r="E76" s="89" t="str">
        <x:v>Custodes, Thousand Sons, daemons</x:v>
      </x:c>
      <x:c r="F76" s="89" t="str">
        <x:v>Грунт → массы → тени → света → детали → weathering → finish</x:v>
      </x:c>
      <x:c r="G76" s="89" t="str">
        <x:v>Средняя</x:v>
      </x:c>
      <x:c r="H76" s="89" t="str">
        <x:v>Красить каждую модель полностью отдельно</x:v>
      </x:c>
      <x:c r="I76" s="89" t="str">
        <x:v>351–358</x:v>
      </x:c>
    </x:row>
    <x:row r="77">
      <x:c r="A77" s="89" t="str">
        <x:v>Тестовая карточка</x:v>
      </x:c>
      <x:c r="B77" s="89" t="str">
        <x:v>Тот же инструмент, что на модели</x:v>
      </x:c>
      <x:c r="C77" s="89" t="str">
        <x:v>Конкретная краска + thinner + primer</x:v>
      </x:c>
      <x:c r="D77" s="89" t="str">
        <x:v>Повторяемые настройки</x:v>
      </x:c>
      <x:c r="E77" s="89" t="str">
        <x:v>Новая смесь или рецепт</x:v>
      </x:c>
      <x:c r="F77" s="89" t="str">
        <x:v>Лестница ratios/PSI → оценки → записать PASS/RETEST/REJECT</x:v>
      </x:c>
      <x:c r="G77" s="89" t="str">
        <x:v>Низкая</x:v>
      </x:c>
      <x:c r="H77" s="89" t="str">
        <x:v>Полагаться на память</x:v>
      </x:c>
      <x:c r="I77" s="89" t="str">
        <x:v>359</x:v>
      </x:c>
    </x:row>
    <x:row r="78">
      <x:c r="A78" s="89" t="str">
        <x:v>Финальный QC</x:v>
      </x:c>
      <x:c r="B78" s="89" t="str">
        <x:v>Глаз + фото</x:v>
      </x:c>
      <x:c r="C78" s="89" t="str">
        <x:v>White/Black corrections, finish map</x:v>
      </x:c>
      <x:c r="D78" s="89" t="str">
        <x:v>Контроль перед лаком</x:v>
      </x:c>
      <x:c r="E78" s="89" t="str">
        <x:v>Любая законченная модель</x:v>
      </x:c>
      <x:c r="F78" s="89" t="str">
        <x:v>Лампа → игровая дистанция → grayscale → исправить 3 главных дефекта</x:v>
      </x:c>
      <x:c r="G78" s="89" t="str">
        <x:v>Низкая</x:v>
      </x:c>
      <x:c r="H78" s="89" t="str">
        <x:v>Бесконечная переработка мелочей</x:v>
      </x:c>
      <x:c r="I78" s="89" t="str">
        <x:v>360</x:v>
      </x:c>
    </x:row>
    <x:row r="79">
      <x:c r="A79" s="89" t="str">
        <x:v>Субсборка</x:v>
      </x:c>
      <x:c r="B79" s="89" t="str">
        <x:v>Держатель/pin + сухая примерка</x:v>
      </x:c>
      <x:c r="C79" s="89" t="str">
        <x:v>Те же краски, что в основном рецепте</x:v>
      </x:c>
      <x:c r="D79" s="89" t="str">
        <x:v>Доступ к закрытым зонам</x:v>
      </x:c>
      <x:c r="E79" s="89" t="str">
        <x:v>Головы, оружие, щиты, плащи, крылья</x:v>
      </x:c>
      <x:c r="F79" s="89" t="str">
        <x:v>Завершить недоступную сторону → примерить → общий свет после сборки</x:v>
      </x:c>
      <x:c r="G79" s="89" t="str">
        <x:v>Низкая</x:v>
      </x:c>
      <x:c r="H79" s="89" t="str">
        <x:v>Разные направления света на деталях</x:v>
      </x:c>
      <x:c r="I79" s="89" t="str">
        <x:v>361–366</x:v>
      </x:c>
    </x:row>
    <x:row r="80">
      <x:c r="A80" s="89" t="str">
        <x:v>Защитное маскирование</x:v>
      </x:c>
      <x:c r="B80" s="89" t="str">
        <x:v>Масса/лента/карточка</x:v>
      </x:c>
      <x:c r="C80" s="89" t="str">
        <x:v>Matt/Metal Varnish как защитный барьер</x:v>
      </x:c>
      <x:c r="D80" s="89" t="str">
        <x:v>Сохранение готового материала</x:v>
      </x:c>
      <x:c r="E80" s="89" t="str">
        <x:v>Лицо, металл, ткань</x:v>
      </x:c>
      <x:c r="F80" s="89" t="str">
        <x:v>Высушить и защитить → распылять от маски наружу → локально восстановить</x:v>
      </x:c>
      <x:c r="G80" s="89" t="str">
        <x:v>Средняя</x:v>
      </x:c>
      <x:c r="H80" s="89" t="str">
        <x:v>Сорвать краску или получить металлический overspray</x:v>
      </x:c>
      <x:c r="I80" s="89" t="str">
        <x:v>367–370</x:v>
      </x:c>
    </x:row>
    <x:row r="81">
      <x:c r="A81" s="89" t="str">
        <x:v>Базовый decal workflow</x:v>
      </x:c>
      <x:c r="B81" s="89" t="str">
        <x:v>Кисть + вода + лаки</x:v>
      </x:c>
      <x:c r="C81" s="89" t="str">
        <x:v>Gloss, Matt/Satin, Base colours</x:v>
      </x:c>
      <x:c r="D81" s="89" t="str">
        <x:v>Маркировка без серебрения</x:v>
      </x:c>
      <x:c r="E81" s="89" t="str">
        <x:v>Наплечники, щиты, техника</x:v>
      </x:c>
      <x:c r="F81" s="89" t="str">
        <x:v>Gloss → decal → dry → Gloss seal → integrate → final finish</x:v>
      </x:c>
      <x:c r="G81" s="89" t="str">
        <x:v>Низкая</x:v>
      </x:c>
      <x:c r="H81" s="89" t="str">
        <x:v>Декаль прямо на Matt</x:v>
      </x:c>
      <x:c r="I81" s="89" t="str">
        <x:v>371</x:v>
      </x:c>
    </x:row>
    <x:row r="82">
      <x:c r="A82" s="89" t="str">
        <x:v>Декаль на криволинейной форме</x:v>
      </x:c>
      <x:c r="B82" s="89" t="str">
        <x:v>Подрезка + мягкая кисть</x:v>
      </x:c>
      <x:c r="C82" s="89" t="str">
        <x:v>Gloss Varnish</x:v>
      </x:c>
      <x:c r="D82" s="89" t="str">
        <x:v>Прилегание без складок</x:v>
      </x:c>
      <x:c r="E82" s="89" t="str">
        <x:v>Наплечники и округлые щиты</x:v>
      </x:c>
      <x:c r="F82" s="89" t="str">
        <x:v>Центр → малые надрезы → прижимать секторами → seal</x:v>
      </x:c>
      <x:c r="G82" s="89" t="str">
        <x:v>Высокая</x:v>
      </x:c>
      <x:c r="H82" s="89" t="str">
        <x:v>Растягивать плёнку силой</x:v>
      </x:c>
      <x:c r="I82" s="89" t="str">
        <x:v>372–373</x:v>
      </x:c>
    </x:row>
    <x:row r="83">
      <x:c r="A83" s="89" t="str">
        <x:v>Интеграция декали</x:v>
      </x:c>
      <x:c r="B83" s="89" t="str">
        <x:v>Glaze + weathering</x:v>
      </x:c>
      <x:c r="C83" s="89" t="str">
        <x:v>Base + Medium, Sepia/Basilicanum, dust colours</x:v>
      </x:c>
      <x:c r="D83" s="89" t="str">
        <x:v>Декаль как часть панели</x:v>
      </x:c>
      <x:c r="E83" s="89" t="str">
        <x:v>Любая маркировка</x:v>
      </x:c>
      <x:c r="F83" s="89" t="str">
        <x:v>Скрыть край → общий свет → filters → chips/dust/OSL</x:v>
      </x:c>
      <x:c r="G83" s="89" t="str">
        <x:v>Средняя</x:v>
      </x:c>
      <x:c r="H83" s="89" t="str">
        <x:v>Идеально чистый символ на грязной панели</x:v>
      </x:c>
      <x:c r="I83" s="89" t="str">
        <x:v>374–378</x:v>
      </x:c>
    </x:row>
    <x:row r="84">
      <x:c r="A84" s="89" t="str">
        <x:v>Ремонт последовательностью слоёв</x:v>
      </x:c>
      <x:c r="B84" s="89" t="str">
        <x:v>Кисть/аэрограф</x:v>
      </x:c>
      <x:c r="C84" s="89" t="str">
        <x:v>Исходные Base, mid, highlight, glaze</x:v>
      </x:c>
      <x:c r="D84" s="89" t="str">
        <x:v>Незаметная коррекция</x:v>
      </x:c>
      <x:c r="E84" s="89" t="str">
        <x:v>Overspray и локальные ошибки</x:v>
      </x:c>
      <x:c r="F84" s="89" t="str">
        <x:v>Base → средний → свет → объединяющая glaze → finish</x:v>
      </x:c>
      <x:c r="G84" s="89" t="str">
        <x:v>Низкая</x:v>
      </x:c>
      <x:c r="H84" s="89" t="str">
        <x:v>Толстая укрывистая заплата</x:v>
      </x:c>
      <x:c r="I84" s="89" t="str">
        <x:v>379–387</x:v>
      </x:c>
    </x:row>
    <x:row r="85">
      <x:c r="A85" s="89" t="str">
        <x:v>Восстановление edge</x:v>
      </x:c>
      <x:c r="B85" s="89" t="str">
        <x:v>Тонкая кисть</x:v>
      </x:c>
      <x:c r="C85" s="89" t="str">
        <x:v>Base + исходный highlight</x:v>
      </x:c>
      <x:c r="D85" s="89" t="str">
        <x:v>Тонкая контролируемая кромка</x:v>
      </x:c>
      <x:c r="E85" s="89" t="str">
        <x:v>Слишком толстые линии</x:v>
      </x:c>
      <x:c r="F85" s="89" t="str">
        <x:v>Сузить Base с внутренней стороны → оставить внешний край</x:v>
      </x:c>
      <x:c r="G85" s="89" t="str">
        <x:v>Средняя</x:v>
      </x:c>
      <x:c r="H85" s="89" t="str">
        <x:v>Стирать или полностью перекрашивать панель</x:v>
      </x:c>
      <x:c r="I85" s="89" t="str">
        <x:v>380</x:v>
      </x:c>
    </x:row>
    <x:row r="86">
      <x:c r="A86" s="89" t="str">
        <x:v>Ремонт прозрачной системы</x:v>
      </x:c>
      <x:c r="B86" s="89" t="str">
        <x:v>Непрозрачный слой + Medium glaze</x:v>
      </x:c>
      <x:c r="C86" s="89" t="str">
        <x:v>Midtone, Contrast/Xpress Medium</x:v>
      </x:c>
      <x:c r="D86" s="89" t="str">
        <x:v>Ровная панель</x:v>
      </x:c>
      <x:c r="E86" s="89" t="str">
        <x:v>Пятнистый Contrast/Xpress</x:v>
      </x:c>
      <x:c r="F86" s="89" t="str">
        <x:v>Выровнять пятна opaque → вернуть underpainting → общий прозрачный filter</x:v>
      </x:c>
      <x:c r="G86" s="89" t="str">
        <x:v>Средняя</x:v>
      </x:c>
      <x:c r="H86" s="89" t="str">
        <x:v>Повторно залить чистой прозрачной краской</x:v>
      </x:c>
      <x:c r="I86" s="89" t="str">
        <x:v>382</x:v>
      </x:c>
    </x:row>
    <x:row r="87">
      <x:c r="A87" s="89" t="str">
        <x:v>Daemonette Hide как база кожи</x:v>
      </x:c>
      <x:c r="B87" s="89" t="str">
        <x:v>Аэрограф/кисть + Shade</x:v>
      </x:c>
      <x:c r="C87" s="89" t="str">
        <x:v>Daemonette, Warpfiend, Slaanesh, Pallid</x:v>
      </x:c>
      <x:c r="D87" s="89" t="str">
        <x:v>Светлая холодная демонская кожа</x:v>
      </x:c>
      <x:c r="E87" s="89" t="str">
        <x:v>Slaanesh и холодные демоны</x:v>
      </x:c>
      <x:c r="F87" s="89" t="str">
        <x:v>Daemonette → Violet shadow → Warpfiend/Slaanesh → Pallid points</x:v>
      </x:c>
      <x:c r="G87" s="89" t="str">
        <x:v>Средняя</x:v>
      </x:c>
      <x:c r="H87" s="89" t="str">
        <x:v>Использовать только как случайный промежуточный цвет</x:v>
      </x:c>
      <x:c r="I87" s="89" t="str">
        <x:v>388</x:v>
      </x:c>
    </x:row>
    <x:row r="88">
      <x:c r="A88" s="89" t="str">
        <x:v>Reikland Gloss на бронзе</x:v>
      </x:c>
      <x:c r="B88" s="89" t="str">
        <x:v>Кисть + metallic</x:v>
      </x:c>
      <x:c r="C88" s="89" t="str">
        <x:v>Balthasar, Reikland Gloss, Old Gold, Brass</x:v>
      </x:c>
      <x:c r="D88" s="89" t="str">
        <x:v>Полированный тёплый металл</x:v>
      </x:c>
      <x:c r="E88" s="89" t="str">
        <x:v>Бронза и декоративные детали</x:v>
      </x:c>
      <x:c r="F88" s="89" t="str">
        <x:v>Metal base → Gloss Shade → bright metal blocks → Metal Varnish</x:v>
      </x:c>
      <x:c r="G88" s="89" t="str">
        <x:v>Средняя</x:v>
      </x:c>
      <x:c r="H88" s="89" t="str">
        <x:v>Использовать Gloss Shade на матовой коже</x:v>
      </x:c>
      <x:c r="I88" s="89" t="str">
        <x:v>389</x:v>
      </x:c>
    </x:row>
    <x:row r="89">
      <x:c r="A89" s="89" t="str">
        <x:v>Персональная валидация рецепта</x:v>
      </x:c>
      <x:c r="B89" s="89" t="str">
        <x:v>Фото + журнал</x:v>
      </x:c>
      <x:c r="C89" s="89" t="str">
        <x:v>Фактически применённые материалы</x:v>
      </x:c>
      <x:c r="D89" s="89" t="str">
        <x:v>Проверенный собственный процесс</x:v>
      </x:c>
      <x:c r="E89" s="89" t="str">
        <x:v>Любой новый Recipe ID</x:v>
      </x:c>
      <x:c r="F89" s="89" t="str">
        <x:v>Записать отклонения → время → оценку → фото → корректировку</x:v>
      </x:c>
      <x:c r="G89" s="89" t="str">
        <x:v>Низкая</x:v>
      </x:c>
      <x:c r="H89" s="89" t="str">
        <x:v>Считать стартовый рецепт окончательной истиной</x:v>
      </x:c>
      <x:c r="I89" s="89" t="str">
        <x:v>390</x:v>
      </x:c>
    </x:row>
    <x:row r="90">
      <x:c r="A90" s="89" t="str">
        <x:v>Восстановление после масла</x:v>
      </x:c>
      <x:c r="B90" s="89" t="str">
        <x:v>Кисть + локальный аэрограф</x:v>
      </x:c>
      <x:c r="C90" s="89" t="str">
        <x:v>Skin base, Lahmian Medium, pale highlights</x:v>
      </x:c>
      <x:c r="D90" s="89" t="str">
        <x:v>Возврат цвета без потери теней</x:v>
      </x:c>
      <x:c r="E90" s="89" t="str">
        <x:v>Крупные монстры после oil wash</x:v>
      </x:c>
      <x:c r="F90" s="89" t="str">
        <x:v>Средний тон только на открытые плоскости → направленный свет → texture</x:v>
      </x:c>
      <x:c r="G90" s="89" t="str">
        <x:v>Средняя</x:v>
      </x:c>
      <x:c r="H90" s="89" t="str">
        <x:v>Полностью перекрыть масляную глубину</x:v>
      </x:c>
      <x:c r="I90" s="89" t="str">
        <x:v>391–393</x:v>
      </x:c>
    </x:row>
    <x:row r="91">
      <x:c r="A91" s="89" t="str">
        <x:v>Температурная карта кожи</x:v>
      </x:c>
      <x:c r="B91" s="89" t="str">
        <x:v>Прозрачные glaze</x:v>
      </x:c>
      <x:c r="C91" s="89" t="str">
        <x:v>Carroburg, Dreadful, Plaguebearer</x:v>
      </x:c>
      <x:c r="D91" s="89" t="str">
        <x:v>Живая неоднородная кожа</x:v>
      </x:c>
      <x:c r="E91" s="89" t="str">
        <x:v>Лицо, суставы, болезненные зоны</x:v>
      </x:c>
      <x:c r="F91" s="89" t="str">
        <x:v>Каждый цвет 1:10–1:15 локально → общий skin glaze</x:v>
      </x:c>
      <x:c r="G91" s="89" t="str">
        <x:v>Высокая</x:v>
      </x:c>
      <x:c r="H91" s="89" t="str">
        <x:v>Чёткие цветные пятна</x:v>
      </x:c>
      <x:c r="I91" s="89" t="str">
        <x:v>394</x:v>
      </x:c>
    </x:row>
    <x:row r="92">
      <x:c r="A92" s="89" t="str">
        <x:v>Пасть крупного монстра</x:v>
      </x:c>
      <x:c r="B92" s="89" t="str">
        <x:v>Кисть + локальный Gloss</x:v>
      </x:c>
      <x:c r="C92" s="89" t="str">
        <x:v>Gal Vorbak, Gory, Sickly Pink, Pale Flesh</x:v>
      </x:c>
      <x:c r="D92" s="89" t="str">
        <x:v>Глубина и влажная органика</x:v>
      </x:c>
      <x:c r="E92" s="89" t="str">
        <x:v>Демоны и звери</x:v>
      </x:c>
      <x:c r="F92" s="89" t="str">
        <x:v>Почти чёрная глубина → красный → розовый свет → local Gloss</x:v>
      </x:c>
      <x:c r="G92" s="89" t="str">
        <x:v>Средняя</x:v>
      </x:c>
      <x:c r="H92" s="89" t="str">
        <x:v>Равномерно розовая пасть</x:v>
      </x:c>
      <x:c r="I92" s="89" t="str">
        <x:v>398–400</x:v>
      </x:c>
    </x:row>
    <x:row r="93">
      <x:c r="A93" s="89" t="str">
        <x:v>Переход кожа–рог/коготь</x:v>
      </x:c>
      <x:c r="B93" s="89" t="str">
        <x:v>Кисть + glaze</x:v>
      </x:c>
      <x:c r="C93" s="89" t="str">
        <x:v>Carroburg, Rakarth, Snakebite, browns, Black</x:v>
      </x:c>
      <x:c r="D93" s="89" t="str">
        <x:v>Физическая связь органики и твёрдой ткани</x:v>
      </x:c>
      <x:c r="E93" s="89" t="str">
        <x:v>Рога и когти</x:v>
      </x:c>
      <x:c r="F93" s="89" t="str">
        <x:v>Реакция кожи → смешанная зона → отдельная структура/блик</x:v>
      </x:c>
      <x:c r="G93" s="89" t="str">
        <x:v>Высокая</x:v>
      </x:c>
      <x:c r="H93" s="89" t="str">
        <x:v>Декоративное кольцо или просто чёрный кончик</x:v>
      </x:c>
      <x:c r="I93" s="89" t="str">
        <x:v>401–403</x:v>
      </x:c>
    </x:row>
    <x:row r="94">
      <x:c r="A94" s="89" t="str">
        <x:v>Полупрозрачная перепонка</x:v>
      </x:c>
      <x:c r="B94" s="89" t="str">
        <x:v>Аэрограф + glaze + кисть</x:v>
      </x:c>
      <x:c r="C94" s="89" t="str">
        <x:v>Skin tones, Dreadful/Frostheart/Inks</x:v>
      </x:c>
      <x:c r="D94" s="89" t="str">
        <x:v>Разная толщина крыла</x:v>
      </x:c>
      <x:c r="E94" s="89" t="str">
        <x:v>Крылья крупных демонов</x:v>
      </x:c>
      <x:c r="F94" s="89" t="str">
        <x:v>Тёмный каркас → светлый центр → внутренние жилки → Satin</x:v>
      </x:c>
      <x:c r="G94" s="89" t="str">
        <x:v>Высокая</x:v>
      </x:c>
      <x:c r="H94" s="89" t="str">
        <x:v>Непрозрачная ткань</x:v>
      </x:c>
      <x:c r="I94" s="89" t="str">
        <x:v>404–406</x:v>
      </x:c>
    </x:row>
    <x:row r="95">
      <x:c r="A95" s="89" t="str">
        <x:v>Вросший материал</x:v>
      </x:c>
      <x:c r="B95" s="89" t="str">
        <x:v>Разделённая фактура и финиш</x:v>
      </x:c>
      <x:c r="C95" s="89" t="str">
        <x:v>Skin colours, Carroburg, TMM, Gloss/Metal</x:v>
      </x:c>
      <x:c r="D95" s="89" t="str">
        <x:v>Броня, украшение или хитин внутри плоти</x:v>
      </x:c>
      <x:c r="E95" s="89" t="str">
        <x:v>Демоны и мутанты</x:v>
      </x:c>
      <x:c r="F95" s="89" t="str">
        <x:v>Покрасить материалы отдельно → реакция кожи в границе → local finishes</x:v>
      </x:c>
      <x:c r="G95" s="89" t="str">
        <x:v>Высокая</x:v>
      </x:c>
      <x:c r="H95" s="89" t="str">
        <x:v>Один цвет/лак на обеих сторонах</x:v>
      </x:c>
      <x:c r="I95" s="89" t="str">
        <x:v>407–408, 415</x:v>
      </x:c>
    </x:row>
    <x:row r="96">
      <x:c r="A96" s="89" t="str">
        <x:v>Светящиеся повреждения кожи</x:v>
      </x:c>
      <x:c r="B96" s="89" t="str">
        <x:v>Freehand + Contrast/Fluo</x:v>
      </x:c>
      <x:c r="C96" s="89" t="str">
        <x:v>White, glow colour, skin glaze</x:v>
      </x:c>
      <x:c r="D96" s="89" t="str">
        <x:v>Магические трещины</x:v>
      </x:c>
      <x:c r="E96" s="89" t="str">
        <x:v>Демоны и псайкеры</x:v>
      </x:c>
      <x:c r="F96" s="89" t="str">
        <x:v>White core → transparent colour → weak halo → restore skin edge</x:v>
      </x:c>
      <x:c r="G96" s="89" t="str">
        <x:v>Высокая</x:v>
      </x:c>
      <x:c r="H96" s="89" t="str">
        <x:v>Ореол ярче сердцевины</x:v>
      </x:c>
      <x:c r="I96" s="89" t="str">
        <x:v>410</x:v>
      </x:c>
    </x:row>
    <x:row r="97">
      <x:c r="A97" s="89" t="str">
        <x:v>Проектная иерархия монстра</x:v>
      </x:c>
      <x:c r="B97" s="89" t="str">
        <x:v>Фото + кисть + локальные glaze</x:v>
      </x:c>
      <x:c r="C97" s="89" t="str">
        <x:v>White, Base, faction colour, finish map</x:v>
      </x:c>
      <x:c r="D97" s="89" t="str">
        <x:v>Читаемая крупная модель</x:v>
      </x:c>
      <x:c r="E97" s="89" t="str">
        <x:v>Демон-принц и большие существа</x:v>
      </x:c>
      <x:c r="F97" s="89" t="str">
        <x:v>Три уровня фокуса → QC → карта локальных лаков</x:v>
      </x:c>
      <x:c r="G97" s="89" t="str">
        <x:v>Средняя</x:v>
      </x:c>
      <x:c r="H97" s="89" t="str">
        <x:v>Одинаковые максимумы на лице, крыльях и базе</x:v>
      </x:c>
      <x:c r="I97" s="89" t="str">
        <x:v>419–420</x:v>
      </x:c>
    </x:row>
    <x:row r="98">
      <x:c r="A98" s="89" t="str">
        <x:v>Широкая форма крупного монстра</x:v>
      </x:c>
      <x:c r="B98" s="89" t="str">
        <x:v>Кисть + локальный аэрограф</x:v>
      </x:c>
      <x:c r="C98" s="89" t="str">
        <x:v>Skin midtone, Lahmian Medium, pale highlights</x:v>
      </x:c>
      <x:c r="D98" s="89" t="str">
        <x:v>Возврат масштаба после масла</x:v>
      </x:c>
      <x:c r="E98" s="89" t="str">
        <x:v>Торс и крупные мышцы</x:v>
      </x:c>
      <x:c r="F98" s="89" t="str">
        <x:v>Широкий midtone → анатомическая тень → крупный направленный свет</x:v>
      </x:c>
      <x:c r="G98" s="89" t="str">
        <x:v>Средняя</x:v>
      </x:c>
      <x:c r="H98" s="89" t="str">
        <x:v>Мелкие частые высветления</x:v>
      </x:c>
      <x:c r="I98" s="89" t="str">
        <x:v>421–423</x:v>
      </x:c>
    </x:row>
    <x:row r="99">
      <x:c r="A99" s="89" t="str">
        <x:v>Физиологическая детализация</x:v>
      </x:c>
      <x:c r="B99" s="89" t="str">
        <x:v>Прозрачные glaze + stippling</x:v>
      </x:c>
      <x:c r="C99" s="89" t="str">
        <x:v>Dreadful, Carroburg, Plaguebearer, Stormvermin</x:v>
      </x:c>
      <x:c r="D99" s="89" t="str">
        <x:v>Живая неоднородная кожа</x:v>
      </x:c>
      <x:c r="E99" s="89" t="str">
        <x:v>Спина, суставы и мягкие зоны</x:v>
      </x:c>
      <x:c r="F99" s="89" t="str">
        <x:v>Кластеры пятен → skin glaze → локальный свет</x:v>
      </x:c>
      <x:c r="G99" s="89" t="str">
        <x:v>Высокая</x:v>
      </x:c>
      <x:c r="H99" s="89" t="str">
        <x:v>Одинаковые эффекты на всей коже</x:v>
      </x:c>
      <x:c r="I99" s="89" t="str">
        <x:v>424–428</x:v>
      </x:c>
    </x:row>
    <x:row r="100">
      <x:c r="A100" s="89" t="str">
        <x:v>Двухсторонняя светотень крыла</x:v>
      </x:c>
      <x:c r="B100" s="89" t="str">
        <x:v>Аэрограф + glaze</x:v>
      </x:c>
      <x:c r="C100" s="89" t="str">
        <x:v>Membrane tones, Dreadful, Frostheart</x:v>
      </x:c>
      <x:c r="D100" s="89" t="str">
        <x:v>Верхний ключевой и нижний отражённый свет</x:v>
      </x:c>
      <x:c r="E100" s="89" t="str">
        <x:v>Большие крылья</x:v>
      </x:c>
      <x:c r="F100" s="89" t="str">
        <x:v>Верх по ключевому свету → низ холоднее → общий Satin</x:v>
      </x:c>
      <x:c r="G100" s="89" t="str">
        <x:v>Высокая</x:v>
      </x:c>
      <x:c r="H100" s="89" t="str">
        <x:v>Одинаковый центр каждого сегмента</x:v>
      </x:c>
      <x:c r="I100" s="89" t="str">
        <x:v>429–430</x:v>
      </x:c>
    </x:row>
    <x:row r="101">
      <x:c r="A101" s="89" t="str">
        <x:v>Повреждение перепонки</x:v>
      </x:c>
      <x:c r="B101" s="89" t="str">
        <x:v>Тонкая кисть + glaze</x:v>
      </x:c>
      <x:c r="C101" s="89" t="str">
        <x:v>Dark purple/blue, Rakarth, Pale Flesh</x:v>
      </x:c>
      <x:c r="D101" s="89" t="str">
        <x:v>Разрыв, прокол и истончённый край</x:v>
      </x:c>
      <x:c r="E101" s="89" t="str">
        <x:v>Крылья</x:v>
      </x:c>
      <x:c r="F101" s="89" t="str">
        <x:v>Тёмная глубина → светлый рубец → membrane glaze</x:v>
      </x:c>
      <x:c r="G101" s="89" t="str">
        <x:v>Высокая</x:v>
      </x:c>
      <x:c r="H101" s="89" t="str">
        <x:v>Повреждения по всему крылу</x:v>
      </x:c>
      <x:c r="I101" s="89" t="str">
        <x:v>431–433</x:v>
      </x:c>
    </x:row>
    <x:row r="102">
      <x:c r="A102" s="89" t="str">
        <x:v>Фокусный износ рогов и когтей</x:v>
      </x:c>
      <x:c r="B102" s="89" t="str">
        <x:v>Кисть + локальный финиш</x:v>
      </x:c>
      <x:c r="C102" s="89" t="str">
        <x:v>Browns, Pale Sand, greys, Black</x:v>
      </x:c>
      <x:c r="D102" s="89" t="str">
        <x:v>Сколы, полировка, царапины и грязь</x:v>
      </x:c>
      <x:c r="E102" s="89" t="str">
        <x:v>Рога и когти</x:v>
      </x:c>
      <x:c r="F102" s="89" t="str">
        <x:v>Износ по контакту → отдельный reflected edge → split finish</x:v>
      </x:c>
      <x:c r="G102" s="89" t="str">
        <x:v>Средняя</x:v>
      </x:c>
      <x:c r="H102" s="89" t="str">
        <x:v>Равномерные линии и грязь сверху</x:v>
      </x:c>
      <x:c r="I102" s="89" t="str">
        <x:v>434–437</x:v>
      </x:c>
    </x:row>
    <x:row r="103">
      <x:c r="A103" s="89" t="str">
        <x:v>Связь оружия с телом</x:v>
      </x:c>
      <x:c r="B103" s="89" t="str">
        <x:v>Glaze + weathering</x:v>
      </x:c>
      <x:c r="C103" s="89" t="str">
        <x:v>Weapon colour, skin tone, Blood, Silver</x:v>
      </x:c>
      <x:c r="D103" s="89" t="str">
        <x:v>Отражение и физический контакт</x:v>
      </x:c>
      <x:c r="E103" s="89" t="str">
        <x:v>Рука, оружие, цепи</x:v>
      </x:c>
      <x:c r="F103" s="89" t="str">
        <x:v>Weak reflected colour → contact grime/blood → restore clean highlights</x:v>
      </x:c>
      <x:c r="G103" s="89" t="str">
        <x:v>Высокая</x:v>
      </x:c>
      <x:c r="H103" s="89" t="str">
        <x:v>Вся рука окрашена цветом оружия</x:v>
      </x:c>
      <x:c r="I103" s="89" t="str">
        <x:v>438–442</x:v>
      </x:c>
    </x:row>
    <x:row r="104">
      <x:c r="A104" s="89" t="str">
        <x:v>Подставка центральной модели</x:v>
      </x:c>
      <x:c r="B104" s="89" t="str">
        <x:v>Кисть + аэрограф + glaze</x:v>
      </x:c>
      <x:c r="C104" s="89" t="str">
        <x:v>Greys, Bonewhite, glow colours, blood</x:v>
      </x:c>
      <x:c r="D104" s="89" t="str">
        <x:v>Камень, кости, трещины и сток</x:v>
      </x:c>
      <x:c r="E104" s="89" t="str">
        <x:v>Большая база</x:v>
      </x:c>
      <x:c r="F104" s="89" t="str">
        <x:v>Large shapes → supporting light → gravity effects → subdued finish</x:v>
      </x:c>
      <x:c r="G104" s="89" t="str">
        <x:v>Высокая</x:v>
      </x:c>
      <x:c r="H104" s="89" t="str">
        <x:v>База ярче лица</x:v>
      </x:c>
      <x:c r="I104" s="89" t="str">
        <x:v>443–447</x:v>
      </x:c>
    </x:row>
    <x:row r="105">
      <x:c r="A105" s="89" t="str">
        <x:v>Сессионный контроль проекта</x:v>
      </x:c>
      <x:c r="B105" s="89" t="str">
        <x:v>Трекер + фото</x:v>
      </x:c>
      <x:c r="C105" s="89" t="str">
        <x:v>Project sheet, session plan, photo control</x:v>
      </x:c>
      <x:c r="D105" s="89" t="str">
        <x:v>Ограниченная задача и повторяемый результат</x:v>
      </x:c>
      <x:c r="E105" s="89" t="str">
        <x:v>Демон-принц</x:v>
      </x:c>
      <x:c r="F105" s="89" t="str">
        <x:v>One session → one goal → stop criterion → photo → note</x:v>
      </x:c>
      <x:c r="G105" s="89" t="str">
        <x:v>Низкая</x:v>
      </x:c>
      <x:c r="H105" s="89" t="str">
        <x:v>Начать несколько несвязанных эффектов</x:v>
      </x:c>
      <x:c r="I105" s="89" t="str">
        <x:v>448–450</x:v>
      </x:c>
    </x:row>
    <x:row r="106">
      <x:c r="A106" s="89" t="str">
        <x:v>Тест после масла</x:v>
      </x:c>
      <x:c r="B106" s="89" t="str">
        <x:v>Кисть/аэрограф на скрытой зоне</x:v>
      </x:c>
      <x:c r="C106" s="89" t="str">
        <x:v>Skin midtone, Medium</x:v>
      </x:c>
      <x:c r="D106" s="89" t="str">
        <x:v>Проверка сухости, сцепления и прозрачности</x:v>
      </x:c>
      <x:c r="E106" s="89" t="str">
        <x:v>Перед S01</x:v>
      </x:c>
      <x:c r="F106" s="89" t="str">
        <x:v>Small patch → dry → inspect colour/shadow/adhesion</x:v>
      </x:c>
      <x:c r="G106" s="89" t="str">
        <x:v>Низкая</x:v>
      </x:c>
      <x:c r="H106" s="89" t="str">
        <x:v>Сразу работать по торсу</x:v>
      </x:c>
      <x:c r="I106" s="89" t="str">
        <x:v>451, 474–476</x:v>
      </x:c>
    </x:row>
    <x:row r="107">
      <x:c r="A107" s="89" t="str">
        <x:v>Гибридный midtone recovery</x:v>
      </x:c>
      <x:c r="B107" s="89" t="str">
        <x:v>Аэрограф + кисть</x:v>
      </x:c>
      <x:c r="C107" s="89" t="str">
        <x:v>Skin midtone, Lahmian Medium</x:v>
      </x:c>
      <x:c r="D107" s="89" t="str">
        <x:v>Возврат масштаба крупной формы</x:v>
      </x:c>
      <x:c r="E107" s="89" t="str">
        <x:v>Торс, плечи, руки, спина</x:v>
      </x:c>
      <x:c r="F107" s="89" t="str">
        <x:v>Airbrush large planes → brush protect recesses → skin glaze</x:v>
      </x:c>
      <x:c r="G107" s="89" t="str">
        <x:v>Высокая</x:v>
      </x:c>
      <x:c r="H107" s="89" t="str">
        <x:v>Один укрывистый слой</x:v>
      </x:c>
      <x:c r="I107" s="89" t="str">
        <x:v>454, 456–460</x:v>
      </x:c>
    </x:row>
    <x:row r="108">
      <x:c r="A108" s="89" t="str">
        <x:v>Контрольная масляная тень</x:v>
      </x:c>
      <x:c r="B108" s="89" t="str">
        <x:v>Фото + оценка 1–5</x:v>
      </x:c>
      <x:c r="C108" s="89" t="str">
        <x:v>Existing oil shadow</x:v>
      </x:c>
      <x:c r="D108" s="89" t="str">
        <x:v>Сохранение готовой глубины</x:v>
      </x:c>
      <x:c r="E108" s="89" t="str">
        <x:v>Каждая зона S01</x:v>
      </x:c>
      <x:c r="F108" s="89" t="str">
        <x:v>Same recess before/after → loss ≤1 → final ≥4</x:v>
      </x:c>
      <x:c r="G108" s="89" t="str">
        <x:v>Низкая</x:v>
      </x:c>
      <x:c r="H108" s="89" t="str">
        <x:v>Оценивать разные впадины</x:v>
      </x:c>
      <x:c r="I108" s="89" t="str">
        <x:v>455, 469–470</x:v>
      </x:c>
    </x:row>
    <x:row r="109">
      <x:c r="A109" s="89" t="str">
        <x:v>Крупная glaze кистью</x:v>
      </x:c>
      <x:c r="B109" s="89" t="str">
        <x:v>Большая мягкая кисть</x:v>
      </x:c>
      <x:c r="C109" s="89" t="str">
        <x:v>Paint + Medium</x:v>
      </x:c>
      <x:c r="D109" s="89" t="str">
        <x:v>Ровный прозрачный midtone</x:v>
      </x:c>
      <x:c r="E109" s="89" t="str">
        <x:v>Рельефные зоны рядом с тенями</x:v>
      </x:c>
      <x:c r="F109" s="89" t="str">
        <x:v>Load → remove excess → one pass → full dry</x:v>
      </x:c>
      <x:c r="G109" s="89" t="str">
        <x:v>Средняя</x:v>
      </x:c>
      <x:c r="H109" s="89" t="str">
        <x:v>Мокрая кисть и повтор по подсыхающему слою</x:v>
      </x:c>
      <x:c r="I109" s="89" t="str">
        <x:v>452, 472</x:v>
      </x:c>
    </x:row>
    <x:row r="110">
      <x:c r="A110" s="89" t="str">
        <x:v>Прозрачные проходы аэрографа</x:v>
      </x:c>
      <x:c r="B110" s="89" t="str">
        <x:v>Аэрограф</x:v>
      </x:c>
      <x:c r="C110" s="89" t="str">
        <x:v>Thin skin midtone</x:v>
      </x:c>
      <x:c r="D110" s="89" t="str">
        <x:v>Постепенное возвращение цвета</x:v>
      </x:c>
      <x:c r="E110" s="89" t="str">
        <x:v>Большие открытые плоскости</x:v>
      </x:c>
      <x:c r="F110" s="89" t="str">
        <x:v>3–5 dry passes → stop before opacity → brush cleanup</x:v>
      </x:c>
      <x:c r="G110" s="89" t="str">
        <x:v>Высокая</x:v>
      </x:c>
      <x:c r="H110" s="89" t="str">
        <x:v>Один мокрый проход</x:v>
      </x:c>
      <x:c r="I110" s="89" t="str">
        <x:v>453, 473, 478</x:v>
      </x:c>
    </x:row>
    <x:row r="111">
      <x:c r="A111" s="89" t="str">
        <x:v>Сессионный gate</x:v>
      </x:c>
      <x:c r="B111" s="89" t="str">
        <x:v>Формулы + checklist</x:v>
      </x:c>
      <x:c r="C111" s="89" t="str">
        <x:v>S01 tracker</x:v>
      </x:c>
      <x:c r="D111" s="89" t="str">
        <x:v>Запрет преждевременной детализации</x:v>
      </x:c>
      <x:c r="E111" s="89" t="str">
        <x:v>Проект демон-принца</x:v>
      </x:c>
      <x:c r="F111" s="89" t="str">
        <x:v>All zones PASS → photos → mix logged → CLOSE S01</x:v>
      </x:c>
      <x:c r="G111" s="89" t="str">
        <x:v>Низкая</x:v>
      </x:c>
      <x:c r="H111" s="89" t="str">
        <x:v>Переход к венам и шрамам до S02</x:v>
      </x:c>
      <x:c r="I111" s="89" t="str">
        <x:v>467–471, 480</x:v>
      </x:c>
    </x:row>
    <x:row r="112">
      <x:c r="A112" s="89" t="str">
        <x:v>Анатомический test patch</x:v>
      </x:c>
      <x:c r="B112" s="89" t="str">
        <x:v>Кисть + glaze</x:v>
      </x:c>
      <x:c r="C112" s="89" t="str">
        <x:v>Targor/Dreadful, skin midtone, Medium</x:v>
      </x:c>
      <x:c r="D112" s="89" t="str">
        <x:v>Проверка глубины без blacklining</x:v>
      </x:c>
      <x:c r="E112" s="89" t="str">
        <x:v>Перед S02</x:v>
      </x:c>
      <x:c r="F112" s="89" t="str">
        <x:v>One natural boundary → dry → inspect in grayscale</x:v>
      </x:c>
      <x:c r="G112" s="89" t="str">
        <x:v>Низкая</x:v>
      </x:c>
      <x:c r="H112" s="89" t="str">
        <x:v>Сразу разделить все мышцы</x:v>
      </x:c>
      <x:c r="I112" s="89" t="str">
        <x:v>482–483</x:v>
      </x:c>
    </x:row>
    <x:row r="113">
      <x:c r="A113" s="89" t="str">
        <x:v>Крупная анатомическая масса</x:v>
      </x:c>
      <x:c r="B113" s="89" t="str">
        <x:v>Гибрид</x:v>
      </x:c>
      <x:c r="C113" s="89" t="str">
        <x:v>Skin midtone, light midtone, pale highlight</x:v>
      </x:c>
      <x:c r="D113" s="89" t="str">
        <x:v>Грудь, дельты, руки и лопатки</x:v>
      </x:c>
      <x:c r="E113" s="89" t="str">
        <x:v>Крупные монстры</x:v>
      </x:c>
      <x:c r="F113" s="89" t="str">
        <x:v>Airbrush broad plane → brush natural recess → skin glaze</x:v>
      </x:c>
      <x:c r="G113" s="89" t="str">
        <x:v>Высокая</x:v>
      </x:c>
      <x:c r="H113" s="89" t="str">
        <x:v>Мелкая сетка светов</x:v>
      </x:c>
      <x:c r="I113" s="89" t="str">
        <x:v>484–491, 497–499</x:v>
      </x:c>
    </x:row>
    <x:row r="114">
      <x:c r="A114" s="89" t="str">
        <x:v>Мягкий countershade</x:v>
      </x:c>
      <x:c r="B114" s="89" t="str">
        <x:v>Кисть + glaze</x:v>
      </x:c>
      <x:c r="C114" s="89" t="str">
        <x:v>Skin midtone, Rakarth, Deepkin, Pale Flesh</x:v>
      </x:c>
      <x:c r="D114" s="89" t="str">
        <x:v>Светлое мягкое брюхо</x:v>
      </x:c>
      <x:c r="E114" s="89" t="str">
        <x:v>Монстры и звери</x:v>
      </x:c>
      <x:c r="F114" s="89" t="str">
        <x:v>1:1 belly base → soft folds → 3:1/1:1/1:3 transition</x:v>
      </x:c>
      <x:c r="G114" s="89" t="str">
        <x:v>Высокая</x:v>
      </x:c>
      <x:c r="H114" s="89" t="str">
        <x:v>Белая вставка ярче плеч</x:v>
      </x:c>
      <x:c r="I114" s="89" t="str">
        <x:v>493–496</x:v>
      </x:c>
    </x:row>
    <x:row r="115">
      <x:c r="A115" s="89" t="str">
        <x:v>Пятиуровневый anatomy gate</x:v>
      </x:c>
      <x:c r="B115" s="89" t="str">
        <x:v>Фото + grayscale</x:v>
      </x:c>
      <x:c r="C115" s="89" t="str">
        <x:v>Existing values</x:v>
      </x:c>
      <x:c r="D115" s="89" t="str">
        <x:v>Подтверждение формы до фактуры</x:v>
      </x:c>
      <x:c r="E115" s="89" t="str">
        <x:v>Закрытие S02</x:v>
      </x:c>
      <x:c r="F115" s="89" t="str">
        <x:v>Levels 1–4 present; level 5 &lt;5%; all zones PASS</x:v>
      </x:c>
      <x:c r="G115" s="89" t="str">
        <x:v>Низкая</x:v>
      </x:c>
      <x:c r="H115" s="89" t="str">
        <x:v>Добавить stippling до проверки</x:v>
      </x:c>
      <x:c r="I115" s="89" t="str">
        <x:v>506–510</x:v>
      </x:c>
    </x:row>
    <x:row r="116">
      <x:c r="A116" s="89" t="str">
        <x:v>Ремонт раздробленной анатомии</x:v>
      </x:c>
      <x:c r="B116" s="89" t="str">
        <x:v>Skin glaze</x:v>
      </x:c>
      <x:c r="C116" s="89" t="str">
        <x:v>Skin midtone, shadow glaze, light midtone</x:v>
      </x:c>
      <x:c r="D116" s="89" t="str">
        <x:v>Объединение мышц крупными массами</x:v>
      </x:c>
      <x:c r="E116" s="89" t="str">
        <x:v>Переусложнённая кожа</x:v>
      </x:c>
      <x:c r="F116" s="89" t="str">
        <x:v>Glaze neighbours → one deep break → one large light plane</x:v>
      </x:c>
      <x:c r="G116" s="89" t="str">
        <x:v>Средняя</x:v>
      </x:c>
      <x:c r="H116" s="89" t="str">
        <x:v>Ещё больше мелких highlights</x:v>
      </x:c>
      <x:c r="I116" s="89" t="str">
        <x:v>502–505</x:v>
      </x:c>
    </x:row>
    <x:row r="117">
      <x:c r="A117" s="89" t="str">
        <x:v>Тест плотности stippling</x:v>
      </x:c>
      <x:c r="B117" s="89" t="str">
        <x:v>Кисть + три пробных участка</x:v>
      </x:c>
      <x:c r="C117" s="89" t="str">
        <x:v>Skin midtone / dark / light variants</x:v>
      </x:c>
      <x:c r="D117" s="89" t="str">
        <x:v>Выбор масштаба фактуры</x:v>
      </x:c>
      <x:c r="E117" s="89" t="str">
        <x:v>Перед S03</x:v>
      </x:c>
      <x:c r="F117" s="89" t="str">
        <x:v>20% / 40% / 60% → macro + arm-length check</x:v>
      </x:c>
      <x:c r="G117" s="89" t="str">
        <x:v>Низкая</x:v>
      </x:c>
      <x:c r="H117" s="89" t="str">
        <x:v>Сразу покрыть всю спину</x:v>
      </x:c>
      <x:c r="I117" s="89" t="str">
        <x:v>512</x:v>
      </x:c>
    </x:row>
    <x:row r="118">
      <x:c r="A118" s="89" t="str">
        <x:v>Кластерная фактура</x:v>
      </x:c>
      <x:c r="B118" s="89" t="str">
        <x:v>Stippling + glaze</x:v>
      </x:c>
      <x:c r="C118" s="89" t="str">
        <x:v>Skin midtone, Deep Brown, light skin</x:v>
      </x:c>
      <x:c r="D118" s="89" t="str">
        <x:v>Грубая крупная кожа</x:v>
      </x:c>
      <x:c r="E118" s="89" t="str">
        <x:v>Плечи, спина, руки</x:v>
      </x:c>
      <x:c r="F118" s="89" t="str">
        <x:v>Large clusters → medium groups → small dots → clean zones</x:v>
      </x:c>
      <x:c r="G118" s="89" t="str">
        <x:v>Высокая</x:v>
      </x:c>
      <x:c r="H118" s="89" t="str">
        <x:v>Равномерная крапинка</x:v>
      </x:c>
      <x:c r="I118" s="89" t="str">
        <x:v>513–521</x:v>
      </x:c>
    </x:row>
    <x:row r="119">
      <x:c r="A119" s="89" t="str">
        <x:v>Сухая суставная кожа</x:v>
      </x:c>
      <x:c r="B119" s="89" t="str">
        <x:v>Stipple + dry highlights</x:v>
      </x:c>
      <x:c r="C119" s="89" t="str">
        <x:v>Stormvermin, Baneblade, Karak, Pale Sand</x:v>
      </x:c>
      <x:c r="D119" s="89" t="str">
        <x:v>Мозоли и огрубевшие зоны</x:v>
      </x:c>
      <x:c r="E119" s="89" t="str">
        <x:v>Локти, колени, костяшки</x:v>
      </x:c>
      <x:c r="F119" s="89" t="str">
        <x:v>Dry midtone → light ridges → red folds separately</x:v>
      </x:c>
      <x:c r="G119" s="89" t="str">
        <x:v>Средняя</x:v>
      </x:c>
      <x:c r="H119" s="89" t="str">
        <x:v>Gloss на сухой мозоли</x:v>
      </x:c>
      <x:c r="I119" s="89" t="str">
        <x:v>522–523</x:v>
      </x:c>
    </x:row>
    <x:row r="120">
      <x:c r="A120" s="89" t="str">
        <x:v>Физиологическая карта</x:v>
      </x:c>
      <x:c r="B120" s="89" t="str">
        <x:v>Прозрачные glaze</x:v>
      </x:c>
      <x:c r="C120" s="89" t="str">
        <x:v>Carroburg, Dreadful, Plaguebearer</x:v>
      </x:c>
      <x:c r="D120" s="89" t="str">
        <x:v>Красные, холодные и болезненные зоны</x:v>
      </x:c>
      <x:c r="E120" s="89" t="str">
        <x:v>Крупная демоническая кожа</x:v>
      </x:c>
      <x:c r="F120" s="89" t="str">
        <x:v>Each colour has physical cause → dominant skin remains</x:v>
      </x:c>
      <x:c r="G120" s="89" t="str">
        <x:v>Высокая</x:v>
      </x:c>
      <x:c r="H120" s="89" t="str">
        <x:v>Все три цвета в каждой зоне</x:v>
      </x:c>
      <x:c r="I120" s="89" t="str">
        <x:v>526–530</x:v>
      </x:c>
    </x:row>
    <x:row r="121">
      <x:c r="A121" s="89" t="str">
        <x:v>Вены под кожей</x:v>
      </x:c>
      <x:c r="B121" s="89" t="str">
        <x:v>Freehand + skin glaze</x:v>
      </x:c>
      <x:c r="C121" s="89" t="str">
        <x:v>Dark Prussian, Phoenician, skin midtone</x:v>
      </x:c>
      <x:c r="D121" s="89" t="str">
        <x:v>Подкожная сеть</x:v>
      </x:c>
      <x:c r="E121" s="89" t="str">
        <x:v>Плечи, грудь, внутренняя рука</x:v>
      </x:c>
      <x:c r="F121" s="89" t="str">
        <x:v>3–6 lines → partial skin glaze → restore highlights</x:v>
      </x:c>
      <x:c r="G121" s="89" t="str">
        <x:v>Очень высокая</x:v>
      </x:c>
      <x:c r="H121" s="89" t="str">
        <x:v>Симметричная сеть по всей модели</x:v>
      </x:c>
      <x:c r="I121" s="89" t="str">
        <x:v>531–532</x:v>
      </x:c>
    </x:row>
    <x:row r="122">
      <x:c r="A122" s="89" t="str">
        <x:v>Растяжки и рубцы</x:v>
      </x:c>
      <x:c r="B122" s="89" t="str">
        <x:v>Тонкая кисть + glaze</x:v>
      </x:c>
      <x:c r="C122" s="89" t="str">
        <x:v>Rakarth, Pale Flesh, Carroburg, Sickly Pink</x:v>
      </x:c>
      <x:c r="D122" s="89" t="str">
        <x:v>Разный возраст повреждения</x:v>
      </x:c>
      <x:c r="E122" s="89" t="str">
        <x:v>Выбранные зоны</x:v>
      </x:c>
      <x:c r="F122" s="89" t="str">
        <x:v>Old pale / fresh red-pink / varied directions</x:v>
      </x:c>
      <x:c r="G122" s="89" t="str">
        <x:v>Высокая</x:v>
      </x:c>
      <x:c r="H122" s="89" t="str">
        <x:v>Одинаковые параллельные линии</x:v>
      </x:c>
      <x:c r="I122" s="89" t="str">
        <x:v>533–535</x:v>
      </x:c>
    </x:row>
    <x:row r="123">
      <x:c r="A123" s="89" t="str">
        <x:v>Gate фактуры</x:v>
      </x:c>
      <x:c r="B123" s="89" t="str">
        <x:v>Macro + arm-length + grayscale</x:v>
      </x:c>
      <x:c r="C123" s="89" t="str">
        <x:v>Existing paint layers</x:v>
      </x:c>
      <x:c r="D123" s="89" t="str">
        <x:v>Подтверждение фактуры без потери формы</x:v>
      </x:c>
      <x:c r="E123" s="89" t="str">
        <x:v>Закрытие S03</x:v>
      </x:c>
      <x:c r="F123" s="89" t="str">
        <x:v>Macro visible → distance clean → grayscale anatomy preserved</x:v>
      </x:c>
      <x:c r="G123" s="89" t="str">
        <x:v>Низкая</x:v>
      </x:c>
      <x:c r="H123" s="89" t="str">
        <x:v>Оценивать только макрофото</x:v>
      </x:c>
      <x:c r="I123" s="89" t="str">
        <x:v>539–540</x:v>
      </x:c>
    </x:row>
    <x:row r="124">
      <x:c r="A124" s="89"/>
      <x:c r="B124" s="89"/>
      <x:c r="C124" s="89"/>
      <x:c r="D124" s="89"/>
      <x:c r="E124" s="89"/>
      <x:c r="F124" s="89"/>
      <x:c r="G124" s="89"/>
      <x:c r="H124" s="89"/>
      <x:c r="I124" s="89"/>
    </x:row>
    <x:row r="125">
      <x:c r="A125" s="89"/>
      <x:c r="B125" s="89"/>
      <x:c r="C125" s="89"/>
      <x:c r="D125" s="89"/>
      <x:c r="E125" s="89"/>
      <x:c r="F125" s="89"/>
      <x:c r="G125" s="89"/>
      <x:c r="H125" s="89"/>
      <x:c r="I125" s="89"/>
    </x:row>
    <x:row r="126">
      <x:c r="A126" s="89"/>
      <x:c r="B126" s="89"/>
      <x:c r="C126" s="89"/>
      <x:c r="D126" s="89"/>
      <x:c r="E126" s="89"/>
      <x:c r="F126" s="89"/>
      <x:c r="G126" s="89"/>
      <x:c r="H126" s="89"/>
      <x:c r="I126" s="89"/>
    </x:row>
    <x:row r="127">
      <x:c r="A127" s="89"/>
      <x:c r="B127" s="89"/>
      <x:c r="C127" s="89"/>
      <x:c r="D127" s="89"/>
      <x:c r="E127" s="89"/>
      <x:c r="F127" s="89"/>
      <x:c r="G127" s="89"/>
      <x:c r="H127" s="89"/>
      <x:c r="I127" s="89"/>
    </x:row>
    <x:row r="128">
      <x:c r="A128" s="89"/>
      <x:c r="B128" s="89"/>
      <x:c r="C128" s="89"/>
      <x:c r="D128" s="89"/>
      <x:c r="E128" s="89"/>
      <x:c r="F128" s="89"/>
      <x:c r="G128" s="89"/>
      <x:c r="H128" s="89"/>
      <x:c r="I128" s="89"/>
    </x:row>
    <x:row r="129">
      <x:c r="A129" s="89"/>
      <x:c r="B129" s="89"/>
      <x:c r="C129" s="89"/>
      <x:c r="D129" s="89"/>
      <x:c r="E129" s="89"/>
      <x:c r="F129" s="89"/>
      <x:c r="G129" s="89"/>
      <x:c r="H129" s="89"/>
      <x:c r="I129" s="89"/>
    </x:row>
    <x:row r="130">
      <x:c r="A130" s="89"/>
      <x:c r="B130" s="89"/>
      <x:c r="C130" s="89"/>
      <x:c r="D130" s="89"/>
      <x:c r="E130" s="89"/>
      <x:c r="F130" s="89"/>
      <x:c r="G130" s="89"/>
      <x:c r="H130" s="89"/>
      <x:c r="I130" s="89"/>
    </x:row>
    <x:row r="131">
      <x:c r="A131" s="89"/>
      <x:c r="B131" s="89"/>
      <x:c r="C131" s="89"/>
      <x:c r="D131" s="89"/>
      <x:c r="E131" s="89"/>
      <x:c r="F131" s="89"/>
      <x:c r="G131" s="89"/>
      <x:c r="H131" s="89"/>
      <x:c r="I131" s="89"/>
    </x:row>
    <x:row r="132">
      <x:c r="A132" s="89"/>
      <x:c r="B132" s="89"/>
      <x:c r="C132" s="89"/>
      <x:c r="D132" s="89"/>
      <x:c r="E132" s="89"/>
      <x:c r="F132" s="89"/>
      <x:c r="G132" s="89"/>
      <x:c r="H132" s="89"/>
      <x:c r="I132" s="89"/>
    </x:row>
    <x:row r="133">
      <x:c r="A133" s="89"/>
      <x:c r="B133" s="89"/>
      <x:c r="C133" s="89"/>
      <x:c r="D133" s="89"/>
      <x:c r="E133" s="89"/>
      <x:c r="F133" s="89"/>
      <x:c r="G133" s="89"/>
      <x:c r="H133" s="89"/>
      <x:c r="I133" s="89"/>
    </x:row>
    <x:row r="134">
      <x:c r="A134" s="89"/>
      <x:c r="B134" s="89"/>
      <x:c r="C134" s="89"/>
      <x:c r="D134" s="89"/>
      <x:c r="E134" s="89"/>
      <x:c r="F134" s="89"/>
      <x:c r="G134" s="89"/>
      <x:c r="H134" s="89"/>
      <x:c r="I134" s="89"/>
    </x:row>
    <x:row r="135">
      <x:c r="A135" s="89"/>
      <x:c r="B135" s="89"/>
      <x:c r="C135" s="89"/>
      <x:c r="D135" s="89"/>
      <x:c r="E135" s="89"/>
      <x:c r="F135" s="89"/>
      <x:c r="G135" s="89"/>
      <x:c r="H135" s="89"/>
      <x:c r="I135" s="89"/>
    </x:row>
    <x:row r="136">
      <x:c r="A136" s="89"/>
      <x:c r="B136" s="89"/>
      <x:c r="C136" s="89"/>
      <x:c r="D136" s="89"/>
      <x:c r="E136" s="89"/>
      <x:c r="F136" s="89"/>
      <x:c r="G136" s="89"/>
      <x:c r="H136" s="89"/>
      <x:c r="I136" s="89"/>
    </x:row>
    <x:row r="137">
      <x:c r="A137" s="89"/>
      <x:c r="B137" s="89"/>
      <x:c r="C137" s="89"/>
      <x:c r="D137" s="89"/>
      <x:c r="E137" s="89"/>
      <x:c r="F137" s="89"/>
      <x:c r="G137" s="89"/>
      <x:c r="H137" s="89"/>
      <x:c r="I137" s="89"/>
    </x:row>
    <x:row r="138">
      <x:c r="A138" s="89"/>
      <x:c r="B138" s="89"/>
      <x:c r="C138" s="89"/>
      <x:c r="D138" s="89"/>
      <x:c r="E138" s="89"/>
      <x:c r="F138" s="89"/>
      <x:c r="G138" s="89"/>
      <x:c r="H138" s="89"/>
      <x:c r="I138" s="89"/>
    </x:row>
    <x:row r="139">
      <x:c r="A139" s="89"/>
      <x:c r="B139" s="89"/>
      <x:c r="C139" s="89"/>
      <x:c r="D139" s="89"/>
      <x:c r="E139" s="89"/>
      <x:c r="F139" s="89"/>
      <x:c r="G139" s="89"/>
      <x:c r="H139" s="89"/>
      <x:c r="I139" s="89"/>
    </x:row>
    <x:row r="140">
      <x:c r="A140" s="89"/>
      <x:c r="B140" s="89"/>
      <x:c r="C140" s="89"/>
      <x:c r="D140" s="89"/>
      <x:c r="E140" s="89"/>
      <x:c r="F140" s="89"/>
      <x:c r="G140" s="89"/>
      <x:c r="H140" s="89"/>
      <x:c r="I140" s="89"/>
    </x:row>
    <x:row r="141">
      <x:c r="A141" s="89"/>
      <x:c r="B141" s="89"/>
      <x:c r="C141" s="89"/>
      <x:c r="D141" s="89"/>
      <x:c r="E141" s="89"/>
      <x:c r="F141" s="89"/>
      <x:c r="G141" s="89"/>
      <x:c r="H141" s="89"/>
      <x:c r="I141" s="89"/>
    </x:row>
    <x:row r="142">
      <x:c r="A142" s="89"/>
      <x:c r="B142" s="89"/>
      <x:c r="C142" s="89"/>
      <x:c r="D142" s="89"/>
      <x:c r="E142" s="89"/>
      <x:c r="F142" s="89"/>
      <x:c r="G142" s="89"/>
      <x:c r="H142" s="89"/>
      <x:c r="I142" s="89"/>
    </x:row>
    <x:row r="143">
      <x:c r="A143" s="89"/>
      <x:c r="B143" s="89"/>
      <x:c r="C143" s="89"/>
      <x:c r="D143" s="89"/>
      <x:c r="E143" s="89"/>
      <x:c r="F143" s="89"/>
      <x:c r="G143" s="89"/>
      <x:c r="H143" s="89"/>
      <x:c r="I143" s="89"/>
    </x:row>
    <x:row r="144">
      <x:c r="A144" s="89"/>
      <x:c r="B144" s="89"/>
      <x:c r="C144" s="89"/>
      <x:c r="D144" s="89"/>
      <x:c r="E144" s="89"/>
      <x:c r="F144" s="89"/>
      <x:c r="G144" s="89"/>
      <x:c r="H144" s="89"/>
      <x:c r="I144" s="89"/>
    </x:row>
    <x:row r="145">
      <x:c r="A145" s="89"/>
      <x:c r="B145" s="89"/>
      <x:c r="C145" s="89"/>
      <x:c r="D145" s="89"/>
      <x:c r="E145" s="89"/>
      <x:c r="F145" s="89"/>
      <x:c r="G145" s="89"/>
      <x:c r="H145" s="89"/>
      <x:c r="I145" s="89"/>
    </x:row>
    <x:row r="146">
      <x:c r="A146" s="89"/>
      <x:c r="B146" s="89"/>
      <x:c r="C146" s="89"/>
      <x:c r="D146" s="89"/>
      <x:c r="E146" s="89"/>
      <x:c r="F146" s="89"/>
      <x:c r="G146" s="89"/>
      <x:c r="H146" s="89"/>
      <x:c r="I146" s="89"/>
    </x:row>
    <x:row r="147">
      <x:c r="A147" s="89"/>
      <x:c r="B147" s="89"/>
      <x:c r="C147" s="89"/>
      <x:c r="D147" s="89"/>
      <x:c r="E147" s="89"/>
      <x:c r="F147" s="89"/>
      <x:c r="G147" s="89"/>
      <x:c r="H147" s="89"/>
      <x:c r="I147" s="89"/>
    </x:row>
    <x:row r="148">
      <x:c r="A148" s="89"/>
      <x:c r="B148" s="89"/>
      <x:c r="C148" s="89"/>
      <x:c r="D148" s="89"/>
      <x:c r="E148" s="89"/>
      <x:c r="F148" s="89"/>
      <x:c r="G148" s="89"/>
      <x:c r="H148" s="89"/>
      <x:c r="I148" s="89"/>
    </x:row>
    <x:row r="149">
      <x:c r="A149" s="89"/>
      <x:c r="B149" s="89"/>
      <x:c r="C149" s="89"/>
      <x:c r="D149" s="89"/>
      <x:c r="E149" s="89"/>
      <x:c r="F149" s="89"/>
      <x:c r="G149" s="89"/>
      <x:c r="H149" s="89"/>
      <x:c r="I149" s="89"/>
    </x:row>
    <x:row r="150">
      <x:c r="A150" s="89"/>
      <x:c r="B150" s="89"/>
      <x:c r="C150" s="89"/>
      <x:c r="D150" s="89"/>
      <x:c r="E150" s="89"/>
      <x:c r="F150" s="89"/>
      <x:c r="G150" s="89"/>
      <x:c r="H150" s="89"/>
      <x:c r="I150" s="89"/>
    </x:row>
    <x:row r="151">
      <x:c r="A151" s="89"/>
      <x:c r="B151" s="89"/>
      <x:c r="C151" s="89"/>
      <x:c r="D151" s="89"/>
      <x:c r="E151" s="89"/>
      <x:c r="F151" s="89"/>
      <x:c r="G151" s="89"/>
      <x:c r="H151" s="89"/>
      <x:c r="I151" s="89"/>
    </x:row>
    <x:row r="152">
      <x:c r="A152" s="89"/>
      <x:c r="B152" s="89"/>
      <x:c r="C152" s="89"/>
      <x:c r="D152" s="89"/>
      <x:c r="E152" s="89"/>
      <x:c r="F152" s="89"/>
      <x:c r="G152" s="89"/>
      <x:c r="H152" s="89"/>
      <x:c r="I152" s="89"/>
    </x:row>
    <x:row r="153">
      <x:c r="A153" s="89"/>
      <x:c r="B153" s="89"/>
      <x:c r="C153" s="89"/>
      <x:c r="D153" s="89"/>
      <x:c r="E153" s="89"/>
      <x:c r="F153" s="89"/>
      <x:c r="G153" s="89"/>
      <x:c r="H153" s="89"/>
      <x:c r="I153" s="89"/>
    </x:row>
    <x:row r="154">
      <x:c r="A154" s="89"/>
      <x:c r="B154" s="89"/>
      <x:c r="C154" s="89"/>
      <x:c r="D154" s="89"/>
      <x:c r="E154" s="89"/>
      <x:c r="F154" s="89"/>
      <x:c r="G154" s="89"/>
      <x:c r="H154" s="89"/>
      <x:c r="I154" s="89"/>
    </x:row>
    <x:row r="155">
      <x:c r="A155" s="89"/>
      <x:c r="B155" s="89"/>
      <x:c r="C155" s="89"/>
      <x:c r="D155" s="89"/>
      <x:c r="E155" s="89"/>
      <x:c r="F155" s="89"/>
      <x:c r="G155" s="89"/>
      <x:c r="H155" s="89"/>
      <x:c r="I155" s="89"/>
    </x:row>
    <x:row r="156">
      <x:c r="A156" s="89"/>
      <x:c r="B156" s="89"/>
      <x:c r="C156" s="89"/>
      <x:c r="D156" s="89"/>
      <x:c r="E156" s="89"/>
      <x:c r="F156" s="89"/>
      <x:c r="G156" s="89"/>
      <x:c r="H156" s="89"/>
      <x:c r="I156" s="89"/>
    </x:row>
    <x:row r="157">
      <x:c r="A157" s="89"/>
      <x:c r="B157" s="89"/>
      <x:c r="C157" s="89"/>
      <x:c r="D157" s="89"/>
      <x:c r="E157" s="89"/>
      <x:c r="F157" s="89"/>
      <x:c r="G157" s="89"/>
      <x:c r="H157" s="89"/>
      <x:c r="I157" s="89"/>
    </x:row>
    <x:row r="158">
      <x:c r="A158" s="89"/>
      <x:c r="B158" s="89"/>
      <x:c r="C158" s="89"/>
      <x:c r="D158" s="89"/>
      <x:c r="E158" s="89"/>
      <x:c r="F158" s="89"/>
      <x:c r="G158" s="89"/>
      <x:c r="H158" s="89"/>
      <x:c r="I158" s="89"/>
    </x:row>
    <x:row r="159">
      <x:c r="A159" s="89"/>
      <x:c r="B159" s="89"/>
      <x:c r="C159" s="89"/>
      <x:c r="D159" s="89"/>
      <x:c r="E159" s="89"/>
      <x:c r="F159" s="89"/>
      <x:c r="G159" s="89"/>
      <x:c r="H159" s="89"/>
      <x:c r="I159" s="89"/>
    </x:row>
    <x:row r="160">
      <x:c r="A160" s="89"/>
      <x:c r="B160" s="89"/>
      <x:c r="C160" s="89"/>
      <x:c r="D160" s="89"/>
      <x:c r="E160" s="89"/>
      <x:c r="F160" s="89"/>
      <x:c r="G160" s="89"/>
      <x:c r="H160" s="89"/>
      <x:c r="I160" s="89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b9e36e58d934f8e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51" hidden="0" customWidth="1"/>
    <x:col min="4" max="4" width="57" hidden="0" customWidth="1"/>
    <x:col min="5" max="5" width="62" hidden="0" customWidth="1"/>
    <x:col min="6" max="6" width="50" hidden="0" customWidth="1"/>
    <x:col min="7" max="7" width="15" hidden="0" customWidth="1"/>
  </x:cols>
  <x:sheetData>
    <x:row r="1" ht="38" customHeight="1">
      <x:c r="A1" s="365" t="str">
        <x:v>Диагностика поверхности и исправление дефектов</x:v>
      </x:c>
      <x:c r="B1" s="365"/>
      <x:c r="C1" s="365"/>
      <x:c r="D1" s="365"/>
      <x:c r="E1" s="365"/>
      <x:c r="F1" s="365"/>
      <x:c r="G1" s="365"/>
    </x:row>
    <x:row r="3" ht="42" customHeight="1">
      <x:c r="A3" s="373" t="str">
        <x:v>Проблема</x:v>
      </x:c>
      <x:c r="B3" s="373" t="str">
        <x:v>Где возникает</x:v>
      </x:c>
      <x:c r="C3" s="373" t="str">
        <x:v>Вероятная причина</x:v>
      </x:c>
      <x:c r="D3" s="373" t="str">
        <x:v>Исправление сейчас</x:v>
      </x:c>
      <x:c r="E3" s="373" t="str">
        <x:v>Профилактика</x:v>
      </x:c>
      <x:c r="F3" s="373" t="str">
        <x:v>Подходящие материалы коллекции</x:v>
      </x:c>
      <x:c r="G3" s="373" t="str">
        <x:v>Критичность</x:v>
      </x:c>
    </x:row>
    <x:row r="4">
      <x:c r="A4" s="89" t="str">
        <x:v>Зернистое сухое напыление</x:v>
      </x:c>
      <x:c r="B4" s="89" t="str">
        <x:v>Аэрограф</x:v>
      </x:c>
      <x:c r="C4" s="89" t="str">
        <x:v>Высокое PSI, большая дистанция, густая краска</x:v>
      </x:c>
      <x:c r="D4" s="89" t="str">
        <x:v>Слегка выровнять тонким слоем исходного цвета или фильтром</x:v>
      </x:c>
      <x:c r="E4" s="89" t="str">
        <x:v>Добавить thinner, приблизить аэрограф, снизить PSI</x:v>
      </x:c>
      <x:c r="F4" s="89" t="str">
        <x:v>Исходный Base/Air + thinner; Ink/Contrast filter</x:v>
      </x:c>
      <x:c r="G4" s="89" t="str">
        <x:v>Средняя</x:v>
      </x:c>
    </x:row>
    <x:row r="5">
      <x:c r="A5" s="89" t="str">
        <x:v>Паутина и растекание</x:v>
      </x:c>
      <x:c r="B5" s="89" t="str">
        <x:v>Аэрограф</x:v>
      </x:c>
      <x:c r="C5" s="89" t="str">
        <x:v>Слишком жидкая краска, высокое PSI, близкая дистанция</x:v>
      </x:c>
      <x:c r="D5" s="89" t="str">
        <x:v>Дать высохнуть и перекрыть базой</x:v>
      </x:c>
      <x:c r="E5" s="89" t="str">
        <x:v>Снизить давление/подачу, увеличить дистанцию или уменьшить thinner</x:v>
      </x:c>
      <x:c r="F5" s="89" t="str">
        <x:v>Исходная Base/Layer краска</x:v>
      </x:c>
      <x:c r="G5" s="89" t="str">
        <x:v>Средняя</x:v>
      </x:c>
    </x:row>
    <x:row r="6">
      <x:c r="A6" s="89" t="str">
        <x:v>Плевки</x:v>
      </x:c>
      <x:c r="B6" s="89" t="str">
        <x:v>Аэрограф</x:v>
      </x:c>
      <x:c r="C6" s="89" t="str">
        <x:v>Засохшая краска на игле, густая смесь, грязное сопло</x:v>
      </x:c>
      <x:c r="D6" s="89" t="str">
        <x:v>Остановиться, очистить иглу и проверить на бумаге</x:v>
      </x:c>
      <x:c r="E6" s="89" t="str">
        <x:v>Фильтровать густые Citadel и металлики, чистить между цветами</x:v>
      </x:c>
      <x:c r="F6" s="89" t="str">
        <x:v>Airbrush cleaner; совместимый thinner</x:v>
      </x:c>
      <x:c r="G6" s="89" t="str">
        <x:v>Высокая</x:v>
      </x:c>
    </x:row>
    <x:row r="7">
      <x:c r="A7" s="89" t="str">
        <x:v>Tip-dry</x:v>
      </x:c>
      <x:c r="B7" s="89" t="str">
        <x:v>Аэрограф</x:v>
      </x:c>
      <x:c r="C7" s="89" t="str">
        <x:v>Быстрое высыхание на кончике иглы</x:v>
      </x:c>
      <x:c r="D7" s="89" t="str">
        <x:v>Протереть иглу влажной кистью/салфеткой</x:v>
      </x:c>
      <x:c r="E7" s="89" t="str">
        <x:v>Небольшой Flow Improver, меньше времени без движения</x:v>
      </x:c>
      <x:c r="F7" s="89" t="str">
        <x:v>Thinner / Flow Improver при наличии</x:v>
      </x:c>
      <x:c r="G7" s="89" t="str">
        <x:v>Низкая</x:v>
      </x:c>
    </x:row>
    <x:row r="8">
      <x:c r="A8" s="89" t="str">
        <x:v>Градиент полосами</x:v>
      </x:c>
      <x:c r="B8" s="89" t="str">
        <x:v>Аэрограф</x:v>
      </x:c>
      <x:c r="C8" s="89" t="str">
        <x:v>Слишком мокрые отдельные проходы</x:v>
      </x:c>
      <x:c r="D8" s="89" t="str">
        <x:v>Объединить сильно прозрачным промежуточным цветом</x:v>
      </x:c>
      <x:c r="E8" s="89" t="str">
        <x:v>Больше быстрых полупрозрачных проходов</x:v>
      </x:c>
      <x:c r="F8" s="89" t="str">
        <x:v>Lahmian Medium, Ink, Contrast + Medium</x:v>
      </x:c>
      <x:c r="G8" s="89" t="str">
        <x:v>Средняя</x:v>
      </x:c>
    </x:row>
    <x:row r="9">
      <x:c r="A9" s="89" t="str">
        <x:v>Слишком широкое overspray</x:v>
      </x:c>
      <x:c r="B9" s="89" t="str">
        <x:v>Аэрограф</x:v>
      </x:c>
      <x:c r="C9" s="89" t="str">
        <x:v>Большая дистанция или высокая подача</x:v>
      </x:c>
      <x:c r="D9" s="89" t="str">
        <x:v>Вернуть базовый цвет соседней зоны</x:v>
      </x:c>
      <x:c r="E9" s="89" t="str">
        <x:v>Ближе, ниже PSI, маска-карточка</x:v>
      </x:c>
      <x:c r="F9" s="89" t="str">
        <x:v>Исходная базовая краска</x:v>
      </x:c>
      <x:c r="G9" s="89" t="str">
        <x:v>Средняя</x:v>
      </x:c>
    </x:row>
    <x:row r="10">
      <x:c r="A10" s="89" t="str">
        <x:v>Меловое высветление</x:v>
      </x:c>
      <x:c r="B10" s="89" t="str">
        <x:v>Кисть/drybrush</x:v>
      </x:c>
      <x:c r="C10" s="89" t="str">
        <x:v>Слишком много белого, сухой толстый слой</x:v>
      </x:c>
      <x:c r="D10" s="89" t="str">
        <x:v>Глазурь исходным насыщенным цветом</x:v>
      </x:c>
      <x:c r="E10" s="89" t="str">
        <x:v>Высветлять Pale Sand/Fenrisian/Flayed вместо чистого White</x:v>
      </x:c>
      <x:c r="F10" s="89" t="str">
        <x:v>Pale Sand, Fenrisian Grey, Flayed One Flesh, Inks</x:v>
      </x:c>
      <x:c r="G10" s="89" t="str">
        <x:v>Средняя</x:v>
      </x:c>
    </x:row>
    <x:row r="11">
      <x:c r="A11" s="89" t="str">
        <x:v>Грязный комплементарный переход</x:v>
      </x:c>
      <x:c r="B11" s="89" t="str">
        <x:v>Красный/жёлтый/оранжевый</x:v>
      </x:c>
      <x:c r="C11" s="89" t="str">
        <x:v>Дополнительные цвета смешались мокрыми или широкими слоями</x:v>
      </x:c>
      <x:c r="D11" s="89" t="str">
        <x:v>Вернуть нейтральный средний цвет и перестроить переход</x:v>
      </x:c>
      <x:c r="E11" s="89" t="str">
        <x:v>Оставлять дополнительный цвет только в глубоких тенях</x:v>
      </x:c>
      <x:c r="F11" s="89" t="str">
        <x:v>Blood Red, Yellow, Orange Brown</x:v>
      </x:c>
      <x:c r="G11" s="89" t="str">
        <x:v>Высокая</x:v>
      </x:c>
    </x:row>
    <x:row r="12">
      <x:c r="A12" s="89" t="str">
        <x:v>Кольца от лессировки</x:v>
      </x:c>
      <x:c r="B12" s="89" t="str">
        <x:v>Glaze/Ink/Contrast</x:v>
      </x:c>
      <x:c r="C12" s="89" t="str">
        <x:v>Слишком много жидкости и высыхание края лужи</x:v>
      </x:c>
      <x:c r="D12" s="89" t="str">
        <x:v>Повторить тонкую глазурь на более широкой зоне</x:v>
      </x:c>
      <x:c r="E12" s="89" t="str">
        <x:v>Снимать излишек, вести кисть к тени, сушить слой полностью</x:v>
      </x:c>
      <x:c r="F12" s="89" t="str">
        <x:v>Lahmian/Contrast/Xpress Medium</x:v>
      </x:c>
      <x:c r="G12" s="89" t="str">
        <x:v>Средняя</x:v>
      </x:c>
    </x:row>
    <x:row r="13">
      <x:c r="A13" s="89" t="str">
        <x:v>Пятнистый Contrast</x:v>
      </x:c>
      <x:c r="B13" s="89" t="str">
        <x:v>Большая плоскость</x:v>
      </x:c>
      <x:c r="C13" s="89" t="str">
        <x:v>Повторный проход по подсыхающему слою</x:v>
      </x:c>
      <x:c r="D13" s="89" t="str">
        <x:v>После полного высыхания выровнять Base или аэрографным фильтром</x:v>
      </x:c>
      <x:c r="E13" s="89" t="str">
        <x:v>Работать секциями, держать живой край</x:v>
      </x:c>
      <x:c r="F13" s="89" t="str">
        <x:v>Contrast Medium, исходная Base</x:v>
      </x:c>
      <x:c r="G13" s="89" t="str">
        <x:v>Средняя</x:v>
      </x:c>
    </x:row>
    <x:row r="14">
      <x:c r="A14" s="89" t="str">
        <x:v>Металлик зернистый</x:v>
      </x:c>
      <x:c r="B14" s="89" t="str">
        <x:v>Аэрограф/кисть</x:v>
      </x:c>
      <x:c r="C14" s="89" t="str">
        <x:v>Плохое перемешивание, переразведение или сухое распыление</x:v>
      </x:c>
      <x:c r="D14" s="89" t="str">
        <x:v>Нанести тонкий слой хорошо перемешанного Metal Color</x:v>
      </x:c>
      <x:c r="E14" s="89" t="str">
        <x:v>Перемешивать, не переразбавлять, сопло 0,3–0,4+</x:v>
      </x:c>
      <x:c r="F14" s="89" t="str">
        <x:v>Vallejo Metal Color, Runefang, Leadbelcher</x:v>
      </x:c>
      <x:c r="G14" s="89" t="str">
        <x:v>Средняя</x:v>
      </x:c>
    </x:row>
    <x:row r="15">
      <x:c r="A15" s="89" t="str">
        <x:v>Флуоресцент тусклый</x:v>
      </x:c>
      <x:c r="B15" s="89" t="str">
        <x:v>OSL</x:v>
      </x:c>
      <x:c r="C15" s="89" t="str">
        <x:v>Тёмная подложка или слишком толстый слой</x:v>
      </x:c>
      <x:c r="D15" s="89" t="str">
        <x:v>Вернуть White и нанести Fluorescent заново</x:v>
      </x:c>
      <x:c r="E15" s="89" t="str">
        <x:v>Всегда светлая/белая основа</x:v>
      </x:c>
      <x:c r="F15" s="89" t="str">
        <x:v>White + Yellow/Green/Orange/Magenta Fluorescent</x:v>
      </x:c>
      <x:c r="G15" s="89" t="str">
        <x:v>Средняя</x:v>
      </x:c>
    </x:row>
    <x:row r="16">
      <x:c r="A16" s="89" t="str">
        <x:v>Лак побелел или замутнел</x:v>
      </x:c>
      <x:c r="B16" s="89" t="str">
        <x:v>Финиш</x:v>
      </x:c>
      <x:c r="C16" s="89" t="str">
        <x:v>Слишком мокрый слой, влажность, плохое перемешивание</x:v>
      </x:c>
      <x:c r="D16" s="89" t="str">
        <x:v>После полного высыхания иногда помогает тонкий Gloss/Satin; сначала тест</x:v>
      </x:c>
      <x:c r="E16" s="89" t="str">
        <x:v>Тонкие слои, подходящие условия, хорошо перемешивать</x:v>
      </x:c>
      <x:c r="F16" s="89" t="str">
        <x:v>Gloss, Satin, Matt Varnish</x:v>
      </x:c>
      <x:c r="G16" s="89" t="str">
        <x:v>Высокая</x:v>
      </x:c>
    </x:row>
    <x:row r="17">
      <x:c r="A17" s="89" t="str">
        <x:v>Металлик потерял блеск</x:v>
      </x:c>
      <x:c r="B17" s="89" t="str">
        <x:v>После матового лака</x:v>
      </x:c>
      <x:c r="C17" s="89" t="str">
        <x:v>Матовый лак рассеял отражение</x:v>
      </x:c>
      <x:c r="D17" s="89" t="str">
        <x:v>Вернуть Metal Varnish/Gloss или металлические кромки</x:v>
      </x:c>
      <x:c r="E17" s="89" t="str">
        <x:v>Маскировать металл или использовать Metal Varnish</x:v>
      </x:c>
      <x:c r="F17" s="89" t="str">
        <x:v>Metal Varnish, Silver, Runefang</x:v>
      </x:c>
      <x:c r="G17" s="89" t="str">
        <x:v>Средняя</x:v>
      </x:c>
    </x:row>
    <x:row r="18">
      <x:c r="A18" s="89" t="str">
        <x:v>Маска сорвала краску</x:v>
      </x:c>
      <x:c r="B18" s="89" t="str">
        <x:v>Камуфляж/полосы</x:v>
      </x:c>
      <x:c r="C18" s="89" t="str">
        <x:v>Слой не отверждён, слишком липкая маска, слабый грунт</x:v>
      </x:c>
      <x:c r="D18" s="89" t="str">
        <x:v>Выровнять и восстановить слои</x:v>
      </x:c>
      <x:c r="E18" s="89" t="str">
        <x:v>Дать высохнуть, снизить липкость ленты, снимать назад под углом</x:v>
      </x:c>
      <x:c r="F18" s="89" t="str">
        <x:v>Primer + исходные цвета</x:v>
      </x:c>
      <x:c r="G18" s="89" t="str">
        <x:v>Высокая</x:v>
      </x:c>
    </x:row>
    <x:row r="19">
      <x:c r="A19" s="89" t="str">
        <x:v>Подтёк под маской</x:v>
      </x:c>
      <x:c r="B19" s="89" t="str">
        <x:v>Жёсткий камуфляж</x:v>
      </x:c>
      <x:c r="C19" s="89" t="str">
        <x:v>Слишком мокрый слой или неплотный край</x:v>
      </x:c>
      <x:c r="D19" s="89" t="str">
        <x:v>Исправить базовым цветом кистью/аэрографом</x:v>
      </x:c>
      <x:c r="E19" s="89" t="str">
        <x:v>Первый проход почти сухой, распылять от края маски наружу</x:v>
      </x:c>
      <x:c r="F19" s="89" t="str">
        <x:v>Death Guard, Dark Sand, Medium Grey</x:v>
      </x:c>
      <x:c r="G19" s="89" t="str">
        <x:v>Низкая</x:v>
      </x:c>
    </x:row>
    <x:row r="20">
      <x:c r="A20" s="89" t="str">
        <x:v>Сколы слишком крупные</x:v>
      </x:c>
      <x:c r="B20" s="89" t="str">
        <x:v>Chipping Medium/губка</x:v>
      </x:c>
      <x:c r="C20" s="89" t="str">
        <x:v>Толстый Medium/верхний слой, крупная губка</x:v>
      </x:c>
      <x:c r="D20" s="89" t="str">
        <x:v>Разделить крупный скол точками базового цвета</x:v>
      </x:c>
      <x:c r="E20" s="89" t="str">
        <x:v>Тонкие слои, мелкопористая губка, короткое увлажнение</x:v>
      </x:c>
      <x:c r="F20" s="89" t="str">
        <x:v>Основной цвет, Deep Brown, Silver</x:v>
      </x:c>
      <x:c r="G20" s="89" t="str">
        <x:v>Средняя</x:v>
      </x:c>
    </x:row>
    <x:row r="21">
      <x:c r="A21" s="89" t="str">
        <x:v>Ржавчина выглядит оранжевой краской</x:v>
      </x:c>
      <x:c r="B21" s="89" t="str">
        <x:v>Weathering</x:v>
      </x:c>
      <x:c r="C21" s="89" t="str">
        <x:v>Один равномерный цвет</x:v>
      </x:c>
      <x:c r="D21" s="89" t="str">
        <x:v>Добавить Burnt Umber/Dark Rust и вернуть металл</x:v>
      </x:c>
      <x:c r="E21" s="89" t="str">
        <x:v>Работать пятнами разных размеров и температур</x:v>
      </x:c>
      <x:c r="F21" s="89" t="str">
        <x:v>Burnt Umber, Dark Rust, Light Rust, Rust Wash</x:v>
      </x:c>
      <x:c r="G21" s="89" t="str">
        <x:v>Средняя</x:v>
      </x:c>
    </x:row>
    <x:row r="22">
      <x:c r="A22" s="89" t="str">
        <x:v>Stippling выглядит конфетти</x:v>
      </x:c>
      <x:c r="B22" s="89" t="str">
        <x:v>Кожа/ткань/чешуя</x:v>
      </x:c>
      <x:c r="C22" s="89" t="str">
        <x:v>Точки одинаковы и равномерны</x:v>
      </x:c>
      <x:c r="D22" s="89" t="str">
        <x:v>Объединить тонкой глазурью и добавить кластеры</x:v>
      </x:c>
      <x:c r="E22" s="89" t="str">
        <x:v>Менять размер, плотность и цвет точек по свету</x:v>
      </x:c>
      <x:c r="F22" s="89" t="str">
        <x:v>Contrast/Ink glaze + исходные цвета</x:v>
      </x:c>
      <x:c r="G22" s="89" t="str">
        <x:v>Средняя</x:v>
      </x:c>
    </x:row>
    <x:row r="23">
      <x:c r="A23" s="89" t="str">
        <x:v>Мрамор выглядит паутиной</x:v>
      </x:c>
      <x:c r="B23" s="89" t="str">
        <x:v>Декоративный камень</x:v>
      </x:c>
      <x:c r="C23" s="89" t="str">
        <x:v>Равномерная толщина и слишком много прожилок</x:v>
      </x:c>
      <x:c r="D23" s="89" t="str">
        <x:v>Перекрыть часть прожилок полупрозрачной базой</x:v>
      </x:c>
      <x:c r="E23" s="89" t="str">
        <x:v>Ветвление, разрывы, разная толщина</x:v>
      </x:c>
      <x:c r="F23" s="89" t="str">
        <x:v>White Grey, Dark Reaper, Black, Payne Grey</x:v>
      </x:c>
      <x:c r="G23" s="89" t="str">
        <x:v>Средняя</x:v>
      </x:c>
    </x:row>
    <x:row r="24">
      <x:c r="A24" s="89" t="str">
        <x:v>Масло остаётся липким</x:v>
      </x:c>
      <x:c r="B24" s="89" t="str">
        <x:v>Oil wash/filter</x:v>
      </x:c>
      <x:c r="C24" s="89" t="str">
        <x:v>Толстый слой, медленный пигмент, мало времени</x:v>
      </x:c>
      <x:c r="D24" s="89" t="str">
        <x:v>Снять излишек и продолжить сушку; не лакировать</x:v>
      </x:c>
      <x:c r="E24" s="89" t="str">
        <x:v>Очень тонкий слой, хорошо отжатая кисть, несколько дней сушки</x:v>
      </x:c>
      <x:c r="F24" s="89" t="str">
        <x:v>Burnt Umber, Payne Grey, Lamp Black</x:v>
      </x:c>
      <x:c r="G24" s="89" t="str">
        <x:v>Высокая</x:v>
      </x:c>
    </x:row>
    <x:row r="25">
      <x:c r="A25" s="89" t="str">
        <x:v>Детали залиты краской</x:v>
      </x:c>
      <x:c r="B25" s="89" t="str">
        <x:v>Любая техника</x:v>
      </x:c>
      <x:c r="C25" s="89" t="str">
        <x:v>Толстые непрозрачные слои или лужи</x:v>
      </x:c>
      <x:c r="D25" s="89" t="str">
        <x:v>После высыхания осторожно восстановить углубления тенью</x:v>
      </x:c>
      <x:c r="E25" s="89" t="str">
        <x:v>2–3 тонких слоя, контролировать подачу аэрографа</x:v>
      </x:c>
      <x:c r="F25" s="89" t="str">
        <x:v>Base/Layer + соответствующий Shade</x:v>
      </x:c>
      <x:c r="G25" s="89" t="str">
        <x:v>Высокая</x:v>
      </x:c>
    </x:row>
    <x:row r="26">
      <x:c r="A26" s="89" t="str">
        <x:v>Всё выглядит одинаково глянцевым</x:v>
      </x:c>
      <x:c r="B26" s="89" t="str">
        <x:v>Финиш</x:v>
      </x:c>
      <x:c r="C26" s="89" t="str">
        <x:v>Gloss нанесён на всю модель</x:v>
      </x:c>
      <x:c r="D26" s="89" t="str">
        <x:v>После высыхания вернуть Matt на ткань/кожу/землю</x:v>
      </x:c>
      <x:c r="E26" s="89" t="str">
        <x:v>Разделять материалы локальными лаками</x:v>
      </x:c>
      <x:c r="F26" s="89" t="str">
        <x:v>Matt, Satin, Gloss, Metal Varnish</x:v>
      </x:c>
      <x:c r="G26" s="89" t="str">
        <x:v>Средняя</x:v>
      </x:c>
    </x:row>
    <x:row r="27">
      <x:c r="A27" s="89" t="str">
        <x:v>Дым выглядит камнем</x:v>
      </x:c>
      <x:c r="B27" s="89" t="str">
        <x:v>Дым</x:v>
      </x:c>
      <x:c r="C27" s="89" t="str">
        <x:v>Резкие линии и слишком контрастный drybrush</x:v>
      </x:c>
      <x:c r="D27" s="89" t="str">
        <x:v>Объединить Basilicanum/цветной Contrast glaze</x:v>
      </x:c>
      <x:c r="E27" s="89" t="str">
        <x:v>Использовать мягкие переходы и минимум чистого White</x:v>
      </x:c>
      <x:c r="F27" s="89" t="str">
        <x:v>Basilicanum Grey, Contrast Medium, greys</x:v>
      </x:c>
      <x:c r="G27" s="89" t="str">
        <x:v>Средняя</x:v>
      </x:c>
    </x:row>
    <x:row r="28">
      <x:c r="A28" s="89" t="str">
        <x:v>Призрак выглядит обычной тканью</x:v>
      </x:c>
      <x:c r="B28" s="89" t="str">
        <x:v>Эфирные эффекты</x:v>
      </x:c>
      <x:c r="C28" s="89" t="str">
        <x:v>Слишком тёмная непрозрачная база</x:v>
      </x:c>
      <x:c r="D28" s="89" t="str">
        <x:v>Вернуть White на большую площадь и повторить прозрачную тень</x:v>
      </x:c>
      <x:c r="E28" s="89" t="str">
        <x:v>Начинать с White Primer и сохранять светлые концы</x:v>
      </x:c>
      <x:c r="F28" s="89" t="str">
        <x:v>White, Frostheart, Hexwraith, Dreadful Visage</x:v>
      </x:c>
      <x:c r="G28" s="89" t="str">
        <x:v>Средняя</x:v>
      </x:c>
    </x:row>
    <x:row r="29">
      <x:c r="A29" s="89" t="str">
        <x:v>Термические полосы выглядят радугой</x:v>
      </x:c>
      <x:c r="B29" s="89" t="str">
        <x:v>Металл</x:v>
      </x:c>
      <x:c r="C29" s="89" t="str">
        <x:v>Слишком непрозрачные и одинаковые цветные кольца</x:v>
      </x:c>
      <x:c r="D29" s="89" t="str">
        <x:v>Сильно ослабить Metal/Ink glaze и вернуть Silver</x:v>
      </x:c>
      <x:c r="E29" s="89" t="str">
        <x:v>Перекрывать полосы, менять ширину и прозрачность</x:v>
      </x:c>
      <x:c r="F29" s="89" t="str">
        <x:v>Yellow/Violet/Blue Ink, Silver</x:v>
      </x:c>
      <x:c r="G29" s="89" t="str">
        <x:v>Средняя</x:v>
      </x:c>
    </x:row>
    <x:row r="30">
      <x:c r="A30" s="89" t="str">
        <x:v>Патина скрыла металл</x:v>
      </x:c>
      <x:c r="B30" s="89" t="str">
        <x:v>Бронза/медь</x:v>
      </x:c>
      <x:c r="C30" s="89" t="str">
        <x:v>Nihilakh нанесён сплошным слоем</x:v>
      </x:c>
      <x:c r="D30" s="89" t="str">
        <x:v>Вернуть bronze/copper и яркие металлические кромки</x:v>
      </x:c>
      <x:c r="E30" s="89" t="str">
        <x:v>Патина только в защищённых углублениях</x:v>
      </x:c>
      <x:c r="F30" s="89" t="str">
        <x:v>Nihilakh, Runelord Brass, Copper, Silver</x:v>
      </x:c>
      <x:c r="G30" s="89" t="str">
        <x:v>Средняя</x:v>
      </x:c>
    </x:row>
    <x:row r="31">
      <x:c r="A31" s="89" t="str">
        <x:v>Мокрая рана выглядит пластиковой</x:v>
      </x:c>
      <x:c r="B31" s="89" t="str">
        <x:v>Органика</x:v>
      </x:c>
      <x:c r="C31" s="89" t="str">
        <x:v>Большой равномерный Gloss без цветовой глубины</x:v>
      </x:c>
      <x:c r="D31" s="89" t="str">
        <x:v>Вернуть матовую кожу вокруг и отдельные белые glints</x:v>
      </x:c>
      <x:c r="E31" s="89" t="str">
        <x:v>Gloss только локально, тени красно-коричневые</x:v>
      </x:c>
      <x:c r="F31" s="89" t="str">
        <x:v>Carroburg, Blood/Viscera, White, Matt/Gloss</x:v>
      </x:c>
      <x:c r="G31" s="89" t="str">
        <x:v>Средняя</x:v>
      </x:c>
    </x:row>
    <x:row r="32">
      <x:c r="A32" s="89" t="str">
        <x:v>Кожа выглядит серой после высветлений</x:v>
      </x:c>
      <x:c r="B32" s="89" t="str">
        <x:v>Телесный</x:v>
      </x:c>
      <x:c r="C32" s="89" t="str">
        <x:v>Белый добавлялся прямо в тёмно-коричневую базу</x:v>
      </x:c>
      <x:c r="D32" s="89" t="str">
        <x:v>Вернуть Cadian/Bugman's/Brown Rose glaze</x:v>
      </x:c>
      <x:c r="E32" s="89" t="str">
        <x:v>Переходить через тёплые телесные промежуточные тона</x:v>
      </x:c>
      <x:c r="F32" s="89" t="str">
        <x:v>Bugman's Glow, Knight-Questor, Cadian, Brown Rose</x:v>
      </x:c>
      <x:c r="G32" s="89" t="str">
        <x:v>Средняя</x:v>
      </x:c>
    </x:row>
    <x:row r="33">
      <x:c r="A33" s="89" t="str">
        <x:v>Оливковая кожа выглядит зелёной</x:v>
      </x:c>
      <x:c r="B33" s="89" t="str">
        <x:v>Телесный</x:v>
      </x:c>
      <x:c r="C33" s="89" t="str">
        <x:v>Слишком много Death Guard Green</x:v>
      </x:c>
      <x:c r="D33" s="89" t="str">
        <x:v>Перекрыть Heavy Skintone/Cadian тонкими слоями</x:v>
      </x:c>
      <x:c r="E33" s="89" t="str">
        <x:v>Начинать с 3:1 skin:green и тестировать</x:v>
      </x:c>
      <x:c r="F33" s="89" t="str">
        <x:v>Heavy Skintone, Cadian, Guilliman Flesh</x:v>
      </x:c>
      <x:c r="G33" s="89" t="str">
        <x:v>Средняя</x:v>
      </x:c>
    </x:row>
    <x:row r="34">
      <x:c r="A34" s="89" t="str">
        <x:v>Татуировка выглядит наклейкой</x:v>
      </x:c>
      <x:c r="B34" s="89" t="str">
        <x:v>Лицо/freehand</x:v>
      </x:c>
      <x:c r="C34" s="89" t="str">
        <x:v>Одинаковая насыщенность и отсутствие телесной глазури</x:v>
      </x:c>
      <x:c r="D34" s="89" t="str">
        <x:v>Нанести очень тонкий основной skin tone поверх</x:v>
      </x:c>
      <x:c r="E34" s="89" t="str">
        <x:v>Менять насыщенность по свету и тени</x:v>
      </x:c>
      <x:c r="F34" s="89" t="str">
        <x:v>Blue Ink, Lahmian Medium, skin tones</x:v>
      </x:c>
      <x:c r="G34" s="89" t="str">
        <x:v>Средняя</x:v>
      </x:c>
    </x:row>
    <x:row r="35">
      <x:c r="A35" s="89" t="str">
        <x:v>Шахматная клетка расползается</x:v>
      </x:c>
      <x:c r="B35" s="89" t="str">
        <x:v>Freehand</x:v>
      </x:c>
      <x:c r="C35" s="89" t="str">
        <x:v>Заполнение без предварительной сетки</x:v>
      </x:c>
      <x:c r="D35" s="89" t="str">
        <x:v>Вернуть Grey/White и перестроить направляющие</x:v>
      </x:c>
      <x:c r="E35" s="89" t="str">
        <x:v>Сначала тонкая сетка, затем клетки через одну</x:v>
      </x:c>
      <x:c r="F35" s="89" t="str">
        <x:v>Medium Grey, White Grey, Black</x:v>
      </x:c>
      <x:c r="G35" s="89" t="str">
        <x:v>Средняя</x:v>
      </x:c>
    </x:row>
    <x:row r="36">
      <x:c r="A36" s="89" t="str">
        <x:v>Трафарет имеет размытый край</x:v>
      </x:c>
      <x:c r="B36" s="89" t="str">
        <x:v>Аэрограф</x:v>
      </x:c>
      <x:c r="C36" s="89" t="str">
        <x:v>Шаблон неплотно прилегает или слой слишком мокрый</x:v>
      </x:c>
      <x:c r="D36" s="89" t="str">
        <x:v>Исправить базой панели</x:v>
      </x:c>
      <x:c r="E36" s="89" t="str">
        <x:v>Низкая подача, перпендикулярное распыление, почти сухие проходы</x:v>
      </x:c>
      <x:c r="F36" s="89" t="str">
        <x:v>Базовый цвет панели</x:v>
      </x:c>
      <x:c r="G36" s="89" t="str">
        <x:v>Средняя</x:v>
      </x:c>
    </x:row>
    <x:row r="37">
      <x:c r="A37" s="89" t="str">
        <x:v>Потёк заканчивается резкой каплей</x:v>
      </x:c>
      <x:c r="B37" s="89" t="str">
        <x:v>Weathering</x:v>
      </x:c>
      <x:c r="C37" s="89" t="str">
        <x:v>Слишком густой цвет и отсутствие растяжки</x:v>
      </x:c>
      <x:c r="D37" s="89" t="str">
        <x:v>Влажной кистью смягчить нижний конец</x:v>
      </x:c>
      <x:c r="E37" s="89" t="str">
        <x:v>Сильнее разбавлять и усиливать только начало потёка</x:v>
      </x:c>
      <x:c r="F37" s="89" t="str">
        <x:v>Deep Brown, Rust, Burnt Umber</x:v>
      </x:c>
      <x:c r="G37" s="89" t="str">
        <x:v>Низкая</x:v>
      </x:c>
    </x:row>
    <x:row r="38">
      <x:c r="A38" s="89" t="str">
        <x:v>Дождевые дорожки выглядят нарисованными</x:v>
      </x:c>
      <x:c r="B38" s="89" t="str">
        <x:v>Weathering</x:v>
      </x:c>
      <x:c r="C38" s="89" t="str">
        <x:v>Светлые линии добавлены поверх чистой поверхности</x:v>
      </x:c>
      <x:c r="D38" s="89" t="str">
        <x:v>Нанести общий пылевой фильтр и частично вымыть линии</x:v>
      </x:c>
      <x:c r="E38" s="89" t="str">
        <x:v>Создавать чистый след удалением пыли</x:v>
      </x:c>
      <x:c r="F38" s="89" t="str">
        <x:v>Pale Sand, thinner, влажная кисть</x:v>
      </x:c>
      <x:c r="G38" s="89" t="str">
        <x:v>Средняя</x:v>
      </x:c>
    </x:row>
    <x:row r="39">
      <x:c r="A39" s="89" t="str">
        <x:v>Сколы не соответствуют цвету брони</x:v>
      </x:c>
      <x:c r="B39" s="89" t="str">
        <x:v>Повреждения</x:v>
      </x:c>
      <x:c r="C39" s="89" t="str">
        <x:v>Везде использован одинаковый светло-бежевый край</x:v>
      </x:c>
      <x:c r="D39" s="89" t="str">
        <x:v>Заменить край на светлый вариант основной брони</x:v>
      </x:c>
      <x:c r="E39" s="89" t="str">
        <x:v>Белая — White, чёрная — Eshin/Dawnstone, красная — Fire Dragon</x:v>
      </x:c>
      <x:c r="F39" s="89" t="str">
        <x:v>White, Eshin, Dawnstone, Fire Dragon</x:v>
      </x:c>
      <x:c r="G39" s="89" t="str">
        <x:v>Средняя</x:v>
      </x:c>
    </x:row>
    <x:row r="40">
      <x:c r="A40" s="89" t="str">
        <x:v>Crackle на льду не проявился</x:v>
      </x:c>
      <x:c r="B40" s="89" t="str">
        <x:v>Подставка</x:v>
      </x:c>
      <x:c r="C40" s="89" t="str">
        <x:v>Верхний цвет нанесён после высыхания Medium или слой слишком тонкий</x:v>
      </x:c>
      <x:c r="D40" s="89" t="str">
        <x:v>Повторить на новой тестовой зоне</x:v>
      </x:c>
      <x:c r="E40" s="89" t="str">
        <x:v>Верхний цвет наносить по влажному Crackle и выдерживать 24 часа</x:v>
      </x:c>
      <x:c r="F40" s="89" t="str">
        <x:v>Crackle Medium, White Grey, Frostheart</x:v>
      </x:c>
      <x:c r="G40" s="89" t="str">
        <x:v>Высокая</x:v>
      </x:c>
    </x:row>
    <x:row r="41">
      <x:c r="A41" s="89" t="str">
        <x:v>Black Lotus или Mystic Blue почти чёрные</x:v>
      </x:c>
      <x:c r="B41" s="89" t="str">
        <x:v>Xpress</x:v>
      </x:c>
      <x:c r="C41" s="89" t="str">
        <x:v>Недостаточно Medium или слишком тёмная подложка</x:v>
      </x:c>
      <x:c r="D41" s="89" t="str">
        <x:v>Вернуть светлый непрозрачный тон и повторить разбавленную glaze</x:v>
      </x:c>
      <x:c r="E41" s="89" t="str">
        <x:v>Grey Seer/White Grey и Xpress Medium 1:1–1:5</x:v>
      </x:c>
      <x:c r="F41" s="89" t="str">
        <x:v>Black Lotus, Mystic Blue, Xpress Medium</x:v>
      </x:c>
      <x:c r="G41" s="89" t="str">
        <x:v>Средняя</x:v>
      </x:c>
    </x:row>
    <x:row r="42">
      <x:c r="A42" s="89" t="str">
        <x:v>Xpress образовал кольца</x:v>
      </x:c>
      <x:c r="B42" s="89" t="str">
        <x:v>Большая плоскость</x:v>
      </x:c>
      <x:c r="C42" s="89" t="str">
        <x:v>Лужа и повторный проход по подсыхающему слою</x:v>
      </x:c>
      <x:c r="D42" s="89" t="str">
        <x:v>Высушить, выровнять непрозрачным средним тоном и нанести glaze</x:v>
      </x:c>
      <x:c r="E42" s="89" t="str">
        <x:v>Работать секциями и снимать излишек</x:v>
      </x:c>
      <x:c r="F42" s="89" t="str">
        <x:v>Xpress Medium, Ahriman/Phoenician</x:v>
      </x:c>
      <x:c r="G42" s="89" t="str">
        <x:v>Средняя</x:v>
      </x:c>
    </x:row>
    <x:row r="43">
      <x:c r="A43" s="89" t="str">
        <x:v>Dry metallic выглядит пылью</x:v>
      </x:c>
      <x:c r="B43" s="89" t="str">
        <x:v>Металл</x:v>
      </x:c>
      <x:c r="C43" s="89" t="str">
        <x:v>Слишком сухая загрузка или применение на гладкой панели</x:v>
      </x:c>
      <x:c r="D43" s="89" t="str">
        <x:v>Вернуть тонкий обычный металлик на кромки</x:v>
      </x:c>
      <x:c r="E43" s="89" t="str">
        <x:v>Dry только по выраженному рельефу, меньше проходов</x:v>
      </x:c>
      <x:c r="F43" s="89" t="str">
        <x:v>Golden Griffon, Necron Compound, Metal Color</x:v>
      </x:c>
      <x:c r="G43" s="89" t="str">
        <x:v>Средняя</x:v>
      </x:c>
    </x:row>
    <x:row r="44">
      <x:c r="A44" s="89" t="str">
        <x:v>Mordant Earth почти не растрескался</x:v>
      </x:c>
      <x:c r="B44" s="89" t="str">
        <x:v>Подставка</x:v>
      </x:c>
      <x:c r="C44" s="89" t="str">
        <x:v>Слишком тонкий слой или слабая разница толщины</x:v>
      </x:c>
      <x:c r="D44" s="89" t="str">
        <x:v>Повторить на новой зоне более плотным слоем</x:v>
      </x:c>
      <x:c r="E44" s="89" t="str">
        <x:v>Яркий подслой высушить, Mordant наносить достаточно обильно</x:v>
      </x:c>
      <x:c r="F44" s="89" t="str">
        <x:v>Mordant Earth, Magmadroth/Warp Lightning</x:v>
      </x:c>
      <x:c r="G44" s="89" t="str">
        <x:v>Высокая</x:v>
      </x:c>
    </x:row>
    <x:row r="45">
      <x:c r="A45" s="89" t="str">
        <x:v>Светящиеся трещины тусклые</x:v>
      </x:c>
      <x:c r="B45" s="89" t="str">
        <x:v>Лава/токсичная земля</x:v>
      </x:c>
      <x:c r="C45" s="89" t="str">
        <x:v>Тёмный подслой или отсутствие White/Fluorescent</x:v>
      </x:c>
      <x:c r="D45" s="89" t="str">
        <x:v>Локально вернуть White в трещины и покрыть прозрачным ярким цветом</x:v>
      </x:c>
      <x:c r="E45" s="89" t="str">
        <x:v>White под самым горячим центром</x:v>
      </x:c>
      <x:c r="F45" s="89" t="str">
        <x:v>White, Fluorescent, Magmadroth, Striking Scorpion</x:v>
      </x:c>
      <x:c r="G45" s="89" t="str">
        <x:v>Средняя</x:v>
      </x:c>
    </x:row>
    <x:row r="46">
      <x:c r="A46" s="89" t="str">
        <x:v>Снег выглядит меловой краской</x:v>
      </x:c>
      <x:c r="B46" s="89" t="str">
        <x:v>Подставка</x:v>
      </x:c>
      <x:c r="C46" s="89" t="str">
        <x:v>Нет объёмной фактуры и различия теней</x:v>
      </x:c>
      <x:c r="D46" s="89" t="str">
        <x:v>Добавить Light Earth рельеф на новой зоне или Frostheart в глубину</x:v>
      </x:c>
      <x:c r="E46" s="89" t="str">
        <x:v>Строить высоту до белой окраски</x:v>
      </x:c>
      <x:c r="F46" s="89" t="str">
        <x:v>Light Earth, Bonewhite, Frostheart, White</x:v>
      </x:c>
      <x:c r="G46" s="89" t="str">
        <x:v>Средняя</x:v>
      </x:c>
    </x:row>
    <x:row r="47">
      <x:c r="A47" s="89" t="str">
        <x:v>Тающий снег выглядит сухим</x:v>
      </x:c>
      <x:c r="B47" s="89" t="str">
        <x:v>Подставка</x:v>
      </x:c>
      <x:c r="C47" s="89" t="str">
        <x:v>Одинаковый Matt-финиш</x:v>
      </x:c>
      <x:c r="D47" s="89" t="str">
        <x:v>Локально добавить Agrax Gloss/Gloss Varnish у земли</x:v>
      </x:c>
      <x:c r="E47" s="89" t="str">
        <x:v>Разделять сухие верхушки и мокрые нижние зоны</x:v>
      </x:c>
      <x:c r="F47" s="89" t="str">
        <x:v>Agrax Earthshade Gloss, Gloss Varnish</x:v>
      </x:c>
      <x:c r="G47" s="89" t="str">
        <x:v>Низкая</x:v>
      </x:c>
    </x:row>
    <x:row r="48">
      <x:c r="A48" s="89" t="str">
        <x:v>Пепел выглядит обычным камнем</x:v>
      </x:c>
      <x:c r="B48" s="89" t="str">
        <x:v>Подставка</x:v>
      </x:c>
      <x:c r="C48" s="89" t="str">
        <x:v>Слишком резкий светлый drybrush</x:v>
      </x:c>
      <x:c r="D48" s="89" t="str">
        <x:v>Объединить Basilicanum Grey glaze и добавить Lamp Black в глубину</x:v>
      </x:c>
      <x:c r="E48" s="89" t="str">
        <x:v>Мягкие серые переходы и минимум White</x:v>
      </x:c>
      <x:c r="F48" s="89" t="str">
        <x:v>Basilicanum, Sea Grey, Lamp Black</x:v>
      </x:c>
      <x:c r="G48" s="89" t="str">
        <x:v>Средняя</x:v>
      </x:c>
    </x:row>
    <x:row r="49">
      <x:c r="A49" s="89" t="str">
        <x:v>NMM выглядит пластиком</x:v>
      </x:c>
      <x:c r="B49" s="89" t="str">
        <x:v>NMM</x:v>
      </x:c>
      <x:c r="C49" s="89" t="str">
        <x:v>Слишком плавный равномерный градиент и мало White/Black</x:v>
      </x:c>
      <x:c r="D49" s="89" t="str">
        <x:v>Усилить самые тёмные и белые отражения</x:v>
      </x:c>
      <x:c r="E49" s="89" t="str">
        <x:v>Сначала нарисовать карту крайних значений</x:v>
      </x:c>
      <x:c r="F49" s="89" t="str">
        <x:v>Black, White, White Grey, основные средние тона</x:v>
      </x:c>
      <x:c r="G49" s="89" t="str">
        <x:v>Высокая</x:v>
      </x:c>
    </x:row>
    <x:row r="50">
      <x:c r="A50" s="89" t="str">
        <x:v>NMM выглядит камнем</x:v>
      </x:c>
      <x:c r="B50" s="89" t="str">
        <x:v>NMM</x:v>
      </x:c>
      <x:c r="C50" s="89" t="str">
        <x:v>Разбитая фактура и отсутствие чистых отражённых линий</x:v>
      </x:c>
      <x:c r="D50" s="89" t="str">
        <x:v>Сгладить отдельные зоны glaze и добавить резкие отражения</x:v>
      </x:c>
      <x:c r="E50" s="89" t="str">
        <x:v>Не использовать stippling на полированном металле</x:v>
      </x:c>
      <x:c r="F50" s="89" t="str">
        <x:v>Lahmian Medium, White Grey, White</x:v>
      </x:c>
      <x:c r="G50" s="89" t="str">
        <x:v>Средняя</x:v>
      </x:c>
    </x:row>
    <x:row r="51">
      <x:c r="A51" s="89" t="str">
        <x:v>NMM-золото выглядит жёлтой тканью</x:v>
      </x:c>
      <x:c r="B51" s="89" t="str">
        <x:v>NMM gold</x:v>
      </x:c>
      <x:c r="C51" s="89" t="str">
        <x:v>Мало тёмно-коричневого и белого</x:v>
      </x:c>
      <x:c r="D51" s="89" t="str">
        <x:v>Вернуть Deep Brown и чистые White accents</x:v>
      </x:c>
      <x:c r="E51" s="89" t="str">
        <x:v>Жёлтый занимает среднюю, а не всю площадь</x:v>
      </x:c>
      <x:c r="F51" s="89" t="str">
        <x:v>Deep Brown, Orange Brown, Yellow, Pale Sand, White</x:v>
      </x:c>
      <x:c r="G51" s="89" t="str">
        <x:v>Высокая</x:v>
      </x:c>
    </x:row>
    <x:row r="52">
      <x:c r="A52" s="89" t="str">
        <x:v>SENMM не читается</x:v>
      </x:c>
      <x:c r="B52" s="89" t="str">
        <x:v>Хром/клинок</x:v>
      </x:c>
      <x:c r="C52" s="89" t="str">
        <x:v>Нет резкой линии горизонта или тёпло-холодного разделения</x:v>
      </x:c>
      <x:c r="D52" s="89" t="str">
        <x:v>Восстановить White horizon и разделить blue/brown fields</x:v>
      </x:c>
      <x:c r="E52" s="89" t="str">
        <x:v>Планировать отражение до переходов</x:v>
      </x:c>
      <x:c r="F52" s="89" t="str">
        <x:v>Dark Prussian, Lothern, White, Gorthor, Pale Sand</x:v>
      </x:c>
      <x:c r="G52" s="89" t="str">
        <x:v>Высокая</x:v>
      </x:c>
    </x:row>
    <x:row r="53">
      <x:c r="A53" s="89" t="str">
        <x:v>Technical gemstone выглядит плоским</x:v>
      </x:c>
      <x:c r="B53" s="89" t="str">
        <x:v>Камень</x:v>
      </x:c>
      <x:c r="C53" s="89" t="str">
        <x:v>Нет тёмной половины, светлой дуги или противоположной точки</x:v>
      </x:c>
      <x:c r="D53" s="89" t="str">
        <x:v>Добавить геометрию отражения поверх высохшего Technical</x:v>
      </x:c>
      <x:c r="E53" s="89" t="str">
        <x:v>Silver base и единая схема отражения</x:v>
      </x:c>
      <x:c r="F53" s="89" t="str">
        <x:v>Runefang, Soulstone/Spiritstone/Waystone, White</x:v>
      </x:c>
      <x:c r="G53" s="89" t="str">
        <x:v>Средняя</x:v>
      </x:c>
    </x:row>
    <x:row r="54">
      <x:c r="A54" s="89" t="str">
        <x:v>Крыло выглядит непрозрачной тканью</x:v>
      </x:c>
      <x:c r="B54" s="89" t="str">
        <x:v>Прозрачная мембрана</x:v>
      </x:c>
      <x:c r="C54" s="89" t="str">
        <x:v>Слишком много непрозрачного цвета в центре</x:v>
      </x:c>
      <x:c r="D54" s="89" t="str">
        <x:v>Вернуть White Grey в центры сегментов и оставить цвет на краях</x:v>
      </x:c>
      <x:c r="E54" s="89" t="str">
        <x:v>Сохранять светлую подложку</x:v>
      </x:c>
      <x:c r="F54" s="89" t="str">
        <x:v>White Grey, Frostheart, Dreadful, Magos</x:v>
      </x:c>
      <x:c r="G54" s="89" t="str">
        <x:v>Средняя</x:v>
      </x:c>
    </x:row>
    <x:row r="55">
      <x:c r="A55" s="89" t="str">
        <x:v>Перламутр выглядит радужным</x:v>
      </x:c>
      <x:c r="B55" s="89" t="str">
        <x:v>Перламутр</x:v>
      </x:c>
      <x:c r="C55" s="89" t="str">
        <x:v>Слишком насыщенные цветные glaze</x:v>
      </x:c>
      <x:c r="D55" s="89" t="str">
        <x:v>Перекрыть White Grey сверхтонким слоем</x:v>
      </x:c>
      <x:c r="E55" s="89" t="str">
        <x:v>Цвет занимает малую долю почти белой поверхности</x:v>
      </x:c>
      <x:c r="F55" s="89" t="str">
        <x:v>White Grey, White, Contrast Medium</x:v>
      </x:c>
      <x:c r="G55" s="89" t="str">
        <x:v>Средняя</x:v>
      </x:c>
    </x:row>
    <x:row r="56">
      <x:c r="A56" s="89" t="str">
        <x:v>Agrellan выглядит обычной текстурой</x:v>
      </x:c>
      <x:c r="B56" s="89" t="str">
        <x:v>Crackle</x:v>
      </x:c>
      <x:c r="C56" s="89" t="str">
        <x:v>Слишком тонкий слой или слабая тёмная подложка</x:v>
      </x:c>
      <x:c r="D56" s="89" t="str">
        <x:v>Повторить более толстым слоем на новой зоне</x:v>
      </x:c>
      <x:c r="E56" s="89" t="str">
        <x:v>Подложка должна контрастировать и быть сухой</x:v>
      </x:c>
      <x:c r="F56" s="89" t="str">
        <x:v>Agrellan Earth/Badland, Deep Brown</x:v>
      </x:c>
      <x:c r="G56" s="89" t="str">
        <x:v>Средняя</x:v>
      </x:c>
    </x:row>
    <x:row r="57">
      <x:c r="A57" s="89" t="str">
        <x:v>Кровь выглядит красной краской</x:v>
      </x:c>
      <x:c r="B57" s="89" t="str">
        <x:v>Gore</x:v>
      </x:c>
      <x:c r="C57" s="89" t="str">
        <x:v>Один непрозрачный красный без глубины и финиша</x:v>
      </x:c>
      <x:c r="D57" s="89" t="str">
        <x:v>Добавить Deep Brown/Gory Red в старые зоны и Technical локально</x:v>
      </x:c>
      <x:c r="E57" s="89" t="str">
        <x:v>Разделять старую, свежую и мокрую кровь</x:v>
      </x:c>
      <x:c r="F57" s="89" t="str">
        <x:v>Deep Brown, Gory Red, AK Blood Red, Blood for the Blood God</x:v>
      </x:c>
      <x:c r="G57" s="89" t="str">
        <x:v>Средняя</x:v>
      </x:c>
    </x:row>
    <x:row r="58">
      <x:c r="A58" s="89" t="str">
        <x:v>Брызги выглядят конфетти</x:v>
      </x:c>
      <x:c r="B58" s="89" t="str">
        <x:v>Gore</x:v>
      </x:c>
      <x:c r="C58" s="89" t="str">
        <x:v>Одинаковый размер и равномерное распределение</x:v>
      </x:c>
      <x:c r="D58" s="89" t="str">
        <x:v>Объединить часть капель в направленную дугу и убрать лишние базой</x:v>
      </x:c>
      <x:c r="E58" s="89" t="str">
        <x:v>Плотное начало → мелкие редкие капли</x:v>
      </x:c>
      <x:c r="F58" s="89" t="str">
        <x:v>Основной цвет поверхности, Gory Red</x:v>
      </x:c>
      <x:c r="G58" s="89" t="str">
        <x:v>Средняя</x:v>
      </x:c>
    </x:row>
    <x:row r="59">
      <x:c r="A59" s="89" t="str">
        <x:v>Skin cloak выглядит тканью</x:v>
      </x:c>
      <x:c r="B59" s="89" t="str">
        <x:v>Органика</x:v>
      </x:c>
      <x:c r="C59" s="89" t="str">
        <x:v>Нет цветовых пятен, швов и локального мокрого финиша</x:v>
      </x:c>
      <x:c r="D59" s="89" t="str">
        <x:v>Добавить Dreadful/Carroburg glaze и skin-tone variation</x:v>
      </x:c>
      <x:c r="E59" s="89" t="str">
        <x:v>Разные андертоны при едином свете</x:v>
      </x:c>
      <x:c r="F59" s="89" t="str">
        <x:v>Rakarth, Sickly Pink, Dreadful, Carroburg</x:v>
      </x:c>
      <x:c r="G59" s="89" t="str">
        <x:v>Средняя</x:v>
      </x:c>
    </x:row>
    <x:row r="60">
      <x:c r="A60" s="89" t="str">
        <x:v>Oil wash окрасил всю панель</x:v>
      </x:c>
      <x:c r="B60" s="89" t="str">
        <x:v>Масла</x:v>
      </x:c>
      <x:c r="C60" s="89" t="str">
        <x:v>Матовый лак или слишком много масла</x:v>
      </x:c>
      <x:c r="D60" s="89" t="str">
        <x:v>Снять излишек разбавителем и восстановить Base</x:v>
      </x:c>
      <x:c r="E60" s="89" t="str">
        <x:v>Gloss для pin-wash, Satin для mapping, малое количество масла</x:v>
      </x:c>
      <x:c r="F60" s="89" t="str">
        <x:v>Gloss/Satin Varnish, Base paint</x:v>
      </x:c>
      <x:c r="G60" s="89" t="str">
        <x:v>Высокая</x:v>
      </x:c>
    </x:row>
    <x:row r="61">
      <x:c r="A61" s="89" t="str">
        <x:v>Масло не снимается</x:v>
      </x:c>
      <x:c r="B61" s="89" t="str">
        <x:v>Масла</x:v>
      </x:c>
      <x:c r="C61" s="89" t="str">
        <x:v>Слишком долгое ожидание или агрессивный слой без лака</x:v>
      </x:c>
      <x:c r="D61" s="89" t="str">
        <x:v>Очень осторожно работать разбавителем; прекратить при повреждении акрила</x:v>
      </x:c>
      <x:c r="E61" s="89" t="str">
        <x:v>Полностью отверждённый лак и тест времени</x:v>
      </x:c>
      <x:c r="F61" s="89" t="str">
        <x:v>Gloss/Satin Varnish</x:v>
      </x:c>
      <x:c r="G61" s="89" t="str">
        <x:v>Высокая</x:v>
      </x:c>
    </x:row>
    <x:row r="62">
      <x:c r="A62" s="89" t="str">
        <x:v>Три масла дали грязно-серый цвет</x:v>
      </x:c>
      <x:c r="B62" s="89" t="str">
        <x:v>Oil mapping</x:v>
      </x:c>
      <x:c r="C62" s="89" t="str">
        <x:v>Все точки смешаны одной кистью</x:v>
      </x:c>
      <x:c r="D62" s="89" t="str">
        <x:v>Снять часть смеси и повторить отдельными зонами</x:v>
      </x:c>
      <x:c r="E62" s="89" t="str">
        <x:v>Отдельная кисть/очистка для каждого цвета</x:v>
      </x:c>
      <x:c r="F62" s="89" t="str">
        <x:v>Burnt Umber, Payne Grey, Lamp Black</x:v>
      </x:c>
      <x:c r="G62" s="89" t="str">
        <x:v>Средняя</x:v>
      </x:c>
    </x:row>
    <x:row r="63">
      <x:c r="A63" s="89" t="str">
        <x:v>Digital camo выглядит шахматами</x:v>
      </x:c>
      <x:c r="B63" s="89" t="str">
        <x:v>Камуфляж</x:v>
      </x:c>
      <x:c r="C63" s="89" t="str">
        <x:v>Одинаковый размер и регулярный ритм блоков</x:v>
      </x:c>
      <x:c r="D63" s="89" t="str">
        <x:v>Соединить клетки в кластеры и добавить блоки другого размера</x:v>
      </x:c>
      <x:c r="E63" s="89" t="str">
        <x:v>Рисовать группы, а не сетку</x:v>
      </x:c>
      <x:c r="F63" s="89" t="str">
        <x:v>German Grey, Medium Grey, Sea Grey</x:v>
      </x:c>
      <x:c r="G63" s="89" t="str">
        <x:v>Средняя</x:v>
      </x:c>
    </x:row>
    <x:row r="64">
      <x:c r="A64" s="89" t="str">
        <x:v>Whitewash выглядит белой бронёй</x:v>
      </x:c>
      <x:c r="B64" s="89" t="str">
        <x:v>Камуфляж</x:v>
      </x:c>
      <x:c r="C64" s="89" t="str">
        <x:v>Слишком ровный укрывистый White и нет сколов</x:v>
      </x:c>
      <x:c r="D64" s="89" t="str">
        <x:v>Сколоть/перекрыть базой, добавить грязь и износ</x:v>
      </x:c>
      <x:c r="E64" s="89" t="str">
        <x:v>Тонкий неравномерный белый поверх Chipping Medium</x:v>
      </x:c>
      <x:c r="F64" s="89" t="str">
        <x:v>White Grey, White, базовый цвет, Deep Brown</x:v>
      </x:c>
      <x:c r="G64" s="89" t="str">
        <x:v>Средняя</x:v>
      </x:c>
    </x:row>
    <x:row r="65">
      <x:c r="A65" s="89" t="str">
        <x:v>Камуфляж уменьшает читаемость модели</x:v>
      </x:c>
      <x:c r="B65" s="89" t="str">
        <x:v>Камуфляж</x:v>
      </x:c>
      <x:c r="C65" s="89" t="str">
        <x:v>Слишком много мелких пятен и нет крупных цветовых масс</x:v>
      </x:c>
      <x:c r="D65" s="89" t="str">
        <x:v>Объединить часть узора прозрачным основным цветом</x:v>
      </x:c>
      <x:c r="E65" s="89" t="str">
        <x:v>Крупные → средние → мелкие элементы</x:v>
      </x:c>
      <x:c r="F65" s="89" t="str">
        <x:v>Соответствующий Contrast/Xpress filter</x:v>
      </x:c>
      <x:c r="G65" s="89" t="str">
        <x:v>Средняя</x:v>
      </x:c>
    </x:row>
    <x:row r="66">
      <x:c r="A66" s="89" t="str">
        <x:v>Граница stealth-поля похожа на полоску</x:v>
      </x:c>
      <x:c r="B66" s="89" t="str">
        <x:v>Эффекты</x:v>
      </x:c>
      <x:c r="C66" s="89" t="str">
        <x:v>Ровная линия и отсутствие разветвлений/узлов</x:v>
      </x:c>
      <x:c r="D66" s="89" t="str">
        <x:v>Разбить границу рваными сегментами, добавить White nodes и glow</x:v>
      </x:c>
      <x:c r="E66" s="89" t="str">
        <x:v>Проводить эффект через разные материалы и детали</x:v>
      </x:c>
      <x:c r="F66" s="89" t="str">
        <x:v>White Grey, Frostheart, Baharroth, White</x:v>
      </x:c>
      <x:c r="G66" s="89" t="str">
        <x:v>Средняя</x:v>
      </x:c>
    </x:row>
    <x:row r="67">
      <x:c r="A67" s="89" t="str">
        <x:v>Локальный лак образовал видимую ступень</x:v>
      </x:c>
      <x:c r="B67" s="89" t="str">
        <x:v>Финиш</x:v>
      </x:c>
      <x:c r="C67" s="89" t="str">
        <x:v>Толстый слой и жёсткая граница</x:v>
      </x:c>
      <x:c r="D67" s="89" t="str">
        <x:v>После высыхания смягчить очень тонким Satin на переходе</x:v>
      </x:c>
      <x:c r="E67" s="89" t="str">
        <x:v>Несколько тонких слоёв, границу размещать по материалу</x:v>
      </x:c>
      <x:c r="F67" s="89" t="str">
        <x:v>Satin Varnish</x:v>
      </x:c>
      <x:c r="G67" s="89" t="str">
        <x:v>Средняя</x:v>
      </x:c>
    </x:row>
    <x:row r="68">
      <x:c r="A68" s="89" t="str">
        <x:v>Модель имеет несколько равных фокусов</x:v>
      </x:c>
      <x:c r="B68" s="89" t="str">
        <x:v>Композиция</x:v>
      </x:c>
      <x:c r="C68" s="89" t="str">
        <x:v>Лицо, оружие, база и OSL одинаково яркие</x:v>
      </x:c>
      <x:c r="D68" s="89" t="str">
        <x:v>Приглушить вторичные зоны glaze и оставить один White maximum</x:v>
      </x:c>
      <x:c r="E68" s="89" t="str">
        <x:v>До цвета назначить главный и вторичный фокус</x:v>
      </x:c>
      <x:c r="F68" s="89" t="str">
        <x:v>Basilicanum/Garaghak filters, Base colours</x:v>
      </x:c>
      <x:c r="G68" s="89" t="str">
        <x:v>Высокая</x:v>
      </x:c>
    </x:row>
    <x:row r="69">
      <x:c r="A69" s="89" t="str">
        <x:v>Направленный свет стал симметричным</x:v>
      </x:c>
      <x:c r="B69" s="89" t="str">
        <x:v>Освещение</x:v>
      </x:c>
      <x:c r="C69" s="89" t="str">
        <x:v>Модель вращалась во время модуляции</x:v>
      </x:c>
      <x:c r="D69" s="89" t="str">
        <x:v>Вернуть Base на теневую сторону и перестроить свет</x:v>
      </x:c>
      <x:c r="E69" s="89" t="str">
        <x:v>Зафиксировать положение модели относительно источника</x:v>
      </x:c>
      <x:c r="F69" s="89" t="str">
        <x:v>Основной Base, тёмная тень</x:v>
      </x:c>
      <x:c r="G69" s="89" t="str">
        <x:v>Средняя</x:v>
      </x:c>
    </x:row>
    <x:row r="70">
      <x:c r="A70" s="89" t="str">
        <x:v>Rim light превратился в edge highlight</x:v>
      </x:c>
      <x:c r="B70" s="89" t="str">
        <x:v>Освещение</x:v>
      </x:c>
      <x:c r="C70" s="89" t="str">
        <x:v>Линия нанесена вокруг всей модели</x:v>
      </x:c>
      <x:c r="D70" s="89" t="str">
        <x:v>Перекрыть закрытые и противоположные кромки Base-цветом</x:v>
      </x:c>
      <x:c r="E70" s="89" t="str">
        <x:v>Красить только видимый силуэт со стороны источника</x:v>
      </x:c>
      <x:c r="F70" s="89" t="str">
        <x:v>Base colours, Black</x:v>
      </x:c>
      <x:c r="G70" s="89" t="str">
        <x:v>Средняя</x:v>
      </x:c>
    </x:row>
    <x:row r="71">
      <x:c r="A71" s="89" t="str">
        <x:v>Два источника дали фиолетовую модель</x:v>
      </x:c>
      <x:c r="B71" s="89" t="str">
        <x:v>Освещение</x:v>
      </x:c>
      <x:c r="C71" s="89" t="str">
        <x:v>Красный и синий перекрылись широкими мокрыми слоями</x:v>
      </x:c>
      <x:c r="D71" s="89" t="str">
        <x:v>Вернуть нейтральную тёмную зону между светами</x:v>
      </x:c>
      <x:c r="E71" s="89" t="str">
        <x:v>Работать с разных сторон малыми прозрачными проходами</x:v>
      </x:c>
      <x:c r="F71" s="89" t="str">
        <x:v>Base colour, Black, Red/Blue Ink</x:v>
      </x:c>
      <x:c r="G71" s="89" t="str">
        <x:v>Высокая</x:v>
      </x:c>
    </x:row>
    <x:row r="72">
      <x:c r="A72" s="89" t="str">
        <x:v>Bounce light слишком яркий</x:v>
      </x:c>
      <x:c r="B72" s="89" t="str">
        <x:v>Освещение</x:v>
      </x:c>
      <x:c r="C72" s="89" t="str">
        <x:v>Отражённый свет получил White и большую площадь</x:v>
      </x:c>
      <x:c r="D72" s="89" t="str">
        <x:v>Перекрыть Base и оставить слабую нижнюю glaze</x:v>
      </x:c>
      <x:c r="E72" s="89" t="str">
        <x:v>Источник всегда ярче отражения</x:v>
      </x:c>
      <x:c r="F72" s="89" t="str">
        <x:v>Base colour, Frostheart/Orange glaze</x:v>
      </x:c>
      <x:c r="G72" s="89" t="str">
        <x:v>Средняя</x:v>
      </x:c>
    </x:row>
    <x:row r="73">
      <x:c r="A73" s="89" t="str">
        <x:v>Лицо не читается как фокус</x:v>
      </x:c>
      <x:c r="B73" s="89" t="str">
        <x:v>Композиция</x:v>
      </x:c>
      <x:c r="C73" s="89" t="str">
        <x:v>Недостаток локального контраста и температуры</x:v>
      </x:c>
      <x:c r="D73" s="89" t="str">
        <x:v>Углубить глазницы, вернуть skin highlights и тёплые зоны</x:v>
      </x:c>
      <x:c r="E73" s="89" t="str">
        <x:v>Лицо на один уровень ярче соседних деталей</x:v>
      </x:c>
      <x:c r="F73" s="89" t="str">
        <x:v>Targor/Dreadful, skin tones, Carroburg</x:v>
      </x:c>
      <x:c r="G73" s="89" t="str">
        <x:v>Средняя</x:v>
      </x:c>
    </x:row>
    <x:row r="74">
      <x:c r="A74" s="89" t="str">
        <x:v>Edge highlights уничтожили аэрографный объём</x:v>
      </x:c>
      <x:c r="B74" s="89" t="str">
        <x:v>Броня</x:v>
      </x:c>
      <x:c r="C74" s="89" t="str">
        <x:v>Все кромки получили одинаковую светлую линию</x:v>
      </x:c>
      <x:c r="D74" s="89" t="str">
        <x:v>Приглушить нижние края glaze и сохранить максимум сверху</x:v>
      </x:c>
      <x:c r="E74" s="89" t="str">
        <x:v>Использовать селективную иерархию</x:v>
      </x:c>
      <x:c r="F74" s="89" t="str">
        <x:v>Основной colour glaze</x:v>
      </x:c>
      <x:c r="G74" s="89" t="str">
        <x:v>Средняя</x:v>
      </x:c>
    </x:row>
    <x:row r="75">
      <x:c r="A75" s="89" t="str">
        <x:v>Общий фильтр отряда заметно перекрасил модели</x:v>
      </x:c>
      <x:c r="B75" s="89" t="str">
        <x:v>Армия</x:v>
      </x:c>
      <x:c r="C75" s="89" t="str">
        <x:v>Слишком высокая насыщенность или мало Medium</x:v>
      </x:c>
      <x:c r="D75" s="89" t="str">
        <x:v>Вернуть чистые Base и highlights, повторить слабее</x:v>
      </x:c>
      <x:c r="E75" s="89" t="str">
        <x:v>Начинать с 1:15–1:20</x:v>
      </x:c>
      <x:c r="F75" s="89" t="str">
        <x:v>Ink/Contrast + Medium</x:v>
      </x:c>
      <x:c r="G75" s="89" t="str">
        <x:v>Средняя</x:v>
      </x:c>
    </x:row>
    <x:row r="76">
      <x:c r="A76" s="89" t="str">
        <x:v>Отряд выглядит как набор разных схем</x:v>
      </x:c>
      <x:c r="B76" s="89" t="str">
        <x:v>Армия</x:v>
      </x:c>
      <x:c r="C76" s="89" t="str">
        <x:v>Изменены несколько основных параметров одновременно</x:v>
      </x:c>
      <x:c r="D76" s="89" t="str">
        <x:v>Повторить faction colour и общий filter</x:v>
      </x:c>
      <x:c r="E76" s="89" t="str">
        <x:v>Варьировать только один вторичный акцент</x:v>
      </x:c>
      <x:c r="F76" s="89" t="str">
        <x:v>Faction Base/Ink</x:v>
      </x:c>
      <x:c r="G76" s="89" t="str">
        <x:v>Средняя</x:v>
      </x:c>
    </x:row>
    <x:row r="77">
      <x:c r="A77" s="89" t="str">
        <x:v>Тестовая ложка не совпала с моделью</x:v>
      </x:c>
      <x:c r="B77" s="89" t="str">
        <x:v>Контроль качества</x:v>
      </x:c>
      <x:c r="C77" s="89" t="str">
        <x:v>Другой грунт, материал или дистанция распыления</x:v>
      </x:c>
      <x:c r="D77" s="89" t="str">
        <x:v>Повторить тест на той же подложке и геометрии</x:v>
      </x:c>
      <x:c r="E77" s="89" t="str">
        <x:v>Фиксировать primer, nozzle, PSI, ratio и passes</x:v>
      </x:c>
      <x:c r="F77" s="89" t="str">
        <x:v>Лист «Тестовые карты»</x:v>
      </x:c>
      <x:c r="G77" s="89" t="str">
        <x:v>Средняя</x:v>
      </x:c>
    </x:row>
    <x:row r="78">
      <x:c r="A78" s="89" t="str">
        <x:v>Финальный контроль превратился в бесконечный ремонт</x:v>
      </x:c>
      <x:c r="B78" s="89" t="str">
        <x:v>Контроль качества</x:v>
      </x:c>
      <x:c r="C78" s="89" t="str">
        <x:v>Исправляются малозаметные зоны без приоритета</x:v>
      </x:c>
      <x:c r="D78" s="89" t="str">
        <x:v>Остановиться после трёх наиболее заметных исправлений</x:v>
      </x:c>
      <x:c r="E78" s="89" t="str">
        <x:v>Проверять на игровом расстоянии и в grayscale</x:v>
      </x:c>
      <x:c r="F78" s="89" t="str">
        <x:v>Рецепт 360</x:v>
      </x:c>
      <x:c r="G78" s="89" t="str">
        <x:v>Низкая</x:v>
      </x:c>
    </x:row>
    <x:row r="79">
      <x:c r="A79" s="89" t="str">
        <x:v>После сборки остался непрокрашенный участок</x:v>
      </x:c>
      <x:c r="B79" s="89" t="str">
        <x:v>Субсборка</x:v>
      </x:c>
      <x:c r="C79" s="89" t="str">
        <x:v>Зона не была проверена сухой примеркой</x:v>
      </x:c>
      <x:c r="D79" s="89" t="str">
        <x:v>Тонкой изогнутой кистью нанести тень и Base; не пытаться строить полный градиент</x:v>
      </x:c>
      <x:c r="E79" s="89" t="str">
        <x:v>До грунта проверить доступность со всех углов</x:v>
      </x:c>
      <x:c r="F79" s="89" t="str">
        <x:v>Base, Shade, тонкая кисть</x:v>
      </x:c>
      <x:c r="G79" s="89" t="str">
        <x:v>Средняя</x:v>
      </x:c>
    </x:row>
    <x:row r="80">
      <x:c r="A80" s="89" t="str">
        <x:v>Свет на крыле не совпадает с корпусом</x:v>
      </x:c>
      <x:c r="B80" s="89" t="str">
        <x:v>Субсборка</x:v>
      </x:c>
      <x:c r="C80" s="89" t="str">
        <x:v>Детали красились в разных ориентациях</x:v>
      </x:c>
      <x:c r="D80" s="89" t="str">
        <x:v>После сборки вернуть Base на неверной стороне и нанести общий directional glaze</x:v>
      </x:c>
      <x:c r="E80" s="89" t="str">
        <x:v>Перед финальными светами делать сухую сборку</x:v>
      </x:c>
      <x:c r="F80" s="89" t="str">
        <x:v>Base, midtone, transparent glaze</x:v>
      </x:c>
      <x:c r="G80" s="89" t="str">
        <x:v>Высокая</x:v>
      </x:c>
    </x:row>
    <x:row r="81">
      <x:c r="A81" s="89" t="str">
        <x:v>Маска сорвала лицо или мелкую деталь</x:v>
      </x:c>
      <x:c r="B81" s="89" t="str">
        <x:v>Маскирование</x:v>
      </x:c>
      <x:c r="C81" s="89" t="str">
        <x:v>Липкая лента прижата к тонкой окрашенной зоне</x:v>
      </x:c>
      <x:c r="D81" s="89" t="str">
        <x:v>Восстановить Base и highlights; проверить, не повреждён ли грунт</x:v>
      </x:c>
      <x:c r="E81" s="89" t="str">
        <x:v>Мягкая масса и карточка вместо ленты</x:v>
      </x:c>
      <x:c r="F81" s="89" t="str">
        <x:v>Skin Base/Highlights, Matt Varnish</x:v>
      </x:c>
      <x:c r="G81" s="89" t="str">
        <x:v>Высокая</x:v>
      </x:c>
    </x:row>
    <x:row r="82">
      <x:c r="A82" s="89" t="str">
        <x:v>На ткани осталась металлическая пыль</x:v>
      </x:c>
      <x:c r="B82" s="89" t="str">
        <x:v>Маскирование</x:v>
      </x:c>
      <x:c r="C82" s="89" t="str">
        <x:v>Ткань была недостаточно закрыта</x:v>
      </x:c>
      <x:c r="D82" s="89" t="str">
        <x:v>Перекрыть исходным матовым цветом и объединить glaze</x:v>
      </x:c>
      <x:c r="E82" s="89" t="str">
        <x:v>Закрывать большую площадь карточкой и массой</x:v>
      </x:c>
      <x:c r="F82" s="89" t="str">
        <x:v>Fabric Base, Medium, Matt Varnish</x:v>
      </x:c>
      <x:c r="G82" s="89" t="str">
        <x:v>Средняя</x:v>
      </x:c>
    </x:row>
    <x:row r="83">
      <x:c r="A83" s="89" t="str">
        <x:v>Декаль серебрится</x:v>
      </x:c>
      <x:c r="B83" s="89" t="str">
        <x:v>Декали</x:v>
      </x:c>
      <x:c r="C83" s="89" t="str">
        <x:v>Воздух под плёнкой или матовая основа</x:v>
      </x:c>
      <x:c r="D83" s="89" t="str">
        <x:v>Проколоть отдельный пузырь, прижать, запечатать Gloss</x:v>
      </x:c>
      <x:c r="E83" s="89" t="str">
        <x:v>Локальный Gloss перед переносом</x:v>
      </x:c>
      <x:c r="F83" s="89" t="str">
        <x:v>Gloss Varnish, Base colour</x:v>
      </x:c>
      <x:c r="G83" s="89" t="str">
        <x:v>Средняя</x:v>
      </x:c>
    </x:row>
    <x:row r="84">
      <x:c r="A84" s="89" t="str">
        <x:v>Декаль имеет видимую ступень</x:v>
      </x:c>
      <x:c r="B84" s="89" t="str">
        <x:v>Декали</x:v>
      </x:c>
      <x:c r="C84" s="89" t="str">
        <x:v>Толстая плёнка и отсутствие интеграции</x:v>
      </x:c>
      <x:c r="D84" s="89" t="str">
        <x:v>Glaze фона вокруг края и общий финиш</x:v>
      </x:c>
      <x:c r="E84" s="89" t="str">
        <x:v>Подрезать плёнку и запечатывать тонко</x:v>
      </x:c>
      <x:c r="F84" s="89" t="str">
        <x:v>Base + Medium, Matt/Satin</x:v>
      </x:c>
      <x:c r="G84" s="89" t="str">
        <x:v>Средняя</x:v>
      </x:c>
    </x:row>
    <x:row r="85">
      <x:c r="A85" s="89" t="str">
        <x:v>Декаль смялась на наплечнике</x:v>
      </x:c>
      <x:c r="B85" s="89" t="str">
        <x:v>Декали</x:v>
      </x:c>
      <x:c r="C85" s="89" t="str">
        <x:v>Плёнка не подрезана и прижата целиком</x:v>
      </x:c>
      <x:c r="D85" s="89" t="str">
        <x:v>После высыхания осторожно убрать выступ и дорисовать повреждённую часть</x:v>
      </x:c>
      <x:c r="E85" s="89" t="str">
        <x:v>Малые радиальные надрезы, прижимать от центра</x:v>
      </x:c>
      <x:c r="F85" s="89" t="str">
        <x:v>Base/freehand colours</x:v>
      </x:c>
      <x:c r="G85" s="89" t="str">
        <x:v>Высокая</x:v>
      </x:c>
    </x:row>
    <x:row r="86">
      <x:c r="A86" s="89" t="str">
        <x:v>Исправленная зона выглядит заплатой</x:v>
      </x:c>
      <x:c r="B86" s="89" t="str">
        <x:v>Коррекция</x:v>
      </x:c>
      <x:c r="C86" s="89" t="str">
        <x:v>Использован один толстый Base-слой без восстановления света</x:v>
      </x:c>
      <x:c r="D86" s="89" t="str">
        <x:v>Повторить средний тон, highlight и glaze на большей переходной области</x:v>
      </x:c>
      <x:c r="E86" s="89" t="str">
        <x:v>Всегда восстанавливать полную последовательность</x:v>
      </x:c>
      <x:c r="F86" s="89" t="str">
        <x:v>Base, mid, highlight, Medium</x:v>
      </x:c>
      <x:c r="G86" s="89" t="str">
        <x:v>Средняя</x:v>
      </x:c>
    </x:row>
    <x:row r="87">
      <x:c r="A87" s="89" t="str">
        <x:v>После ремонта изменилась матовость</x:v>
      </x:c>
      <x:c r="B87" s="89" t="str">
        <x:v>Коррекция</x:v>
      </x:c>
      <x:c r="C87" s="89" t="str">
        <x:v>Локальный лак слишком толстый или другого типа</x:v>
      </x:c>
      <x:c r="D87" s="89" t="str">
        <x:v>Тонко расширить подходящий Satin/Matt на переход</x:v>
      </x:c>
      <x:c r="E87" s="89" t="str">
        <x:v>Наносить несколько тонких слоёв</x:v>
      </x:c>
      <x:c r="F87" s="89" t="str">
        <x:v>Matt/Satin Varnish</x:v>
      </x:c>
      <x:c r="G87" s="89" t="str">
        <x:v>Низкая</x:v>
      </x:c>
    </x:row>
    <x:row r="88">
      <x:c r="A88" s="89" t="str">
        <x:v>Рецепт не повторяется на второй модели</x:v>
      </x:c>
      <x:c r="B88" s="89" t="str">
        <x:v>Контроль качества</x:v>
      </x:c>
      <x:c r="C88" s="89" t="str">
        <x:v>Не записаны реальные ratio, PSI, passes или время высыхания</x:v>
      </x:c>
      <x:c r="D88" s="89" t="str">
        <x:v>Повторить тест и внести параметры в журнал</x:v>
      </x:c>
      <x:c r="E88" s="89" t="str">
        <x:v>Заполнять тестовую карту сразу после сессии</x:v>
      </x:c>
      <x:c r="F88" s="89" t="str">
        <x:v>Тестовые карты/журнал</x:v>
      </x:c>
      <x:c r="G88" s="89" t="str">
        <x:v>Средняя</x:v>
      </x:c>
    </x:row>
    <x:row r="89">
      <x:c r="A89" s="89" t="str">
        <x:v>После масла кожа осталась коричнево-серой</x:v>
      </x:c>
      <x:c r="B89" s="89" t="str">
        <x:v>Крупный монстр</x:v>
      </x:c>
      <x:c r="C89" s="89" t="str">
        <x:v>Не восстановлен средний локальный цвет</x:v>
      </x:c>
      <x:c r="D89" s="89" t="str">
        <x:v>Вернуть skin base + Medium только на открытые плоскости</x:v>
      </x:c>
      <x:c r="E89" s="89" t="str">
        <x:v>После масла обязательно планировать midtone recovery</x:v>
      </x:c>
      <x:c r="F89" s="89" t="str">
        <x:v>Skin Base, Lahmian Medium</x:v>
      </x:c>
      <x:c r="G89" s="89" t="str">
        <x:v>Средняя</x:v>
      </x:c>
    </x:row>
    <x:row r="90">
      <x:c r="A90" s="89" t="str">
        <x:v>После восстановления исчезли масляные тени</x:v>
      </x:c>
      <x:c r="B90" s="89" t="str">
        <x:v>Крупный монстр</x:v>
      </x:c>
      <x:c r="C90" s="89" t="str">
        <x:v>Акрил нанесён на всю поверхность</x:v>
      </x:c>
      <x:c r="D90" s="89" t="str">
        <x:v>Повторно углубить отдельные складки glaze или oil pin-wash</x:v>
      </x:c>
      <x:c r="E90" s="89" t="str">
        <x:v>Работать сверху и оставлять углубления нетронутыми</x:v>
      </x:c>
      <x:c r="F90" s="89" t="str">
        <x:v>Shade/Ink/oil</x:v>
      </x:c>
      <x:c r="G90" s="89" t="str">
        <x:v>Высокая</x:v>
      </x:c>
    </x:row>
    <x:row r="91">
      <x:c r="A91" s="89" t="str">
        <x:v>Фактура кожи выглядит равномерной крапинкой</x:v>
      </x:c>
      <x:c r="B91" s="89" t="str">
        <x:v>Монстр</x:v>
      </x:c>
      <x:c r="C91" s="89" t="str">
        <x:v>Stippling одинаковой плотности</x:v>
      </x:c>
      <x:c r="D91" s="89" t="str">
        <x:v>Перекрыть часть точек skin glaze и собрать их в кластеры</x:v>
      </x:c>
      <x:c r="E91" s="89" t="str">
        <x:v>Менять плотность по свету и зонам тела</x:v>
      </x:c>
      <x:c r="F91" s="89" t="str">
        <x:v>Skin tone + Medium</x:v>
      </x:c>
      <x:c r="G91" s="89" t="str">
        <x:v>Средняя</x:v>
      </x:c>
    </x:row>
    <x:row r="92">
      <x:c r="A92" s="89" t="str">
        <x:v>Лицо теряется на большой модели</x:v>
      </x:c>
      <x:c r="B92" s="89" t="str">
        <x:v>Композиция</x:v>
      </x:c>
      <x:c r="C92" s="89" t="str">
        <x:v>Туловище и крылья имеют те же максимальные света</x:v>
      </x:c>
      <x:c r="D92" s="89" t="str">
        <x:v>Приглушить соседние зоны и усилить лицо на один уровень</x:v>
      </x:c>
      <x:c r="E92" s="89" t="str">
        <x:v>Назначить три уровня фокуса</x:v>
      </x:c>
      <x:c r="F92" s="89" t="str">
        <x:v>Skin highlights, Base glaze</x:v>
      </x:c>
      <x:c r="G92" s="89" t="str">
        <x:v>Высокая</x:v>
      </x:c>
    </x:row>
    <x:row r="93">
      <x:c r="A93" s="89" t="str">
        <x:v>Перепонка выглядит толстой резиной</x:v>
      </x:c>
      <x:c r="B93" s="89" t="str">
        <x:v>Крылья</x:v>
      </x:c>
      <x:c r="C93" s="89" t="str">
        <x:v>Центры сегментов слишком тёмные и непрозрачные</x:v>
      </x:c>
      <x:c r="D93" s="89" t="str">
        <x:v>Вернуть White Grey/skin light в центры и transparent glaze по краям</x:v>
      </x:c>
      <x:c r="E93" s="89" t="str">
        <x:v>Сохранять светлую подложку</x:v>
      </x:c>
      <x:c r="F93" s="89" t="str">
        <x:v>White Grey, Medium, membrane colour</x:v>
      </x:c>
      <x:c r="G93" s="89" t="str">
        <x:v>Средняя</x:v>
      </x:c>
    </x:row>
    <x:row r="94">
      <x:c r="A94" s="89" t="str">
        <x:v>Жилки крыла выглядят нарисованными сверху</x:v>
      </x:c>
      <x:c r="B94" s="89" t="str">
        <x:v>Крылья</x:v>
      </x:c>
      <x:c r="C94" s="89" t="str">
        <x:v>Тёмные линии не перекрыты цветом перепонки</x:v>
      </x:c>
      <x:c r="D94" s="89" t="str">
        <x:v>Нанести membrane glaze поверх жилок</x:v>
      </x:c>
      <x:c r="E94" s="89" t="str">
        <x:v>Рисовать жилки до финального прозрачного слоя</x:v>
      </x:c>
      <x:c r="F94" s="89" t="str">
        <x:v>Membrane colour + Medium</x:v>
      </x:c>
      <x:c r="G94" s="89" t="str">
        <x:v>Средняя</x:v>
      </x:c>
    </x:row>
    <x:row r="95">
      <x:c r="A95" s="89" t="str">
        <x:v>Вросшая броня стала красной целиком</x:v>
      </x:c>
      <x:c r="B95" s="89" t="str">
        <x:v>Материальный переход</x:v>
      </x:c>
      <x:c r="C95" s="89" t="str">
        <x:v>Воспалительный glaze попал на металл</x:v>
      </x:c>
      <x:c r="D95" s="89" t="str">
        <x:v>Вернуть metallic highlights и ограничить красный кожей</x:v>
      </x:c>
      <x:c r="E95" s="89" t="str">
        <x:v>Разделять материал маской/точной кистью</x:v>
      </x:c>
      <x:c r="F95" s="89" t="str">
        <x:v>TMM colours, Carroburg</x:v>
      </x:c>
      <x:c r="G95" s="89" t="str">
        <x:v>Средняя</x:v>
      </x:c>
    </x:row>
    <x:row r="96">
      <x:c r="A96" s="89" t="str">
        <x:v>Хитин не отличается от кожи</x:v>
      </x:c>
      <x:c r="B96" s="89" t="str">
        <x:v>Материалы</x:v>
      </x:c>
      <x:c r="C96" s="89" t="str">
        <x:v>Одинаковая фактура и Matt-финиш</x:v>
      </x:c>
      <x:c r="D96" s="89" t="str">
        <x:v>Добавить резкую reflected line и Satin/Gloss</x:v>
      </x:c>
      <x:c r="E96" s="89" t="str">
        <x:v>Хитин — гладкий, кожа — stippled</x:v>
      </x:c>
      <x:c r="F96" s="89" t="str">
        <x:v>White Grey, Satin/Gloss</x:v>
      </x:c>
      <x:c r="G96" s="89" t="str">
        <x:v>Средняя</x:v>
      </x:c>
    </x:row>
    <x:row r="97">
      <x:c r="A97" s="89" t="str">
        <x:v>Светящиеся трещины похожи на шрамы</x:v>
      </x:c>
      <x:c r="B97" s="89" t="str">
        <x:v>Эффекты</x:v>
      </x:c>
      <x:c r="C97" s="89" t="str">
        <x:v>Нет White core и цветного halo</x:v>
      </x:c>
      <x:c r="D97" s="89" t="str">
        <x:v>Добавить белую сердцевину и слабую прозрачную область вокруг</x:v>
      </x:c>
      <x:c r="E97" s="89" t="str">
        <x:v>Сердцевина всегда ярче окружающей кожи</x:v>
      </x:c>
      <x:c r="F97" s="89" t="str">
        <x:v>White, Contrast/Fluo, Medium</x:v>
      </x:c>
      <x:c r="G97" s="89" t="str">
        <x:v>Средняя</x:v>
      </x:c>
    </x:row>
    <x:row r="98">
      <x:c r="A98" s="89" t="str">
        <x:v>Локальные лаки на большой модели видны пятнами</x:v>
      </x:c>
      <x:c r="B98" s="89" t="str">
        <x:v>Финиш</x:v>
      </x:c>
      <x:c r="C98" s="89" t="str">
        <x:v>Толстые слои и границы внутри одного материала</x:v>
      </x:c>
      <x:c r="D98" s="89" t="str">
        <x:v>Расширить тонким Satin на переходе или повторить материал целиком</x:v>
      </x:c>
      <x:c r="E98" s="89" t="str">
        <x:v>Граница лака должна совпадать с границей материала</x:v>
      </x:c>
      <x:c r="F98" s="89" t="str">
        <x:v>Matt/Satin/Gloss/Metal Varnish</x:v>
      </x:c>
      <x:c r="G98" s="89" t="str">
        <x:v>Средняя</x:v>
      </x:c>
    </x:row>
    <x:row r="99">
      <x:c r="A99" s="89" t="str">
        <x:v>Торс выглядит уменьшенным и рябым</x:v>
      </x:c>
      <x:c r="B99" s="89" t="str">
        <x:v>Крупный монстр</x:v>
      </x:c>
      <x:c r="C99" s="89" t="str">
        <x:v>Высветления слишком мелкие и частые</x:v>
      </x:c>
      <x:c r="D99" s="89" t="str">
        <x:v>Объединить широким midtone glaze и восстановить большие световые массы</x:v>
      </x:c>
      <x:c r="E99" s="89" t="str">
        <x:v>На большой форме использовать крупные переходы</x:v>
      </x:c>
      <x:c r="F99" s="89" t="str">
        <x:v>Skin midtone + Medium</x:v>
      </x:c>
      <x:c r="G99" s="89" t="str">
        <x:v>Средняя</x:v>
      </x:c>
    </x:row>
    <x:row r="100">
      <x:c r="A100" s="89" t="str">
        <x:v>Мышцы обведены как комикс</x:v>
      </x:c>
      <x:c r="B100" s="89" t="str">
        <x:v>Анатомия</x:v>
      </x:c>
      <x:c r="C100" s="89" t="str">
        <x:v>Одинаковая тёмная линия между всеми группами</x:v>
      </x:c>
      <x:c r="D100" s="89" t="str">
        <x:v>Перекрыть часть линий midtone и оставить только глубокие разделения</x:v>
      </x:c>
      <x:c r="E100" s="89" t="str">
        <x:v>Тень зависит от анатомии и света</x:v>
      </x:c>
      <x:c r="F100" s="89" t="str">
        <x:v>Skin base, Targor/Dreadful</x:v>
      </x:c>
      <x:c r="G100" s="89" t="str">
        <x:v>Средняя</x:v>
      </x:c>
    </x:row>
    <x:row r="101">
      <x:c r="A101" s="89" t="str">
        <x:v>Брюхо ярче верхней части</x:v>
      </x:c>
      <x:c r="B101" s="89" t="str">
        <x:v>Countershade</x:v>
      </x:c>
      <x:c r="C101" s="89" t="str">
        <x:v>Локальный светлый цвет не подчинён ключевому свету</x:v>
      </x:c>
      <x:c r="D101" s="89" t="str">
        <x:v>Приглушить skin glaze и вернуть верхние highlights</x:v>
      </x:c>
      <x:c r="E101" s="89" t="str">
        <x:v>Локальная окраска и освещение работают одновременно</x:v>
      </x:c>
      <x:c r="F101" s="89" t="str">
        <x:v>Skin base, pale highlights</x:v>
      </x:c>
      <x:c r="G101" s="89" t="str">
        <x:v>Средняя</x:v>
      </x:c>
    </x:row>
    <x:row r="102">
      <x:c r="A102" s="89" t="str">
        <x:v>Крыло выглядит одинаково сверху и снизу</x:v>
      </x:c>
      <x:c r="B102" s="89" t="str">
        <x:v>Крылья</x:v>
      </x:c>
      <x:c r="C102" s="89" t="str">
        <x:v>Нет холодной теневой стороны</x:v>
      </x:c>
      <x:c r="D102" s="89" t="str">
        <x:v>Добавить Dreadful/Dark Prussian снизу и вернуть свет сверху</x:v>
      </x:c>
      <x:c r="E102" s="89" t="str">
        <x:v>Разделять ключевой и отражённый свет</x:v>
      </x:c>
      <x:c r="F102" s="89" t="str">
        <x:v>Dreadful, Dark Prussian, membrane colours</x:v>
      </x:c>
      <x:c r="G102" s="89" t="str">
        <x:v>Средняя</x:v>
      </x:c>
    </x:row>
    <x:row r="103">
      <x:c r="A103" s="89" t="str">
        <x:v>Повреждения крыла перегружают силуэт</x:v>
      </x:c>
      <x:c r="B103" s="89" t="str">
        <x:v>Крылья</x:v>
      </x:c>
      <x:c r="C103" s="89" t="str">
        <x:v>Слишком много разрывов и проколов</x:v>
      </x:c>
      <x:c r="D103" s="89" t="str">
        <x:v>Перекрыть часть membrane glaze и оставить 1–2 заметные зоны</x:v>
      </x:c>
      <x:c r="E103" s="89" t="str">
        <x:v>Повреждения концентрируются, а не распределяются равномерно</x:v>
      </x:c>
      <x:c r="F103" s="89" t="str">
        <x:v>Membrane colour + Medium</x:v>
      </x:c>
      <x:c r="G103" s="89" t="str">
        <x:v>Средняя</x:v>
      </x:c>
    </x:row>
    <x:row r="104">
      <x:c r="A104" s="89" t="str">
        <x:v>Полировка рога похожа на белую полосу</x:v>
      </x:c>
      <x:c r="B104" s="89" t="str">
        <x:v>Рога</x:v>
      </x:c>
      <x:c r="C104" s="89" t="str">
        <x:v>Блик слишком ровный и длинный</x:v>
      </x:c>
      <x:c r="D104" s="89" t="str">
        <x:v>Разбить линию, сузить Pale Sand/Pallid и оставить локальный Satin</x:v>
      </x:c>
      <x:c r="E104" s="89" t="str">
        <x:v>Полировка зависит от зоны трения</x:v>
      </x:c>
      <x:c r="F104" s="89" t="str">
        <x:v>Karak, Pale Sand, Satin</x:v>
      </x:c>
      <x:c r="G104" s="89" t="str">
        <x:v>Средняя</x:v>
      </x:c>
    </x:row>
    <x:row r="105">
      <x:c r="A105" s="89" t="str">
        <x:v>Отражение оружия перекрасило руку</x:v>
      </x:c>
      <x:c r="B105" s="89" t="str">
        <x:v>OSL/Reflection</x:v>
      </x:c>
      <x:c r="C105" s="89" t="str">
        <x:v>Цветная glaze слишком насыщенная и широкая</x:v>
      </x:c>
      <x:c r="D105" s="89" t="str">
        <x:v>Вернуть skin tone от внешнего края и оставить свет на обращённой стороне</x:v>
      </x:c>
      <x:c r="E105" s="89" t="str">
        <x:v>Отражение слабее источника</x:v>
      </x:c>
      <x:c r="F105" s="89" t="str">
        <x:v>Skin tone + Medium</x:v>
      </x:c>
      <x:c r="G105" s="89" t="str">
        <x:v>Средняя</x:v>
      </x:c>
    </x:row>
    <x:row r="106">
      <x:c r="A106" s="89" t="str">
        <x:v>Подставка конкурирует с моделью</x:v>
      </x:c>
      <x:c r="B106" s="89" t="str">
        <x:v>Композиция</x:v>
      </x:c>
      <x:c r="C106" s="89" t="str">
        <x:v>На базе слишком много White и насыщенного glow</x:v>
      </x:c>
      <x:c r="D106" s="89" t="str">
        <x:v>Приглушить Base/grey glaze, оставить White только в малых узлах</x:v>
      </x:c>
      <x:c r="E106" s="89" t="str">
        <x:v>База — третичный уровень внимания</x:v>
      </x:c>
      <x:c r="F106" s="89" t="str">
        <x:v>Grey/Base glaze</x:v>
      </x:c>
      <x:c r="G106" s="89" t="str">
        <x:v>Высокая</x:v>
      </x:c>
    </x:row>
    <x:row r="107">
      <x:c r="A107" s="89" t="str">
        <x:v>Сессия закончилась без понятного результата</x:v>
      </x:c>
      <x:c r="B107" s="89" t="str">
        <x:v>Проект</x:v>
      </x:c>
      <x:c r="C107" s="89" t="str">
        <x:v>Не был задан критерий остановки</x:v>
      </x:c>
      <x:c r="D107" s="89" t="str">
        <x:v>Записать один измеримый результат и повторить фото</x:v>
      </x:c>
      <x:c r="E107" s="89" t="str">
        <x:v>Использовать лист «Сессии демон-принца»</x:v>
      </x:c>
      <x:c r="F107" s="89" t="str">
        <x:v>Session plan</x:v>
      </x:c>
      <x:c r="G107" s="89" t="str">
        <x:v>Низкая</x:v>
      </x:c>
    </x:row>
    <x:row r="108">
      <x:c r="A108" s="89" t="str">
        <x:v>Статус проекта не совпадает с фактической работой</x:v>
      </x:c>
      <x:c r="B108" s="89" t="str">
        <x:v>Проект</x:v>
      </x:c>
      <x:c r="C108" s="89" t="str">
        <x:v>Этап не обновлён после сессии</x:v>
      </x:c>
      <x:c r="D108" s="89" t="str">
        <x:v>Обновить статус G и фактический результат H</x:v>
      </x:c>
      <x:c r="E108" s="89" t="str">
        <x:v>Закрывать сессию записью и фотографией</x:v>
      </x:c>
      <x:c r="F108" s="89" t="str">
        <x:v>Project sheet</x:v>
      </x:c>
      <x:c r="G108" s="89" t="str">
        <x:v>Низкая</x:v>
      </x:c>
    </x:row>
    <x:row r="109">
      <x:c r="A109" s="89" t="str">
        <x:v>Акрил отталкивается от масляной поверхности</x:v>
      </x:c>
      <x:c r="B109" s="89" t="str">
        <x:v>S01</x:v>
      </x:c>
      <x:c r="C109" s="89" t="str">
        <x:v>Масло/разбавитель не высох или поверхность слишком жирная</x:v>
      </x:c>
      <x:c r="D109" s="89" t="str">
        <x:v>Остановиться и дать дополнительное время; повторить скрытый тест</x:v>
      </x:c>
      <x:c r="E109" s="89" t="str">
        <x:v>Проверять сцепление до торса</x:v>
      </x:c>
      <x:c r="F109" s="89" t="str">
        <x:v>Рецепты 474–476</x:v>
      </x:c>
      <x:c r="G109" s="89" t="str">
        <x:v>Высокая</x:v>
      </x:c>
    </x:row>
    <x:row r="110">
      <x:c r="A110" s="89" t="str">
        <x:v>Skin glaze затекла в масляную тень</x:v>
      </x:c>
      <x:c r="B110" s="89" t="str">
        <x:v>S01</x:v>
      </x:c>
      <x:c r="C110" s="89" t="str">
        <x:v>Кисть перегружена жидкостью</x:v>
      </x:c>
      <x:c r="D110" s="89" t="str">
        <x:v>Снять излишек чистой кистью; после высыхания вернуть тень</x:v>
      </x:c>
      <x:c r="E110" s="89" t="str">
        <x:v>Снимать краску с кисти до прозрачного следа</x:v>
      </x:c>
      <x:c r="F110" s="89" t="str">
        <x:v>Рецепт 472; Targor/Dreadful</x:v>
      </x:c>
      <x:c r="G110" s="89" t="str">
        <x:v>Средняя</x:v>
      </x:c>
    </x:row>
    <x:row r="111">
      <x:c r="A111" s="89" t="str">
        <x:v>Цвет восстановлен, но форма стала плоской</x:v>
      </x:c>
      <x:c r="B111" s="89" t="str">
        <x:v>S01</x:v>
      </x:c>
      <x:c r="C111" s="89" t="str">
        <x:v>Midtone покрывает теневую сторону</x:v>
      </x:c>
      <x:c r="D111" s="89" t="str">
        <x:v>Вернуть Base-glaze только на световые плоскости и углубить контрольную тень</x:v>
      </x:c>
      <x:c r="E111" s="89" t="str">
        <x:v>Использовать карточку и фиксированное направление</x:v>
      </x:c>
      <x:c r="F111" s="89" t="str">
        <x:v>Рецепты 455, 477–478</x:v>
      </x:c>
      <x:c r="G111" s="89" t="str">
        <x:v>Высокая</x:v>
      </x:c>
    </x:row>
    <x:row r="112">
      <x:c r="A112" s="89" t="str">
        <x:v>Зоны S01 имеют видимые границы</x:v>
      </x:c>
      <x:c r="B112" s="89" t="str">
        <x:v>S01</x:v>
      </x:c>
      <x:c r="C112" s="89" t="str">
        <x:v>Каждая часть закончена отдельно без общей glaze</x:v>
      </x:c>
      <x:c r="D112" s="89" t="str">
        <x:v>Нанести skin filter только по стыкам зон</x:v>
      </x:c>
      <x:c r="E112" s="89" t="str">
        <x:v>Объединять после завершения всех крупных частей</x:v>
      </x:c>
      <x:c r="F112" s="89" t="str">
        <x:v>Рецепт 460</x:v>
      </x:c>
      <x:c r="G112" s="89" t="str">
        <x:v>Средняя</x:v>
      </x:c>
    </x:row>
    <x:row r="113">
      <x:c r="A113" s="89" t="str">
        <x:v>После S01 слишком много Pale/Pallid</x:v>
      </x:c>
      <x:c r="B113" s="89" t="str">
        <x:v>S01</x:v>
      </x:c>
      <x:c r="C113" s="89" t="str">
        <x:v>Сессия воспринята как финальное высветление</x:v>
      </x:c>
      <x:c r="D113" s="89" t="str">
        <x:v>Приглушить skin glaze и оставить свет только на верхних дугах</x:v>
      </x:c>
      <x:c r="E113" s="89" t="str">
        <x:v>S01 обозначает направление, не финальный максимум</x:v>
      </x:c>
      <x:c r="F113" s="89" t="str">
        <x:v>Рецепт 466</x:v>
      </x:c>
      <x:c r="G113" s="89" t="str">
        <x:v>Средняя</x:v>
      </x:c>
    </x:row>
    <x:row r="114">
      <x:c r="A114" s="89" t="str">
        <x:v>Gate показывает BLOCK</x:v>
      </x:c>
      <x:c r="B114" s="89" t="str">
        <x:v>S01</x:v>
      </x:c>
      <x:c r="C114" s="89" t="str">
        <x:v>Одна зона потеряла тень, цвет или гладкость</x:v>
      </x:c>
      <x:c r="D114" s="89" t="str">
        <x:v>Исправить только худшую зону и повторить её фото/оценку</x:v>
      </x:c>
      <x:c r="E114" s="89" t="str">
        <x:v>Не начинать новые эффекты</x:v>
      </x:c>
      <x:c r="F114" s="89" t="str">
        <x:v>Сессия S01 — торс</x:v>
      </x:c>
      <x:c r="G114" s="89" t="str">
        <x:v>Низкая</x:v>
      </x:c>
    </x:row>
    <x:row r="115">
      <x:c r="A115" s="89" t="str">
        <x:v>Фактическая смесь не повторяется</x:v>
      </x:c>
      <x:c r="B115" s="89" t="str">
        <x:v>S01</x:v>
      </x:c>
      <x:c r="C115" s="89" t="str">
        <x:v>Не записаны капли, Medium, PSI или проходы</x:v>
      </x:c>
      <x:c r="D115" s="89" t="str">
        <x:v>Заполнить Палитра S01 и повторить тестовый участок</x:v>
      </x:c>
      <x:c r="E115" s="89" t="str">
        <x:v>Записывать смесь сразу после PASS</x:v>
      </x:c>
      <x:c r="F115" s="89" t="str">
        <x:v>Рецепт 471</x:v>
      </x:c>
      <x:c r="G115" s="89" t="str">
        <x:v>Средняя</x:v>
      </x:c>
    </x:row>
    <x:row r="116">
      <x:c r="A116" s="89" t="str">
        <x:v>S02 показывает LOCKED</x:v>
      </x:c>
      <x:c r="B116" s="89" t="str">
        <x:v>Проект</x:v>
      </x:c>
      <x:c r="C116" s="89" t="str">
        <x:v>S01 ещё не имеет итог CLOSE S01</x:v>
      </x:c>
      <x:c r="D116" s="89" t="str">
        <x:v>Завершить все gates S01; не менять формулу вручную</x:v>
      </x:c>
      <x:c r="E116" s="89" t="str">
        <x:v>Сохранять зависимость сессий</x:v>
      </x:c>
      <x:c r="F116" s="89" t="str">
        <x:v>Сессия S01 — торс</x:v>
      </x:c>
      <x:c r="G116" s="89" t="str">
        <x:v>Низкая</x:v>
      </x:c>
    </x:row>
    <x:row r="117">
      <x:c r="A117" s="89" t="str">
        <x:v>Грудь выглядит как набор отдельных плит</x:v>
      </x:c>
      <x:c r="B117" s="89" t="str">
        <x:v>Анатомия</x:v>
      </x:c>
      <x:c r="C117" s="89" t="str">
        <x:v>Каждая мышца обведена и высветлена отдельно</x:v>
      </x:c>
      <x:c r="D117" s="89" t="str">
        <x:v>Объединить skin midtone glaze и оставить 2–4 большие плоскости</x:v>
      </x:c>
      <x:c r="E117" s="89" t="str">
        <x:v>Красить массу, а не учебную схему мышц</x:v>
      </x:c>
      <x:c r="F117" s="89" t="str">
        <x:v>Рецепты 484, 503</x:v>
      </x:c>
      <x:c r="G117" s="89" t="str">
        <x:v>Средняя</x:v>
      </x:c>
    </x:row>
    <x:row r="118">
      <x:c r="A118" s="89" t="str">
        <x:v>Ключицы стали белыми полосами</x:v>
      </x:c>
      <x:c r="B118" s="89" t="str">
        <x:v>Анатомия</x:v>
      </x:c>
      <x:c r="C118" s="89" t="str">
        <x:v>Непрерывный Pale/Pallid highlight</x:v>
      </x:c>
      <x:c r="D118" s="89" t="str">
        <x:v>Сузить skin midtone и разорвать линию</x:v>
      </x:c>
      <x:c r="E118" s="89" t="str">
        <x:v>Светлая ось исчезает в теневой стороне</x:v>
      </x:c>
      <x:c r="F118" s="89" t="str">
        <x:v>Рецепт 485</x:v>
      </x:c>
      <x:c r="G118" s="89" t="str">
        <x:v>Средняя</x:v>
      </x:c>
    </x:row>
    <x:row r="119">
      <x:c r="A119" s="89" t="str">
        <x:v>Дельта разделена на три шарика</x:v>
      </x:c>
      <x:c r="B119" s="89" t="str">
        <x:v>Анатомия</x:v>
      </x:c>
      <x:c r="C119" s="89" t="str">
        <x:v>Три части мышцы имеют отдельные тени</x:v>
      </x:c>
      <x:c r="D119" s="89" t="str">
        <x:v>Объединить сферической glaze и оставить нижнюю общую тень</x:v>
      </x:c>
      <x:c r="E119" s="89" t="str">
        <x:v>Дельта читается единой массой</x:v>
      </x:c>
      <x:c r="F119" s="89" t="str">
        <x:v>Рецепт 486</x:v>
      </x:c>
      <x:c r="G119" s="89" t="str">
        <x:v>Средняя</x:v>
      </x:c>
    </x:row>
    <x:row r="120">
      <x:c r="A120" s="89" t="str">
        <x:v>Подмышка стала чёрным отверстием</x:v>
      </x:c>
      <x:c r="B120" s="89" t="str">
        <x:v>Анатомия</x:v>
      </x:c>
      <x:c r="C120" s="89" t="str">
        <x:v>Использован чистый Black или слишком плотная тень</x:v>
      </x:c>
      <x:c r="D120" s="89" t="str">
        <x:v>Вернуть тёмный skin midtone внутрь и светлый край</x:v>
      </x:c>
      <x:c r="E120" s="89" t="str">
        <x:v>Глубина сохраняет цвет кожи</x:v>
      </x:c>
      <x:c r="F120" s="89" t="str">
        <x:v>Рецепт 488</x:v>
      </x:c>
      <x:c r="G120" s="89" t="str">
        <x:v>Средняя</x:v>
      </x:c>
    </x:row>
    <x:row r="121">
      <x:c r="A121" s="89" t="str">
        <x:v>Бок торса слишком светлый</x:v>
      </x:c>
      <x:c r="B121" s="89" t="str">
        <x:v>Анатомия</x:v>
      </x:c>
      <x:c r="C121" s="89" t="str">
        <x:v>Свет груди распространён на всю боковую массу</x:v>
      </x:c>
      <x:c r="D121" s="89" t="str">
        <x:v>Вернуть skin midtone/shadow glaze и оставить узкий верхний свет</x:v>
      </x:c>
      <x:c r="E121" s="89" t="str">
        <x:v>Бок поддерживает объём грудной клетки</x:v>
      </x:c>
      <x:c r="F121" s="89" t="str">
        <x:v>Рецепт 491</x:v>
      </x:c>
      <x:c r="G121" s="89" t="str">
        <x:v>Средняя</x:v>
      </x:c>
    </x:row>
    <x:row r="122">
      <x:c r="A122" s="89" t="str">
        <x:v>Рёбра выглядят полосатой бронёй</x:v>
      </x:c>
      <x:c r="B122" s="89" t="str">
        <x:v>Анатомия</x:v>
      </x:c>
      <x:c r="C122" s="89" t="str">
        <x:v>Слишком много параллельных светлых дуг</x:v>
      </x:c>
      <x:c r="D122" s="89" t="str">
        <x:v>Перекрыть skin glaze и оставить 1–2 прерывистые дуги</x:v>
      </x:c>
      <x:c r="E122" s="89" t="str">
        <x:v>Рёбра лишь намечаются под кожей</x:v>
      </x:c>
      <x:c r="F122" s="89" t="str">
        <x:v>Рецепт 492</x:v>
      </x:c>
      <x:c r="G122" s="89" t="str">
        <x:v>Средняя</x:v>
      </x:c>
    </x:row>
    <x:row r="123">
      <x:c r="A123" s="89" t="str">
        <x:v>Брюхо выглядит отдельной белой деталью</x:v>
      </x:c>
      <x:c r="B123" s="89" t="str">
        <x:v>Countershade</x:v>
      </x:c>
      <x:c r="C123" s="89" t="str">
        <x:v>Нет переходных смесей 3:1/1:1/1:3</x:v>
      </x:c>
      <x:c r="D123" s="89" t="str">
        <x:v>Построить границу рецептом 496 и общий свет</x:v>
      </x:c>
      <x:c r="E123" s="89" t="str">
        <x:v>Пигментация меняется мягко</x:v>
      </x:c>
      <x:c r="F123" s="89" t="str">
        <x:v>Рецепты 493–496</x:v>
      </x:c>
      <x:c r="G123" s="89" t="str">
        <x:v>Высокая</x:v>
      </x:c>
    </x:row>
    <x:row r="124">
      <x:c r="A124" s="89" t="str">
        <x:v>S02 PASS, но grayscale не читается</x:v>
      </x:c>
      <x:c r="B124" s="89" t="str">
        <x:v>Контроль качества</x:v>
      </x:c>
      <x:c r="C124" s="89" t="str">
        <x:v>Оценки внесены без реального фото-gate</x:v>
      </x:c>
      <x:c r="D124" s="89" t="str">
        <x:v>Вернуть K8 в PENDING и сделать одинаковые ракурсы</x:v>
      </x:c>
      <x:c r="E124" s="89" t="str">
        <x:v>Фото важнее числовой самооценки</x:v>
      </x:c>
      <x:c r="F124" s="89" t="str">
        <x:v>Рецепты 506–509</x:v>
      </x:c>
      <x:c r="G124" s="89" t="str">
        <x:v>Средняя</x:v>
      </x:c>
    </x:row>
    <x:row r="125">
      <x:c r="A125" s="89" t="str">
        <x:v>S03 показывает LOCKED</x:v>
      </x:c>
      <x:c r="B125" s="89" t="str">
        <x:v>Проект</x:v>
      </x:c>
      <x:c r="C125" s="89" t="str">
        <x:v>S02 ещё не имеет CLOSE S02</x:v>
      </x:c>
      <x:c r="D125" s="89" t="str">
        <x:v>Закрыть анатомический gate; не менять формулу вручную</x:v>
      </x:c>
      <x:c r="E125" s="89" t="str">
        <x:v>Фактура только поверх подтверждённой формы</x:v>
      </x:c>
      <x:c r="F125" s="89" t="str">
        <x:v>Сессия S02 — анатомия</x:v>
      </x:c>
      <x:c r="G125" s="89" t="str">
        <x:v>Низкая</x:v>
      </x:c>
    </x:row>
    <x:row r="126">
      <x:c r="A126" s="89" t="str">
        <x:v>Stippling выглядит печатной сеткой</x:v>
      </x:c>
      <x:c r="B126" s="89" t="str">
        <x:v>Фактура</x:v>
      </x:c>
      <x:c r="C126" s="89" t="str">
        <x:v>Одинаковый размер и равномерная плотность точек</x:v>
      </x:c>
      <x:c r="D126" s="89" t="str">
        <x:v>Перекрыть 40–60% skin glaze и собрать остаток в кластеры</x:v>
      </x:c>
      <x:c r="E126" s="89" t="str">
        <x:v>Три размера групп и чистые зоны</x:v>
      </x:c>
      <x:c r="F126" s="89" t="str">
        <x:v>Рецепты 513, 537</x:v>
      </x:c>
      <x:c r="G126" s="89" t="str">
        <x:v>Средняя</x:v>
      </x:c>
    </x:row>
    <x:row r="127">
      <x:c r="A127" s="89" t="str">
        <x:v>Фактура видна с игровой дистанции как крапинка</x:v>
      </x:c>
      <x:c r="B127" s="89" t="str">
        <x:v>Фактура</x:v>
      </x:c>
      <x:c r="C127" s="89" t="str">
        <x:v>Слишком высокий контраст или плотность</x:v>
      </x:c>
      <x:c r="D127" s="89" t="str">
        <x:v>Skin glaze и уменьшение светлых/тёмных точек</x:v>
      </x:c>
      <x:c r="E127" s="89" t="str">
        <x:v>Выбранная плотность должна исчезать издали</x:v>
      </x:c>
      <x:c r="F127" s="89" t="str">
        <x:v>Рецепты 512, 539</x:v>
      </x:c>
      <x:c r="G127" s="89" t="str">
        <x:v>Средняя</x:v>
      </x:c>
    </x:row>
    <x:row r="128">
      <x:c r="A128" s="89" t="str">
        <x:v>После фактуры исчезли мышцы</x:v>
      </x:c>
      <x:c r="B128" s="89" t="str">
        <x:v>Фактура</x:v>
      </x:c>
      <x:c r="C128" s="89" t="str">
        <x:v>Точки перекрыли крупные значения S02</x:v>
      </x:c>
      <x:c r="D128" s="89" t="str">
        <x:v>Вернуть midtone, одну тень и одну световую плоскость</x:v>
      </x:c>
      <x:c r="E128" s="89" t="str">
        <x:v>Фактура подчиняется анатомии</x:v>
      </x:c>
      <x:c r="F128" s="89" t="str">
        <x:v>Рецепт 538</x:v>
      </x:c>
      <x:c r="G128" s="89" t="str">
        <x:v>Высокая</x:v>
      </x:c>
    </x:row>
    <x:row r="129">
      <x:c r="A129" s="89" t="str">
        <x:v>Лицо стало таким же грубым, как спина</x:v>
      </x:c>
      <x:c r="B129" s="89" t="str">
        <x:v>Фокус</x:v>
      </x:c>
      <x:c r="C129" s="89" t="str">
        <x:v>S03 распространена на зону лица</x:v>
      </x:c>
      <x:c r="D129" s="89" t="str">
        <x:v>Skin glaze сгладить щёки/веки; отложить детали до S04</x:v>
      </x:c>
      <x:c r="E129" s="89" t="str">
        <x:v>Лицо — зона минимальной фактуры</x:v>
      </x:c>
      <x:c r="F129" s="89" t="str">
        <x:v>Рецепт 518</x:v>
      </x:c>
      <x:c r="G129" s="89" t="str">
        <x:v>Средняя</x:v>
      </x:c>
    </x:row>
    <x:row r="130">
      <x:c r="A130" s="89" t="str">
        <x:v>Брюхо потеряло контраст гладкости</x:v>
      </x:c>
      <x:c r="B130" s="89" t="str">
        <x:v>Материалы</x:v>
      </x:c>
      <x:c r="C130" s="89" t="str">
        <x:v>Поры и stippling добавлены в центр брюха</x:v>
      </x:c>
      <x:c r="D130" s="89" t="str">
        <x:v>Перекрыть belly glaze и оставить фактуру только у боков</x:v>
      </x:c>
      <x:c r="E130" s="89" t="str">
        <x:v>Гладкое брюхо контрастирует грубой спине</x:v>
      </x:c>
      <x:c r="F130" s="89" t="str">
        <x:v>Рецепт 525</x:v>
      </x:c>
      <x:c r="G130" s="89" t="str">
        <x:v>Средняя</x:v>
      </x:c>
    </x:row>
    <x:row r="131">
      <x:c r="A131" s="89" t="str">
        <x:v>Физиология выглядит случайными цветными пятнами</x:v>
      </x:c>
      <x:c r="B131" s="89" t="str">
        <x:v>Кожа</x:v>
      </x:c>
      <x:c r="C131" s="89" t="str">
        <x:v>Нет физической причины и skin glaze по краям</x:v>
      </x:c>
      <x:c r="D131" s="89" t="str">
        <x:v>Убрать часть пятен Base-glaze и оставить красный/фиолетовый/жёлтый по ролям</x:v>
      </x:c>
      <x:c r="E131" s="89" t="str">
        <x:v>Доминирует основной skin colour</x:v>
      </x:c>
      <x:c r="F131" s="89" t="str">
        <x:v>Рецепты 526–530</x:v>
      </x:c>
      <x:c r="G131" s="89" t="str">
        <x:v>Высокая</x:v>
      </x:c>
    </x:row>
    <x:row r="132">
      <x:c r="A132" s="89" t="str">
        <x:v>Вены выглядят нарисованными маркером</x:v>
      </x:c>
      <x:c r="B132" s="89" t="str">
        <x:v>Кожа</x:v>
      </x:c>
      <x:c r="C132" s="89" t="str">
        <x:v>Линии не перекрыты телесной glaze</x:v>
      </x:c>
      <x:c r="D132" s="89" t="str">
        <x:v>Нанести skin midtone + Medium 1:6, восстановить свет</x:v>
      </x:c>
      <x:c r="E132" s="89" t="str">
        <x:v>Вены частично находятся под кожей</x:v>
      </x:c>
      <x:c r="F132" s="89" t="str">
        <x:v>Рецепт 531</x:v>
      </x:c>
      <x:c r="G132" s="89" t="str">
        <x:v>Средняя</x:v>
      </x:c>
    </x:row>
    <x:row r="133">
      <x:c r="A133" s="89" t="str">
        <x:v>Рубцы похожи на декоративные полосы</x:v>
      </x:c>
      <x:c r="B133" s="89" t="str">
        <x:v>Повреждения</x:v>
      </x:c>
      <x:c r="C133" s="89" t="str">
        <x:v>Одинаковый возраст, длина и направление</x:v>
      </x:c>
      <x:c r="D133" s="89" t="str">
        <x:v>Часть перекрыть, изменить глубину и оставить максимум два типа</x:v>
      </x:c>
      <x:c r="E133" s="89" t="str">
        <x:v>Разнообразие и физическая история</x:v>
      </x:c>
      <x:c r="F133" s="89" t="str">
        <x:v>Рецепты 533–535</x:v>
      </x:c>
      <x:c r="G133" s="89" t="str">
        <x:v>Средняя</x:v>
      </x:c>
    </x:row>
    <x:row r="134">
      <x:c r="A134" s="89"/>
      <x:c r="B134" s="89"/>
      <x:c r="C134" s="89"/>
      <x:c r="D134" s="89"/>
      <x:c r="E134" s="89"/>
      <x:c r="F134" s="89"/>
      <x:c r="G134" s="89"/>
    </x:row>
    <x:row r="135">
      <x:c r="A135" s="89"/>
      <x:c r="B135" s="89"/>
      <x:c r="C135" s="89"/>
      <x:c r="D135" s="89"/>
      <x:c r="E135" s="89"/>
      <x:c r="F135" s="89"/>
      <x:c r="G135" s="89"/>
    </x:row>
    <x:row r="136">
      <x:c r="A136" s="89"/>
      <x:c r="B136" s="89"/>
      <x:c r="C136" s="89"/>
      <x:c r="D136" s="89"/>
      <x:c r="E136" s="89"/>
      <x:c r="F136" s="89"/>
      <x:c r="G136" s="89"/>
    </x:row>
    <x:row r="137">
      <x:c r="A137" s="89"/>
      <x:c r="B137" s="89"/>
      <x:c r="C137" s="89"/>
      <x:c r="D137" s="89"/>
      <x:c r="E137" s="89"/>
      <x:c r="F137" s="89"/>
      <x:c r="G137" s="89"/>
    </x:row>
    <x:row r="138">
      <x:c r="A138" s="89"/>
      <x:c r="B138" s="89"/>
      <x:c r="C138" s="89"/>
      <x:c r="D138" s="89"/>
      <x:c r="E138" s="89"/>
      <x:c r="F138" s="89"/>
      <x:c r="G138" s="89"/>
    </x:row>
    <x:row r="139">
      <x:c r="A139" s="89"/>
      <x:c r="B139" s="89"/>
      <x:c r="C139" s="89"/>
      <x:c r="D139" s="89"/>
      <x:c r="E139" s="89"/>
      <x:c r="F139" s="89"/>
      <x:c r="G139" s="89"/>
    </x:row>
    <x:row r="140">
      <x:c r="A140" s="89"/>
      <x:c r="B140" s="89"/>
      <x:c r="C140" s="89"/>
      <x:c r="D140" s="89"/>
      <x:c r="E140" s="89"/>
      <x:c r="F140" s="89"/>
      <x:c r="G140" s="89"/>
    </x:row>
    <x:row r="141">
      <x:c r="A141" s="89"/>
      <x:c r="B141" s="89"/>
      <x:c r="C141" s="89"/>
      <x:c r="D141" s="89"/>
      <x:c r="E141" s="89"/>
      <x:c r="F141" s="89"/>
      <x:c r="G141" s="89"/>
    </x:row>
    <x:row r="142">
      <x:c r="A142" s="89"/>
      <x:c r="B142" s="89"/>
      <x:c r="C142" s="89"/>
      <x:c r="D142" s="89"/>
      <x:c r="E142" s="89"/>
      <x:c r="F142" s="89"/>
      <x:c r="G142" s="89"/>
    </x:row>
    <x:row r="143">
      <x:c r="A143" s="89"/>
      <x:c r="B143" s="89"/>
      <x:c r="C143" s="89"/>
      <x:c r="D143" s="89"/>
      <x:c r="E143" s="89"/>
      <x:c r="F143" s="89"/>
      <x:c r="G143" s="89"/>
    </x:row>
    <x:row r="144">
      <x:c r="A144" s="89"/>
      <x:c r="B144" s="89"/>
      <x:c r="C144" s="89"/>
      <x:c r="D144" s="89"/>
      <x:c r="E144" s="89"/>
      <x:c r="F144" s="89"/>
      <x:c r="G144" s="89"/>
    </x:row>
    <x:row r="145">
      <x:c r="A145" s="89"/>
      <x:c r="B145" s="89"/>
      <x:c r="C145" s="89"/>
      <x:c r="D145" s="89"/>
      <x:c r="E145" s="89"/>
      <x:c r="F145" s="89"/>
      <x:c r="G145" s="89"/>
    </x:row>
    <x:row r="146">
      <x:c r="A146" s="89"/>
      <x:c r="B146" s="89"/>
      <x:c r="C146" s="89"/>
      <x:c r="D146" s="89"/>
      <x:c r="E146" s="89"/>
      <x:c r="F146" s="89"/>
      <x:c r="G146" s="89"/>
    </x:row>
    <x:row r="147">
      <x:c r="A147" s="89"/>
      <x:c r="B147" s="89"/>
      <x:c r="C147" s="89"/>
      <x:c r="D147" s="89"/>
      <x:c r="E147" s="89"/>
      <x:c r="F147" s="89"/>
      <x:c r="G147" s="89"/>
    </x:row>
    <x:row r="148">
      <x:c r="A148" s="89"/>
      <x:c r="B148" s="89"/>
      <x:c r="C148" s="89"/>
      <x:c r="D148" s="89"/>
      <x:c r="E148" s="89"/>
      <x:c r="F148" s="89"/>
      <x:c r="G148" s="89"/>
    </x:row>
    <x:row r="149">
      <x:c r="A149" s="89"/>
      <x:c r="B149" s="89"/>
      <x:c r="C149" s="89"/>
      <x:c r="D149" s="89"/>
      <x:c r="E149" s="89"/>
      <x:c r="F149" s="89"/>
      <x:c r="G149" s="89"/>
    </x:row>
    <x:row r="150">
      <x:c r="A150" s="89"/>
      <x:c r="B150" s="89"/>
      <x:c r="C150" s="89"/>
      <x:c r="D150" s="89"/>
      <x:c r="E150" s="89"/>
      <x:c r="F150" s="89"/>
      <x:c r="G150" s="89"/>
    </x:row>
    <x:row r="151">
      <x:c r="A151" s="89"/>
      <x:c r="B151" s="89"/>
      <x:c r="C151" s="89"/>
      <x:c r="D151" s="89"/>
      <x:c r="E151" s="89"/>
      <x:c r="F151" s="89"/>
      <x:c r="G151" s="89"/>
    </x:row>
    <x:row r="152">
      <x:c r="A152" s="89"/>
      <x:c r="B152" s="89"/>
      <x:c r="C152" s="89"/>
      <x:c r="D152" s="89"/>
      <x:c r="E152" s="89"/>
      <x:c r="F152" s="89"/>
      <x:c r="G152" s="89"/>
    </x:row>
    <x:row r="153">
      <x:c r="A153" s="89"/>
      <x:c r="B153" s="89"/>
      <x:c r="C153" s="89"/>
      <x:c r="D153" s="89"/>
      <x:c r="E153" s="89"/>
      <x:c r="F153" s="89"/>
      <x:c r="G153" s="89"/>
    </x:row>
    <x:row r="154">
      <x:c r="A154" s="89"/>
      <x:c r="B154" s="89"/>
      <x:c r="C154" s="89"/>
      <x:c r="D154" s="89"/>
      <x:c r="E154" s="89"/>
      <x:c r="F154" s="89"/>
      <x:c r="G154" s="89"/>
    </x:row>
    <x:row r="155">
      <x:c r="A155" s="89"/>
      <x:c r="B155" s="89"/>
      <x:c r="C155" s="89"/>
      <x:c r="D155" s="89"/>
      <x:c r="E155" s="89"/>
      <x:c r="F155" s="89"/>
      <x:c r="G155" s="89"/>
    </x:row>
    <x:row r="156">
      <x:c r="A156" s="89"/>
      <x:c r="B156" s="89"/>
      <x:c r="C156" s="89"/>
      <x:c r="D156" s="89"/>
      <x:c r="E156" s="89"/>
      <x:c r="F156" s="89"/>
      <x:c r="G156" s="89"/>
    </x:row>
    <x:row r="157">
      <x:c r="A157" s="89"/>
      <x:c r="B157" s="89"/>
      <x:c r="C157" s="89"/>
      <x:c r="D157" s="89"/>
      <x:c r="E157" s="89"/>
      <x:c r="F157" s="89"/>
      <x:c r="G157" s="89"/>
    </x:row>
    <x:row r="158">
      <x:c r="A158" s="89"/>
      <x:c r="B158" s="89"/>
      <x:c r="C158" s="89"/>
      <x:c r="D158" s="89"/>
      <x:c r="E158" s="89"/>
      <x:c r="F158" s="89"/>
      <x:c r="G158" s="89"/>
    </x:row>
    <x:row r="159">
      <x:c r="A159" s="89"/>
      <x:c r="B159" s="89"/>
      <x:c r="C159" s="89"/>
      <x:c r="D159" s="89"/>
      <x:c r="E159" s="89"/>
      <x:c r="F159" s="89"/>
      <x:c r="G159" s="89"/>
    </x:row>
    <x:row r="160">
      <x:c r="A160" s="89"/>
      <x:c r="B160" s="89"/>
      <x:c r="C160" s="89"/>
      <x:c r="D160" s="89"/>
      <x:c r="E160" s="89"/>
      <x:c r="F160" s="89"/>
      <x:c r="G160" s="89"/>
    </x:row>
    <x:row r="161">
      <x:c r="A161" s="89"/>
      <x:c r="B161" s="89"/>
      <x:c r="C161" s="89"/>
      <x:c r="D161" s="89"/>
      <x:c r="E161" s="89"/>
      <x:c r="F161" s="89"/>
      <x:c r="G161" s="89"/>
    </x:row>
    <x:row r="162">
      <x:c r="A162" s="89"/>
      <x:c r="B162" s="89"/>
      <x:c r="C162" s="89"/>
      <x:c r="D162" s="89"/>
      <x:c r="E162" s="89"/>
      <x:c r="F162" s="89"/>
      <x:c r="G162" s="89"/>
    </x:row>
    <x:row r="163">
      <x:c r="A163" s="89"/>
      <x:c r="B163" s="89"/>
      <x:c r="C163" s="89"/>
      <x:c r="D163" s="89"/>
      <x:c r="E163" s="89"/>
      <x:c r="F163" s="89"/>
      <x:c r="G163" s="89"/>
    </x:row>
    <x:row r="164">
      <x:c r="A164" s="89"/>
      <x:c r="B164" s="89"/>
      <x:c r="C164" s="89"/>
      <x:c r="D164" s="89"/>
      <x:c r="E164" s="89"/>
      <x:c r="F164" s="89"/>
      <x:c r="G164" s="89"/>
    </x:row>
    <x:row r="165">
      <x:c r="A165" s="89"/>
      <x:c r="B165" s="89"/>
      <x:c r="C165" s="89"/>
      <x:c r="D165" s="89"/>
      <x:c r="E165" s="89"/>
      <x:c r="F165" s="89"/>
      <x:c r="G165" s="89"/>
    </x:row>
    <x:row r="166">
      <x:c r="A166" s="89"/>
      <x:c r="B166" s="89"/>
      <x:c r="C166" s="89"/>
      <x:c r="D166" s="89"/>
      <x:c r="E166" s="89"/>
      <x:c r="F166" s="89"/>
      <x:c r="G166" s="89"/>
    </x:row>
    <x:row r="167">
      <x:c r="A167" s="89"/>
      <x:c r="B167" s="89"/>
      <x:c r="C167" s="89"/>
      <x:c r="D167" s="89"/>
      <x:c r="E167" s="89"/>
      <x:c r="F167" s="89"/>
      <x:c r="G167" s="89"/>
    </x:row>
    <x:row r="168">
      <x:c r="A168" s="89"/>
      <x:c r="B168" s="89"/>
      <x:c r="C168" s="89"/>
      <x:c r="D168" s="89"/>
      <x:c r="E168" s="89"/>
      <x:c r="F168" s="89"/>
      <x:c r="G168" s="89"/>
    </x:row>
    <x:row r="169">
      <x:c r="A169" s="89"/>
      <x:c r="B169" s="89"/>
      <x:c r="C169" s="89"/>
      <x:c r="D169" s="89"/>
      <x:c r="E169" s="89"/>
      <x:c r="F169" s="89"/>
      <x:c r="G169" s="89"/>
    </x:row>
    <x:row r="170">
      <x:c r="A170" s="89"/>
      <x:c r="B170" s="89"/>
      <x:c r="C170" s="89"/>
      <x:c r="D170" s="89"/>
      <x:c r="E170" s="89"/>
      <x:c r="F170" s="89"/>
      <x:c r="G170" s="89"/>
    </x:row>
    <x:row r="171">
      <x:c r="A171" s="89"/>
      <x:c r="B171" s="89"/>
      <x:c r="C171" s="89"/>
      <x:c r="D171" s="89"/>
      <x:c r="E171" s="89"/>
      <x:c r="F171" s="89"/>
      <x:c r="G171" s="89"/>
    </x:row>
    <x:row r="172">
      <x:c r="A172" s="89"/>
      <x:c r="B172" s="89"/>
      <x:c r="C172" s="89"/>
      <x:c r="D172" s="89"/>
      <x:c r="E172" s="89"/>
      <x:c r="F172" s="89"/>
      <x:c r="G172" s="89"/>
    </x:row>
    <x:row r="173">
      <x:c r="A173" s="89"/>
      <x:c r="B173" s="89"/>
      <x:c r="C173" s="89"/>
      <x:c r="D173" s="89"/>
      <x:c r="E173" s="89"/>
      <x:c r="F173" s="89"/>
      <x:c r="G173" s="89"/>
    </x:row>
    <x:row r="174">
      <x:c r="A174" s="89"/>
      <x:c r="B174" s="89"/>
      <x:c r="C174" s="89"/>
      <x:c r="D174" s="89"/>
      <x:c r="E174" s="89"/>
      <x:c r="F174" s="89"/>
      <x:c r="G174" s="89"/>
    </x:row>
    <x:row r="175">
      <x:c r="A175" s="89"/>
      <x:c r="B175" s="89"/>
      <x:c r="C175" s="89"/>
      <x:c r="D175" s="89"/>
      <x:c r="E175" s="89"/>
      <x:c r="F175" s="89"/>
      <x:c r="G175" s="89"/>
    </x:row>
    <x:row r="176">
      <x:c r="A176" s="89"/>
      <x:c r="B176" s="89"/>
      <x:c r="C176" s="89"/>
      <x:c r="D176" s="89"/>
      <x:c r="E176" s="89"/>
      <x:c r="F176" s="89"/>
      <x:c r="G176" s="89"/>
    </x:row>
    <x:row r="177">
      <x:c r="A177" s="89"/>
      <x:c r="B177" s="89"/>
      <x:c r="C177" s="89"/>
      <x:c r="D177" s="89"/>
      <x:c r="E177" s="89"/>
      <x:c r="F177" s="89"/>
      <x:c r="G177" s="89"/>
    </x:row>
    <x:row r="178">
      <x:c r="A178" s="89"/>
      <x:c r="B178" s="89"/>
      <x:c r="C178" s="89"/>
      <x:c r="D178" s="89"/>
      <x:c r="E178" s="89"/>
      <x:c r="F178" s="89"/>
      <x:c r="G178" s="89"/>
    </x:row>
    <x:row r="179">
      <x:c r="A179" s="89"/>
      <x:c r="B179" s="89"/>
      <x:c r="C179" s="89"/>
      <x:c r="D179" s="89"/>
      <x:c r="E179" s="89"/>
      <x:c r="F179" s="89"/>
      <x:c r="G179" s="89"/>
    </x:row>
    <x:row r="180">
      <x:c r="A180" s="89"/>
      <x:c r="B180" s="89"/>
      <x:c r="C180" s="89"/>
      <x:c r="D180" s="89"/>
      <x:c r="E180" s="89"/>
      <x:c r="F180" s="89"/>
      <x:c r="G180" s="89"/>
    </x:row>
    <x:row r="181">
      <x:c r="A181" s="89"/>
      <x:c r="B181" s="89"/>
      <x:c r="C181" s="89"/>
      <x:c r="D181" s="89"/>
      <x:c r="E181" s="89"/>
      <x:c r="F181" s="89"/>
      <x:c r="G181" s="89"/>
    </x:row>
    <x:row r="182">
      <x:c r="A182" s="89"/>
      <x:c r="B182" s="89"/>
      <x:c r="C182" s="89"/>
      <x:c r="D182" s="89"/>
      <x:c r="E182" s="89"/>
      <x:c r="F182" s="89"/>
      <x:c r="G182" s="89"/>
    </x:row>
    <x:row r="183">
      <x:c r="A183" s="89"/>
      <x:c r="B183" s="89"/>
      <x:c r="C183" s="89"/>
      <x:c r="D183" s="89"/>
      <x:c r="E183" s="89"/>
      <x:c r="F183" s="89"/>
      <x:c r="G183" s="89"/>
    </x:row>
    <x:row r="184">
      <x:c r="A184" s="89"/>
      <x:c r="B184" s="89"/>
      <x:c r="C184" s="89"/>
      <x:c r="D184" s="89"/>
      <x:c r="E184" s="89"/>
      <x:c r="F184" s="89"/>
      <x:c r="G184" s="89"/>
    </x:row>
    <x:row r="185">
      <x:c r="A185" s="89"/>
      <x:c r="B185" s="89"/>
      <x:c r="C185" s="89"/>
      <x:c r="D185" s="89"/>
      <x:c r="E185" s="89"/>
      <x:c r="F185" s="89"/>
      <x:c r="G185" s="89"/>
    </x:row>
    <x:row r="186">
      <x:c r="A186" s="89"/>
      <x:c r="B186" s="89"/>
      <x:c r="C186" s="89"/>
      <x:c r="D186" s="89"/>
      <x:c r="E186" s="89"/>
      <x:c r="F186" s="89"/>
      <x:c r="G186" s="89"/>
    </x:row>
    <x:row r="187">
      <x:c r="A187" s="89"/>
      <x:c r="B187" s="89"/>
      <x:c r="C187" s="89"/>
      <x:c r="D187" s="89"/>
      <x:c r="E187" s="89"/>
      <x:c r="F187" s="89"/>
      <x:c r="G187" s="89"/>
    </x:row>
    <x:row r="188">
      <x:c r="A188" s="89"/>
      <x:c r="B188" s="89"/>
      <x:c r="C188" s="89"/>
      <x:c r="D188" s="89"/>
      <x:c r="E188" s="89"/>
      <x:c r="F188" s="89"/>
      <x:c r="G188" s="89"/>
    </x:row>
    <x:row r="189">
      <x:c r="A189" s="89"/>
      <x:c r="B189" s="89"/>
      <x:c r="C189" s="89"/>
      <x:c r="D189" s="89"/>
      <x:c r="E189" s="89"/>
      <x:c r="F189" s="89"/>
      <x:c r="G189" s="89"/>
    </x:row>
    <x:row r="190">
      <x:c r="A190" s="89"/>
      <x:c r="B190" s="89"/>
      <x:c r="C190" s="89"/>
      <x:c r="D190" s="89"/>
      <x:c r="E190" s="89"/>
      <x:c r="F190" s="89"/>
      <x:c r="G190" s="89"/>
    </x:row>
  </x:sheetData>
  <x:mergeCells>
    <x:mergeCell ref="A1:G1"/>
  </x:mergeCells>
  <x:conditionalFormatting sqref="G4:G25">
    <x:cfRule type="expression" dxfId="38" priority="1">
      <x:formula>G4="Высокая"</x:formula>
    </x:cfRule>
    <x:cfRule type="expression" dxfId="39" priority="2">
      <x:formula>G4="Средняя"</x:formula>
    </x:cfRule>
    <x:cfRule type="expression" dxfId="40" priority="3">
      <x:formula>G4="Низкая"</x:formula>
    </x:cfRule>
  </x:conditionalFormatting>
  <x:conditionalFormatting sqref="G4:G31">
    <x:cfRule type="expression" dxfId="47" priority="4">
      <x:formula>G4="Высокая"</x:formula>
    </x:cfRule>
    <x:cfRule type="expression" dxfId="48" priority="5">
      <x:formula>G4="Средняя"</x:formula>
    </x:cfRule>
    <x:cfRule type="expression" dxfId="49" priority="6">
      <x:formula>G4="Низкая"</x:formula>
    </x:cfRule>
  </x:conditionalFormatting>
  <x:conditionalFormatting sqref="G4:G45">
    <x:cfRule type="expression" dxfId="54" priority="7">
      <x:formula>G4="Высокая"</x:formula>
    </x:cfRule>
    <x:cfRule type="expression" dxfId="55" priority="8">
      <x:formula>G4="Средняя"</x:formula>
    </x:cfRule>
    <x:cfRule type="expression" dxfId="56" priority="9">
      <x:formula>G4="Низкая"</x:formula>
    </x:cfRule>
  </x:conditionalFormatting>
  <x:conditionalFormatting sqref="G4:G60">
    <x:cfRule type="expression" dxfId="61" priority="10">
      <x:formula>G4="Высокая"</x:formula>
    </x:cfRule>
    <x:cfRule type="expression" dxfId="62" priority="11">
      <x:formula>G4="Средняя"</x:formula>
    </x:cfRule>
    <x:cfRule type="expression" dxfId="63" priority="12">
      <x:formula>G4="Низкая"</x:formula>
    </x:cfRule>
  </x:conditionalFormatting>
  <x:conditionalFormatting sqref="G4:G70">
    <x:cfRule type="expression" dxfId="68" priority="13">
      <x:formula>G4="Высокая"</x:formula>
    </x:cfRule>
    <x:cfRule type="expression" dxfId="69" priority="14">
      <x:formula>G4="Средняя"</x:formula>
    </x:cfRule>
    <x:cfRule type="expression" dxfId="70" priority="15">
      <x:formula>G4="Низкая"</x:formula>
    </x:cfRule>
  </x:conditionalFormatting>
  <x:conditionalFormatting sqref="G4:G90">
    <x:cfRule type="expression" dxfId="76" priority="16">
      <x:formula>G4="Высокая"</x:formula>
    </x:cfRule>
    <x:cfRule type="expression" dxfId="77" priority="17">
      <x:formula>G4="Средняя"</x:formula>
    </x:cfRule>
    <x:cfRule type="expression" dxfId="78" priority="18">
      <x:formula>G4="Низкая"</x:formula>
    </x:cfRule>
  </x:conditionalFormatting>
  <x:conditionalFormatting sqref="G4:G110">
    <x:cfRule type="expression" dxfId="86" priority="19">
      <x:formula>G4="Высокая"</x:formula>
    </x:cfRule>
    <x:cfRule type="expression" dxfId="87" priority="20">
      <x:formula>G4="Средняя"</x:formula>
    </x:cfRule>
    <x:cfRule type="expression" dxfId="88" priority="21">
      <x:formula>G4="Низкая"</x:formula>
    </x:cfRule>
  </x:conditionalFormatting>
  <x:conditionalFormatting sqref="G4:G130">
    <x:cfRule type="expression" dxfId="97" priority="22">
      <x:formula>G4="Высокая"</x:formula>
    </x:cfRule>
    <x:cfRule type="expression" dxfId="98" priority="23">
      <x:formula>G4="Средняя"</x:formula>
    </x:cfRule>
    <x:cfRule type="expression" dxfId="99" priority="24">
      <x:formula>G4="Низкая"</x:formula>
    </x:cfRule>
  </x:conditionalFormatting>
  <x:conditionalFormatting sqref="G4:G150">
    <x:cfRule type="expression" dxfId="122" priority="25">
      <x:formula>G4="Высокая"</x:formula>
    </x:cfRule>
    <x:cfRule type="expression" dxfId="123" priority="26">
      <x:formula>G4="Средняя"</x:formula>
    </x:cfRule>
    <x:cfRule type="expression" dxfId="124" priority="27">
      <x:formula>G4="Низкая"</x:formula>
    </x:cfRule>
  </x:conditionalFormatting>
  <x:conditionalFormatting sqref="G4:G170">
    <x:cfRule type="expression" dxfId="165" priority="28">
      <x:formula>G4="Высокая"</x:formula>
    </x:cfRule>
    <x:cfRule type="expression" dxfId="166" priority="29">
      <x:formula>G4="Средняя"</x:formula>
    </x:cfRule>
    <x:cfRule type="expression" dxfId="167" priority="30">
      <x:formula>G4="Низкая"</x:formula>
    </x:cfRule>
  </x:conditionalFormatting>
  <x:conditionalFormatting sqref="G4:G190">
    <x:cfRule type="expression" dxfId="187" priority="31">
      <x:formula>G4="Высокая"</x:formula>
    </x:cfRule>
    <x:cfRule type="expression" dxfId="188" priority="32">
      <x:formula>G4="Средняя"</x:formula>
    </x:cfRule>
    <x:cfRule type="expression" dxfId="189" priority="33">
      <x:formula>G4="Низкая"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b31f2dcf734b8b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18" hidden="0" customWidth="1"/>
    <x:col min="4" max="4" width="56" hidden="0" customWidth="1"/>
    <x:col min="5" max="5" width="74" hidden="0" customWidth="1"/>
    <x:col min="6" max="6" width="88" hidden="0" customWidth="1"/>
  </x:cols>
  <x:sheetData>
    <x:row r="1" ht="38" customHeight="1">
      <x:c r="A1" s="365" t="str">
        <x:v>Шестой проход: фактуры, подмалёвки и комбинированные техники</x:v>
      </x:c>
      <x:c r="B1" s="365"/>
      <x:c r="C1" s="365"/>
      <x:c r="D1" s="365"/>
      <x:c r="E1" s="365"/>
      <x:c r="F1" s="365"/>
    </x:row>
    <x:row r="3">
      <x:c r="A3" s="370" t="str">
        <x:v>Показатель</x:v>
      </x:c>
      <x:c r="B3" s="370" t="str">
        <x:v>Результат</x:v>
      </x:c>
    </x:row>
    <x:row r="4">
      <x:c r="A4" s="376" t="str">
        <x:v>Рецептов до прохода</x:v>
      </x:c>
      <x:c r="B4" s="377" t="n">
        <x:v>150</x:v>
      </x:c>
    </x:row>
    <x:row r="5">
      <x:c r="A5" s="376" t="str">
        <x:v>Новых техник и рецептов</x:v>
      </x:c>
      <x:c r="B5" s="377" t="n">
        <x:v>30</x:v>
      </x:c>
    </x:row>
    <x:row r="6">
      <x:c r="A6" s="376" t="str">
        <x:v>Рецептов после прохода</x:v>
      </x:c>
      <x:c r="B6" s="377" t="n">
        <x:v>180</x:v>
      </x:c>
    </x:row>
    <x:row r="7">
      <x:c r="A7" s="376" t="str">
        <x:v>Новых фактурных техник</x:v>
      </x:c>
      <x:c r="B7" s="377" t="n">
        <x:v>9</x:v>
      </x:c>
    </x:row>
    <x:row r="8">
      <x:c r="A8" s="376" t="str">
        <x:v>Новых аэрографных подмалёвков</x:v>
      </x:c>
      <x:c r="B8" s="377" t="n">
        <x:v>9</x:v>
      </x:c>
    </x:row>
    <x:row r="9">
      <x:c r="A9" s="376" t="str">
        <x:v>Новых схем волос, меха и рогов</x:v>
      </x:c>
      <x:c r="B9" s="377" t="n">
        <x:v>6</x:v>
      </x:c>
    </x:row>
    <x:row r="10">
      <x:c r="A10" s="376" t="str">
        <x:v>Новых камуфляжей и панельных техник</x:v>
      </x:c>
      <x:c r="B10" s="377" t="n">
        <x:v>5</x:v>
      </x:c>
    </x:row>
    <x:row r="11">
      <x:c r="A11" s="376" t="str">
        <x:v>Добавлена диагностика</x:v>
      </x:c>
      <x:c r="B11" s="377" t="str">
        <x:v>22 типичных дефекта</x:v>
      </x:c>
    </x:row>
    <x:row r="12">
      <x:c r="A12" s="376" t="str">
        <x:v>Ключевой принцип</x:v>
      </x:c>
      <x:c r="B12" s="376" t="str">
        <x:v>Подбирать не только цвет, но и характер поверхности: гладкая, волокнистая, точечная, металлическая или загрязнённая</x:v>
      </x:c>
    </x:row>
    <x:row r="15">
      <x:c r="A15" s="373" t="str">
        <x:v>ID</x:v>
      </x:c>
      <x:c r="B15" s="373" t="str">
        <x:v>Область</x:v>
      </x:c>
      <x:c r="C15" s="373" t="str">
        <x:v>Статус</x:v>
      </x:c>
      <x:c r="D15" s="373" t="str">
        <x:v>Что обнаружено</x:v>
      </x:c>
      <x:c r="E15" s="373" t="str">
        <x:v>Действие</x:v>
      </x:c>
      <x:c r="F15" s="373" t="str">
        <x:v>Основание</x:v>
      </x:c>
    </x:row>
    <x:row r="16">
      <x:c r="A16" s="89" t="str">
        <x:v>AUD6-01</x:v>
      </x:c>
      <x:c r="B16" s="89" t="str">
        <x:v>Stippling</x:v>
      </x:c>
      <x:c r="C16" s="89" t="str">
        <x:v>Добавлено</x:v>
      </x:c>
      <x:c r="D16" s="89" t="str">
        <x:v>Матрица содержала отдельные точечные рецепты, но не системную технику для кожи, чешуи и ткани.</x:v>
      </x:c>
      <x:c r="E16" s="89" t="str">
        <x:v>Добавлены шкалы размера и плотности точек, объединяющая глазурь и аэрографный stipple.</x:v>
      </x:c>
      <x:c r="F16" s="89" t="str">
        <x:v>Warhammer painters используют stippling для кожистой кожи, чешуи и сложных текстур; Iwata подтверждает возможность stipple при ограничении воздуха.</x:v>
      </x:c>
    </x:row>
    <x:row r="17">
      <x:c r="A17" s="89" t="str">
        <x:v>AUD6-02</x:v>
      </x:c>
      <x:c r="B17" s="89" t="str">
        <x:v>Countershading</x:v>
      </x:c>
      <x:c r="C17" s="89" t="str">
        <x:v>Добавлено</x:v>
      </x:c>
      <x:c r="D17" s="89" t="str">
        <x:v>Не было натуралистической схемы тёмной спины и светлого живота.</x:v>
      </x:c>
      <x:c r="E17" s="89" t="str">
        <x:v>Добавлен контршейдинг рептильной кожи с Stegadon/Kabalite/Sybarite и Deepkin Flesh.</x:v>
      </x:c>
      <x:c r="F17" s="89" t="str">
        <x:v>Официальная схема Seraphon использует countershading, где живот светлее верхней части тела.</x:v>
      </x:c>
    </x:row>
    <x:row r="18">
      <x:c r="A18" s="89" t="str">
        <x:v>AUD6-03</x:v>
      </x:c>
      <x:c r="B18" s="89" t="str">
        <x:v>Wet blending</x:v>
      </x:c>
      <x:c r="C18" s="89" t="str">
        <x:v>Добавлено</x:v>
      </x:c>
      <x:c r="D18" s="89" t="str">
        <x:v>Аэрографные силовые клинки были представлены лучше кистевых.</x:v>
      </x:c>
      <x:c r="E18" s="89" t="str">
        <x:v>Добавлено мокрое смешивание Incubi Darkness → Kabalite → Sybarite → Moot Green.</x:v>
      </x:c>
      <x:c r="F18" s="89" t="str">
        <x:v>Официальный пример Warhammer использует wet blending от Incubi Darkness к Sybarite Green на клинке и щите.</x:v>
      </x:c>
    </x:row>
    <x:row r="19">
      <x:c r="A19" s="89" t="str">
        <x:v>AUD6-04</x:v>
      </x:c>
      <x:c r="B19" s="89" t="str">
        <x:v>Glazing</x:v>
      </x:c>
      <x:c r="C19" s="89" t="str">
        <x:v>Уточнено</x:v>
      </x:c>
      <x:c r="D19" s="89" t="str">
        <x:v>Лессировки присутствовали во многих рецептах, но не были выделены как универсальный способ коррекции.</x:v>
      </x:c>
      <x:c r="E19" s="89" t="str">
        <x:v>В матрице выбора закреплены насыщение, смягчение переходов и возврат оттенка после высветлений.</x:v>
      </x:c>
      <x:c r="F19" s="89" t="str">
        <x:v>Warhammer описывает glazing как тонкий слой для мягких теней, переходов, ослабления бликов и изменения оттенка.</x:v>
      </x:c>
    </x:row>
    <x:row r="20">
      <x:c r="A20" s="89" t="str">
        <x:v>AUD6-05</x:v>
      </x:c>
      <x:c r="B20" s="89" t="str">
        <x:v>Маскирование</x:v>
      </x:c>
      <x:c r="C20" s="89" t="str">
        <x:v>Добавлено</x:v>
      </x:c>
      <x:c r="D20" s="89" t="str">
        <x:v>Не было отдельного метода для жёсткого камуфляжа.</x:v>
      </x:c>
      <x:c r="E20" s="89" t="str">
        <x:v>Добавлены маскирование лентой/массой и правила сухого первого прохода и снятия маски.</x:v>
      </x:c>
      <x:c r="F20" s="89" t="str">
        <x:v>Vallejo указывает, что masking особенно полезен для аэрографа и требует равномерного защитного слоя.</x:v>
      </x:c>
    </x:row>
    <x:row r="21">
      <x:c r="A21" s="89" t="str">
        <x:v>AUD6-06</x:v>
      </x:c>
      <x:c r="B21" s="89" t="str">
        <x:v>Spatter</x:v>
      </x:c>
      <x:c r="C21" s="89" t="str">
        <x:v>Добавлено</x:v>
      </x:c>
      <x:c r="D21" s="89" t="str">
        <x:v>Пятнистая ржавчина и пыль не имели отдельного инструментального процесса.</x:v>
      </x:c>
      <x:c r="E21" s="89" t="str">
        <x:v>Добавлены аэрографный stipple/spatter и защита фокусных зон модели.</x:v>
      </x:c>
      <x:c r="F21" s="89" t="str">
        <x:v>Iwata описывает fine mist и spatter как штатные режимы аэрографа, а ограничение воздуха позволяет создавать stipple.</x:v>
      </x:c>
    </x:row>
    <x:row r="22">
      <x:c r="A22" s="89" t="str">
        <x:v>AUD6-07</x:v>
      </x:c>
      <x:c r="B22" s="89" t="str">
        <x:v>Фактура материала</x:v>
      </x:c>
      <x:c r="C22" s="89" t="str">
        <x:v>Расширено</x:v>
      </x:c>
      <x:c r="D22" s="89" t="str">
        <x:v>Одинаковые цвета могли выглядеть одинаковым материалом.</x:v>
      </x:c>
      <x:c r="E22" s="89" t="str">
        <x:v>Добавлены отдельные процессы для волос, меха, шерстяной ткани, кожи, мрамора и нефрита.</x:v>
      </x:c>
      <x:c r="F22" s="89" t="str">
        <x:v>Warhammer подчёркивает необходимость различать материал через фактуру даже при близком цвете: гладкая ткань, кожа, волосы и шерсть требуют разных мазков.</x:v>
      </x:c>
    </x:row>
    <x:row r="27">
      <x:c r="A27" s="379" t="str">
        <x:v>ID</x:v>
      </x:c>
      <x:c r="B27" s="379" t="str">
        <x:v>Источник / идея</x:v>
      </x:c>
      <x:c r="C27" s="379" t="str">
        <x:v>URL</x:v>
      </x:c>
    </x:row>
    <x:row r="28">
      <x:c r="A28" s="376" t="str">
        <x:v>SRC6-01</x:v>
      </x:c>
      <x:c r="B28" s="376" t="str">
        <x:v>Warhammer: stippling for leathery skin</x:v>
      </x:c>
      <x:c r="C28" s="376" t="str">
        <x:v>https://www.warhammer-community.com/en-gb/articles/p8aiOYqn/this-bright-and-beautiful-belakor-paint-job-is-chefs-kiss/</x:v>
      </x:c>
    </x:row>
    <x:row r="29">
      <x:c r="A29" s="376" t="str">
        <x:v>SRC6-02</x:v>
      </x:c>
      <x:c r="B29" s="376" t="str">
        <x:v>Warhammer: countershading on Seraphon</x:v>
      </x:c>
      <x:c r="C29" s="376" t="str">
        <x:v>https://www.warhammer-community.com/en-gb/articles/82Ayy8Rz/painting-the-seraphon-how-eavy-metal-put-the-old-ones-painting-plan-in-action/</x:v>
      </x:c>
    </x:row>
    <x:row r="30">
      <x:c r="A30" s="376" t="str">
        <x:v>SRC6-03</x:v>
      </x:c>
      <x:c r="B30" s="376" t="str">
        <x:v>Warhammer: wet blending Incubi Darkness to Sybarite Green</x:v>
      </x:c>
      <x:c r="C30" s="376" t="str">
        <x:v>https://www.warhammer-community.com/en-gb/articles/5Qnc6gko/spyrers-from-the-warhammer-community-team-prepare-to-slaughter-in-the-underhells/</x:v>
      </x:c>
    </x:row>
    <x:row r="31">
      <x:c r="A31" s="376" t="str">
        <x:v>SRC6-04</x:v>
      </x:c>
      <x:c r="B31" s="376" t="str">
        <x:v>Warhammer: glazing as a universal transition and tinting technique</x:v>
      </x:c>
      <x:c r="C31" s="376" t="str">
        <x:v>https://www.warhammer-community.com/en-gb/articles/jvdb3ggw/learning-to-paint-better-and-faster-by-painting-really-slowly/</x:v>
      </x:c>
    </x:row>
    <x:row r="32">
      <x:c r="A32" s="376" t="str">
        <x:v>SRC6-05</x:v>
      </x:c>
      <x:c r="B32" s="376" t="str">
        <x:v>Warhammer: glazing, texturing, wet blending and consistency</x:v>
      </x:c>
      <x:c r="C32" s="376" t="str">
        <x:v>https://www.warhammer-community.com/en-gb/articles/DHo3SMEK/golden-demon-winners-share-their-top-tips-to-up-your-painting-game/</x:v>
      </x:c>
    </x:row>
    <x:row r="33">
      <x:c r="A33" s="376" t="str">
        <x:v>SRC6-06</x:v>
      </x:c>
      <x:c r="B33" s="376" t="str">
        <x:v>Vallejo: Liquid Mask for airbrush masking</x:v>
      </x:c>
      <x:c r="C33" s="376" t="str">
        <x:v>https://acrylicosvallejo.com/wp-content/uploads/2020/06/vallejo-stepbystep-liquidmask-EN.pdf</x:v>
      </x:c>
    </x:row>
    <x:row r="34">
      <x:c r="A34" s="376" t="str">
        <x:v>SRC6-07</x:v>
      </x:c>
      <x:c r="B34" s="376" t="str">
        <x:v>Iwata: airbrush can produce fine mist and spatter patterns</x:v>
      </x:c>
      <x:c r="C34" s="376" t="str">
        <x:v>https://www.iwata-airbrush.com/airbrush-basics.html</x:v>
      </x:c>
    </x:row>
    <x:row r="35">
      <x:c r="A35" s="376" t="str">
        <x:v>SRC6-08</x:v>
      </x:c>
      <x:c r="B35" s="376" t="str">
        <x:v>Iwata: restricted airflow for stipple effects</x:v>
      </x:c>
      <x:c r="C35" s="376" t="str">
        <x:v>https://www.iwata-airbrush.com/total-control.html</x:v>
      </x:c>
    </x:row>
    <x:row r="36">
      <x:c r="A36" s="376" t="str">
        <x:v>SRC6-09</x:v>
      </x:c>
      <x:c r="B36" s="376" t="str">
        <x:v>Warhammer: glazing darker colours over a common light base to create different materials</x:v>
      </x:c>
      <x:c r="C36" s="376" t="str">
        <x:v>https://www.warhammer-community.com/en-gb/articles/GQ7BZNik/make-elisse-duchaard-shine-with-painting-tips-from-the-warhammer-team/</x:v>
      </x:c>
    </x:row>
  </x:sheetData>
  <x:mergeCells>
    <x:mergeCell ref="A1:F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47" hidden="0" customWidth="1"/>
    <x:col min="3" max="3" width="37" hidden="0" customWidth="1"/>
    <x:col min="4" max="4" width="30" hidden="0" customWidth="1"/>
    <x:col min="5" max="5" width="24" hidden="0" customWidth="1"/>
    <x:col min="6" max="6" width="51" hidden="0" customWidth="1"/>
    <x:col min="7" max="7" width="55" hidden="0" customWidth="1"/>
    <x:col min="8" max="8" width="25" hidden="0" customWidth="1"/>
  </x:cols>
  <x:sheetData>
    <x:row r="1" ht="38" customHeight="1">
      <x:c r="A1" s="394" t="str">
        <x:v>Как передать материал: форма блика, фактура и финиш</x:v>
      </x:c>
      <x:c r="B1" s="394"/>
      <x:c r="C1" s="394"/>
      <x:c r="D1" s="394"/>
      <x:c r="E1" s="394"/>
      <x:c r="F1" s="394"/>
      <x:c r="G1" s="394"/>
      <x:c r="H1" s="394"/>
    </x:row>
    <x:row r="2" ht="38" customHeight="1">
      <x:c r="A2" s="397" t="str">
        <x:v>Цвет сам по себе не определяет материал. Основные признаки: ширина и резкость блика, матовость/глянец, характер мазка, расположение загрязнений и прозрачность верхних слоёв.</x:v>
      </x:c>
      <x:c r="B2" s="397"/>
      <x:c r="C2" s="397"/>
      <x:c r="D2" s="397"/>
      <x:c r="E2" s="397"/>
      <x:c r="F2" s="397"/>
      <x:c r="G2" s="397"/>
      <x:c r="H2" s="397"/>
    </x:row>
    <x:row r="4" ht="42" customHeight="1">
      <x:c r="A4" s="402" t="str">
        <x:v>Материал</x:v>
      </x:c>
      <x:c r="B4" s="402" t="str">
        <x:v>Основной визуальный признак</x:v>
      </x:c>
      <x:c r="C4" s="402" t="str">
        <x:v>Форма блика</x:v>
      </x:c>
      <x:c r="D4" s="402" t="str">
        <x:v>Фактура</x:v>
      </x:c>
      <x:c r="E4" s="402" t="str">
        <x:v>Финиш</x:v>
      </x:c>
      <x:c r="F4" s="402" t="str">
        <x:v>Лучшие материалы коллекции</x:v>
      </x:c>
      <x:c r="G4" s="402" t="str">
        <x:v>Что испортит эффект</x:v>
      </x:c>
      <x:c r="H4" s="402" t="str">
        <x:v>Рецепты</x:v>
      </x:c>
    </x:row>
    <x:row r="5">
      <x:c r="A5" s="89" t="str">
        <x:v>Матовая ткань</x:v>
      </x:c>
      <x:c r="B5" s="89" t="str">
        <x:v>Мягкий свет без отражений</x:v>
      </x:c>
      <x:c r="C5" s="89" t="str">
        <x:v>Широкий и слабый</x:v>
      </x:c>
      <x:c r="D5" s="89" t="str">
        <x:v>Складки, stippling</x:v>
      </x:c>
      <x:c r="E5" s="89" t="str">
        <x:v>Matt</x:v>
      </x:c>
      <x:c r="F5" s="89" t="str">
        <x:v>Contrast, Shade, Layer, Matt Varnish</x:v>
      </x:c>
      <x:c r="G5" s="89" t="str">
        <x:v>Gloss на всей ткани и одинаковая обводка всех складок</x:v>
      </x:c>
      <x:c r="H5" s="89" t="str">
        <x:v>3, 27, 72, 80, 98, 169</x:v>
      </x:c>
    </x:row>
    <x:row r="6">
      <x:c r="A6" s="89" t="str">
        <x:v>Шерсть</x:v>
      </x:c>
      <x:c r="B6" s="89" t="str">
        <x:v>Рассеянная шероховатая поверхность</x:v>
      </x:c>
      <x:c r="C6" s="89" t="str">
        <x:v>Слабый, разбитый точками</x:v>
      </x:c>
      <x:c r="D6" s="89" t="str">
        <x:v>Stippling по гребням складок</x:v>
      </x:c>
      <x:c r="E6" s="89" t="str">
        <x:v>Matt</x:v>
      </x:c>
      <x:c r="F6" s="89" t="str">
        <x:v>The Fang, Fenrisian, Ulthuan, Space Wolves Grey</x:v>
      </x:c>
      <x:c r="G6" s="89" t="str">
        <x:v>Равномерная крапинка в тенях</x:v>
      </x:c>
      <x:c r="H6" s="89" t="str">
        <x:v>169</x:v>
      </x:c>
    </x:row>
    <x:row r="7">
      <x:c r="A7" s="89" t="str">
        <x:v>Гладкая кожа</x:v>
      </x:c>
      <x:c r="B7" s="89" t="str">
        <x:v>Тёмная масса и узкие потёртые края</x:v>
      </x:c>
      <x:c r="C7" s="89" t="str">
        <x:v>Узкий, местами прерывистый</x:v>
      </x:c>
      <x:c r="D7" s="89" t="str">
        <x:v>Линии и царапины</x:v>
      </x:c>
      <x:c r="E7" s="89" t="str">
        <x:v>Satin</x:v>
      </x:c>
      <x:c r="F7" s="89" t="str">
        <x:v>Cygor, Wyldwood, Gorthor, Baneblade, Satin Varnish</x:v>
      </x:c>
      <x:c r="G7" s="89" t="str">
        <x:v>Полный Gloss и одинаковые светлые края</x:v>
      </x:c>
      <x:c r="H7" s="89" t="str">
        <x:v>38–40, 87, 170</x:v>
      </x:c>
    </x:row>
    <x:row r="8">
      <x:c r="A8" s="89" t="str">
        <x:v>Замша</x:v>
      </x:c>
      <x:c r="B8" s="89" t="str">
        <x:v>Мягкая матовая поверхность</x:v>
      </x:c>
      <x:c r="C8" s="89" t="str">
        <x:v>Почти отсутствует</x:v>
      </x:c>
      <x:c r="D8" s="89" t="str">
        <x:v>Мелкий stippling</x:v>
      </x:c>
      <x:c r="E8" s="89" t="str">
        <x:v>Matt</x:v>
      </x:c>
      <x:c r="F8" s="89" t="str">
        <x:v>Rhinox, Gorthor, Baneblade, Karak Stone</x:v>
      </x:c>
      <x:c r="G8" s="89" t="str">
        <x:v>Длинные чистые edge highlights</x:v>
      </x:c>
      <x:c r="H8" s="89" t="str">
        <x:v>186</x:v>
      </x:c>
    </x:row>
    <x:row r="9">
      <x:c r="A9" s="89" t="str">
        <x:v>Маслянистая кожа</x:v>
      </x:c>
      <x:c r="B9" s="89" t="str">
        <x:v>Почти чёрный материал с локальным мокрым блеском</x:v>
      </x:c>
      <x:c r="C9" s="89" t="str">
        <x:v>Длинный узкий</x:v>
      </x:c>
      <x:c r="D9" s="89" t="str">
        <x:v>Гладкая</x:v>
      </x:c>
      <x:c r="E9" s="89" t="str">
        <x:v>Satin + локальный Gloss</x:v>
      </x:c>
      <x:c r="F9" s="89" t="str">
        <x:v>Black, Corvus, Eshin, Nuln Oil Gloss</x:v>
      </x:c>
      <x:c r="G9" s="89" t="str">
        <x:v>Равномерный зеркальный Gloss</x:v>
      </x:c>
      <x:c r="H9" s="89" t="str">
        <x:v>185</x:v>
      </x:c>
    </x:row>
    <x:row r="10">
      <x:c r="A10" s="89" t="str">
        <x:v>Лак/эмаль</x:v>
      </x:c>
      <x:c r="B10" s="89" t="str">
        <x:v>Чистый насыщенный цвет</x:v>
      </x:c>
      <x:c r="C10" s="89" t="str">
        <x:v>Геометрический, резкий, длинный</x:v>
      </x:c>
      <x:c r="D10" s="89" t="str">
        <x:v>Гладкая</x:v>
      </x:c>
      <x:c r="E10" s="89" t="str">
        <x:v>Gloss</x:v>
      </x:c>
      <x:c r="F10" s="89" t="str">
        <x:v>Red chain, White, Baal Red, Gloss Varnish</x:v>
      </x:c>
      <x:c r="G10" s="89" t="str">
        <x:v>Обычная равномерная обводка кромок вместо отражения</x:v>
      </x:c>
      <x:c r="H10" s="89" t="str">
        <x:v>187</x:v>
      </x:c>
    </x:row>
    <x:row r="11">
      <x:c r="A11" s="89" t="str">
        <x:v>Фарфор</x:v>
      </x:c>
      <x:c r="B11" s="89" t="str">
        <x:v>Почти белая гладкая масса с холодной тенью</x:v>
      </x:c>
      <x:c r="C11" s="89" t="str">
        <x:v>Резкий белый</x:v>
      </x:c>
      <x:c r="D11" s="89" t="str">
        <x:v>Гладкая</x:v>
      </x:c>
      <x:c r="E11" s="89" t="str">
        <x:v>Gloss</x:v>
      </x:c>
      <x:c r="F11" s="89" t="str">
        <x:v>Ulthuan, White Grey, White, Dreadful Visage</x:v>
      </x:c>
      <x:c r="G11" s="89" t="str">
        <x:v>Слишком серый или каменистый drybrush</x:v>
      </x:c>
      <x:c r="H11" s="89" t="str">
        <x:v>188</x:v>
      </x:c>
    </x:row>
    <x:row r="12">
      <x:c r="A12" s="89" t="str">
        <x:v>Стекло/обсидиан</x:v>
      </x:c>
      <x:c r="B12" s="89" t="str">
        <x:v>Большие тёмные области и минимум чистых отражений</x:v>
      </x:c>
      <x:c r="C12" s="89" t="str">
        <x:v>Очень резкий, контрастный</x:v>
      </x:c>
      <x:c r="D12" s="89" t="str">
        <x:v>Гладкая</x:v>
      </x:c>
      <x:c r="E12" s="89" t="str">
        <x:v>Gloss</x:v>
      </x:c>
      <x:c r="F12" s="89" t="str">
        <x:v>Black, Leviadon, Eshin, White Grey, Blue Ink</x:v>
      </x:c>
      <x:c r="G12" s="89" t="str">
        <x:v>Много равномерных серых слоёв</x:v>
      </x:c>
      <x:c r="H12" s="89" t="str">
        <x:v>189</x:v>
      </x:c>
    </x:row>
    <x:row r="13">
      <x:c r="A13" s="89" t="str">
        <x:v>Мокрая органика</x:v>
      </x:c>
      <x:c r="B13" s="89" t="str">
        <x:v>Насыщенный цвет и белые glistening points</x:v>
      </x:c>
      <x:c r="C13" s="89" t="str">
        <x:v>Маленькие белые точки и линии</x:v>
      </x:c>
      <x:c r="D13" s="89" t="str">
        <x:v>Гладкая/слизистая</x:v>
      </x:c>
      <x:c r="E13" s="89" t="str">
        <x:v>Локальный Gloss</x:v>
      </x:c>
      <x:c r="F13" s="89" t="str">
        <x:v>Carroburg, Sickly Pink, Blood/Viscera, White</x:v>
      </x:c>
      <x:c r="G13" s="89" t="str">
        <x:v>Общий Gloss на окружающей коже</x:v>
      </x:c>
      <x:c r="H13" s="89" t="str">
        <x:v>181–184</x:v>
      </x:c>
    </x:row>
    <x:row r="14">
      <x:c r="A14" s="89" t="str">
        <x:v>Сухая кость</x:v>
      </x:c>
      <x:c r="B14" s="89" t="str">
        <x:v>Пористая тёплая поверхность</x:v>
      </x:c>
      <x:c r="C14" s="89" t="str">
        <x:v>Мягкий</x:v>
      </x:c>
      <x:c r="D14" s="89" t="str">
        <x:v>Трещины и сухие линии</x:v>
      </x:c>
      <x:c r="E14" s="89" t="str">
        <x:v>Matt</x:v>
      </x:c>
      <x:c r="F14" s="89" t="str">
        <x:v>Rakarth, Screaming Skull, Flayed, Pallid</x:v>
      </x:c>
      <x:c r="G14" s="89" t="str">
        <x:v>Глянцевый равномерный слой</x:v>
      </x:c>
      <x:c r="H14" s="89" t="str">
        <x:v>44–47</x:v>
      </x:c>
    </x:row>
    <x:row r="15">
      <x:c r="A15" s="89" t="str">
        <x:v>Полированный ivory</x:v>
      </x:c>
      <x:c r="B15" s="89" t="str">
        <x:v>Светлая тёплая масса без сильной пористости</x:v>
      </x:c>
      <x:c r="C15" s="89" t="str">
        <x:v>Мягкий компактный</x:v>
      </x:c>
      <x:c r="D15" s="89" t="str">
        <x:v>Гладкая</x:v>
      </x:c>
      <x:c r="E15" s="89" t="str">
        <x:v>Satin</x:v>
      </x:c>
      <x:c r="F15" s="89" t="str">
        <x:v>Rakarth, Screaming, Flayed, Pallid, White</x:v>
      </x:c>
      <x:c r="G15" s="89" t="str">
        <x:v>Резкие стеклянные отражения</x:v>
      </x:c>
      <x:c r="H15" s="89" t="str">
        <x:v>208</x:v>
      </x:c>
    </x:row>
    <x:row r="16">
      <x:c r="A16" s="89" t="str">
        <x:v>Обычный металл</x:v>
      </x:c>
      <x:c r="B16" s="89" t="str">
        <x:v>Отражение среды и яркие кромки</x:v>
      </x:c>
      <x:c r="C16" s="89" t="str">
        <x:v>Резкий металлический</x:v>
      </x:c>
      <x:c r="D16" s="89" t="str">
        <x:v>Гладкая или механическая</x:v>
      </x:c>
      <x:c r="E16" s="89" t="str">
        <x:v>Metal Varnish/Satin</x:v>
      </x:c>
      <x:c r="F16" s="89" t="str">
        <x:v>Metal Color, Iron Warriors, Runefang, Silver</x:v>
      </x:c>
      <x:c r="G16" s="89" t="str">
        <x:v>Толстый Matt Varnish</x:v>
      </x:c>
      <x:c r="H16" s="89" t="str">
        <x:v>52–60, 137–138</x:v>
      </x:c>
    </x:row>
    <x:row r="17">
      <x:c r="A17" s="89" t="str">
        <x:v>Патинированный металл</x:v>
      </x:c>
      <x:c r="B17" s="89" t="str">
        <x:v>Матовая патина в защищённых местах и блестящий износ</x:v>
      </x:c>
      <x:c r="C17" s="89" t="str">
        <x:v>Яркий только на потёртостях</x:v>
      </x:c>
      <x:c r="D17" s="89" t="str">
        <x:v>Пятнистая</x:v>
      </x:c>
      <x:c r="E17" s="89" t="str">
        <x:v>Satin/Metal</x:v>
      </x:c>
      <x:c r="F17" s="89" t="str">
        <x:v>Nihilakh, Warplock, Copper, Runelord, Silver</x:v>
      </x:c>
      <x:c r="G17" s="89" t="str">
        <x:v>Равномерная бирюзовая заливка всей поверхности</x:v>
      </x:c>
      <x:c r="H17" s="89" t="str">
        <x:v>198, 200</x:v>
      </x:c>
    </x:row>
    <x:row r="18">
      <x:c r="A18" s="89" t="str">
        <x:v>Мокрый камень/грязь</x:v>
      </x:c>
      <x:c r="B18" s="89" t="str">
        <x:v>Тёмные мокрые впадины и светлые сухие вершины</x:v>
      </x:c>
      <x:c r="C18" s="89" t="str">
        <x:v>Локальный на горизонтальных поверхностях</x:v>
      </x:c>
      <x:c r="D18" s="89" t="str">
        <x:v>Грубая</x:v>
      </x:c>
      <x:c r="E18" s="89" t="str">
        <x:v>Matt + локальный Gloss</x:v>
      </x:c>
      <x:c r="F18" s="89" t="str">
        <x:v>German Grey, Light Earth, Gloss Shades/Varnish</x:v>
      </x:c>
      <x:c r="G18" s="89" t="str">
        <x:v>Одинаковый Gloss по всей подставке</x:v>
      </x:c>
      <x:c r="H18" s="89" t="str">
        <x:v>201–202</x:v>
      </x:c>
    </x:row>
    <x:row r="19">
      <x:c r="A19" s="89" t="str">
        <x:v>Дым</x:v>
      </x:c>
      <x:c r="B19" s="89" t="str">
        <x:v>Мягкие клубы без резких кромок</x:v>
      </x:c>
      <x:c r="C19" s="89" t="str">
        <x:v>Отсутствует</x:v>
      </x:c>
      <x:c r="D19" s="89" t="str">
        <x:v>Скульптурный объём + drybrush/glaze</x:v>
      </x:c>
      <x:c r="E19" s="89" t="str">
        <x:v>Matt</x:v>
      </x:c>
      <x:c r="F19" s="89" t="str">
        <x:v>Black/greys или цветные цепочки + Contrast glaze</x:v>
      </x:c>
      <x:c r="G19" s="89" t="str">
        <x:v>Белые жёсткие линии, превращающие дым в камень</x:v>
      </x:c>
      <x:c r="H19" s="89" t="str">
        <x:v>191–195</x:v>
      </x:c>
    </x:row>
    <x:row r="20">
      <x:c r="A20" s="89" t="str">
        <x:v>Призрачная материя</x:v>
      </x:c>
      <x:c r="B20" s="89" t="str">
        <x:v>Очень светлая масса с цветом в углублениях</x:v>
      </x:c>
      <x:c r="C20" s="89" t="str">
        <x:v>Внутреннее свечение</x:v>
      </x:c>
      <x:c r="D20" s="89" t="str">
        <x:v>Гладкие прозрачные переходы</x:v>
      </x:c>
      <x:c r="E20" s="89" t="str">
        <x:v>Matt/Satin</x:v>
      </x:c>
      <x:c r="F20" s="89" t="str">
        <x:v>White Primer, Frostheart, Hexwraith, Dreadful Visage</x:v>
      </x:c>
      <x:c r="G20" s="89" t="str">
        <x:v>Непрозрачная тёмная база на всей фигуре</x:v>
      </x:c>
      <x:c r="H20" s="89" t="str">
        <x:v>205–207</x:v>
      </x:c>
    </x:row>
    <x:row r="21">
      <x:c r="A21" s="89" t="str">
        <x:v>Иридисцентный панцирь</x:v>
      </x:c>
      <x:c r="B21" s="89" t="str">
        <x:v>Цвет меняется поперёк обычного освещения</x:v>
      </x:c>
      <x:c r="C21" s="89" t="str">
        <x:v>Резкие серебряные точки</x:v>
      </x:c>
      <x:c r="D21" s="89" t="str">
        <x:v>Гладкая</x:v>
      </x:c>
      <x:c r="E21" s="89" t="str">
        <x:v>Gloss</x:v>
      </x:c>
      <x:c r="F21" s="89" t="str">
        <x:v>Akhelian, Luxion, Blue/Violet Ink, Silver</x:v>
      </x:c>
      <x:c r="G21" s="89" t="str">
        <x:v>Смешать цвета в один однородный фиолетово-зелёный</x:v>
      </x:c>
      <x:c r="H21" s="89" t="str">
        <x:v>210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4d970a1d28f432c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3" hidden="0" customWidth="1"/>
    <x:col min="3" max="3" width="18" hidden="0" customWidth="1"/>
    <x:col min="4" max="4" width="57" hidden="0" customWidth="1"/>
    <x:col min="5" max="5" width="75" hidden="0" customWidth="1"/>
    <x:col min="6" max="6" width="88" hidden="0" customWidth="1"/>
  </x:cols>
  <x:sheetData>
    <x:row r="1" ht="38" customHeight="1">
      <x:c r="A1" s="394" t="str">
        <x:v>Седьмой проход: физика материалов, дым, призраки и металл</x:v>
      </x:c>
      <x:c r="B1" s="394"/>
      <x:c r="C1" s="394"/>
      <x:c r="D1" s="394"/>
      <x:c r="E1" s="394"/>
      <x:c r="F1" s="394"/>
    </x:row>
    <x:row r="3">
      <x:c r="A3" s="399" t="str">
        <x:v>Показатель</x:v>
      </x:c>
      <x:c r="B3" s="399" t="str">
        <x:v>Результат</x:v>
      </x:c>
    </x:row>
    <x:row r="4">
      <x:c r="A4" s="405" t="str">
        <x:v>Рецептов до прохода</x:v>
      </x:c>
      <x:c r="B4" s="406" t="n">
        <x:v>180</x:v>
      </x:c>
    </x:row>
    <x:row r="5">
      <x:c r="A5" s="405" t="str">
        <x:v>Новых рецептов</x:v>
      </x:c>
      <x:c r="B5" s="406" t="n">
        <x:v>30</x:v>
      </x:c>
    </x:row>
    <x:row r="6">
      <x:c r="A6" s="405" t="str">
        <x:v>Рецептов после прохода</x:v>
      </x:c>
      <x:c r="B6" s="406" t="n">
        <x:v>210</x:v>
      </x:c>
    </x:row>
    <x:row r="7">
      <x:c r="A7" s="405" t="str">
        <x:v>Новых мокрых/глянцевых материалов</x:v>
      </x:c>
      <x:c r="B7" s="406" t="n">
        <x:v>10</x:v>
      </x:c>
    </x:row>
    <x:row r="8">
      <x:c r="A8" s="405" t="str">
        <x:v>Новых схем дыма и призраков</x:v>
      </x:c>
      <x:c r="B8" s="406" t="n">
        <x:v>8</x:v>
      </x:c>
    </x:row>
    <x:row r="9">
      <x:c r="A9" s="405" t="str">
        <x:v>Новых металлических схем</x:v>
      </x:c>
      <x:c r="B9" s="406" t="n">
        <x:v>7</x:v>
      </x:c>
    </x:row>
    <x:row r="10">
      <x:c r="A10" s="405" t="str">
        <x:v>Добавлен справочник материалов</x:v>
      </x:c>
      <x:c r="B10" s="406" t="n">
        <x:v>18</x:v>
      </x:c>
    </x:row>
    <x:row r="11">
      <x:c r="A11" s="405" t="str">
        <x:v>Добавлены ошибки материала</x:v>
      </x:c>
      <x:c r="B11" s="406" t="n">
        <x:v>6</x:v>
      </x:c>
    </x:row>
    <x:row r="12">
      <x:c r="A12" s="405" t="str">
        <x:v>Ключевой принцип</x:v>
      </x:c>
      <x:c r="B12" s="405" t="str">
        <x:v>Материал определяется не только цветом, но формой блика, фактурой и локальным финишем</x:v>
      </x:c>
    </x:row>
    <x:row r="15">
      <x:c r="A15" s="402" t="str">
        <x:v>ID</x:v>
      </x:c>
      <x:c r="B15" s="402" t="str">
        <x:v>Область</x:v>
      </x:c>
      <x:c r="C15" s="402" t="str">
        <x:v>Статус</x:v>
      </x:c>
      <x:c r="D15" s="402" t="str">
        <x:v>Что обнаружено</x:v>
      </x:c>
      <x:c r="E15" s="402" t="str">
        <x:v>Действие</x:v>
      </x:c>
      <x:c r="F15" s="402" t="str">
        <x:v>Основание</x:v>
      </x:c>
    </x:row>
    <x:row r="16">
      <x:c r="A16" s="89" t="str">
        <x:v>AUD7-01</x:v>
      </x:c>
      <x:c r="B16" s="89" t="str">
        <x:v>Мокрая органика</x:v>
      </x:c>
      <x:c r="C16" s="89" t="str">
        <x:v>Добавлено</x:v>
      </x:c>
      <x:c r="D16" s="89" t="str">
        <x:v>Ранее кровь и слизь были представлены эффектами, но не системной физикой мокрой поверхности.</x:v>
      </x:c>
      <x:c r="E16" s="89" t="str">
        <x:v>Добавлены светлые подслои, красные глазури, белые glints и строго локальный Gloss.</x:v>
      </x:c>
      <x:c r="F16" s="89" t="str">
        <x:v>Warhammer ’Eavy Metal подчёркивает, что мокрые язвы и свежие внутренности читаются через сохранённые яркие света и чистые белые блики.</x:v>
      </x:c>
    </x:row>
    <x:row r="17">
      <x:c r="A17" s="89" t="str">
        <x:v>AUD7-02</x:v>
      </x:c>
      <x:c r="B17" s="89" t="str">
        <x:v>Лак, фарфор и стекло</x:v>
      </x:c>
      <x:c r="C17" s="89" t="str">
        <x:v>Добавлено</x:v>
      </x:c>
      <x:c r="D17" s="89" t="str">
        <x:v>Глянцевые материалы могли отличаться только лаком.</x:v>
      </x:c>
      <x:c r="E17" s="89" t="str">
        <x:v>Добавлены разные формы отражений: длинные полосы у лака, холодные чистые блики у фарфора, большие чёрные поля у обсидиана.</x:v>
      </x:c>
      <x:c r="F17" s="89" t="str">
        <x:v>Форма и контраст блика стали отдельным параметром рецепта.</x:v>
      </x:c>
    </x:row>
    <x:row r="18">
      <x:c r="A18" s="89" t="str">
        <x:v>AUD7-03</x:v>
      </x:c>
      <x:c r="B18" s="89" t="str">
        <x:v>Дым</x:v>
      </x:c>
      <x:c r="C18" s="89" t="str">
        <x:v>Добавлено</x:v>
      </x:c>
      <x:c r="D18" s="89" t="str">
        <x:v>Не было полного диапазона нейтрального, чёрного и магического дыма.</x:v>
      </x:c>
      <x:c r="E18" s="89" t="str">
        <x:v>Добавлены пять дымовых схем и правило мягких внешних клубов без каменной обводки.</x:v>
      </x:c>
      <x:c r="F18" s="89" t="str">
        <x:v>Warhammer публикует отдельные руководства для дыма, включая обычный дым и зелёный warpfire.</x:v>
      </x:c>
    </x:row>
    <x:row r="19">
      <x:c r="A19" s="89" t="str">
        <x:v>AUD7-04</x:v>
      </x:c>
      <x:c r="B19" s="89" t="str">
        <x:v>Призрачные эффекты</x:v>
      </x:c>
      <x:c r="C19" s="89" t="str">
        <x:v>Добавлено</x:v>
      </x:c>
      <x:c r="D19" s="89" t="str">
        <x:v>Светящиеся эффекты были представлены плазмой и глазами, но не полной призрачной фигурой.</x:v>
      </x:c>
      <x:c r="E19" s="89" t="str">
        <x:v>Добавлены голубая, зелёная и фиолетовая светлые призрачные схемы.</x:v>
      </x:c>
      <x:c r="F19" s="89" t="str">
        <x:v>Официальные схемы Death используют насыщенные teal/green ghostly tones и очень светлые окончания форм.</x:v>
      </x:c>
    </x:row>
    <x:row r="20">
      <x:c r="A20" s="89" t="str">
        <x:v>AUD7-05</x:v>
      </x:c>
      <x:c r="B20" s="89" t="str">
        <x:v>Термическое окрашивание</x:v>
      </x:c>
      <x:c r="C20" s="89" t="str">
        <x:v>Добавлено</x:v>
      </x:c>
      <x:c r="D20" s="89" t="str">
        <x:v>Нагретый металл был представлен общей цветной тонировкой.</x:v>
      </x:c>
      <x:c r="E20" s="89" t="str">
        <x:v>Закреплена последовательность Yellow Ink → Violet Ink → Blue Ink → копоть с возвратом Silver.</x:v>
      </x:c>
      <x:c r="F20" s="89" t="str">
        <x:v>Прозрачные фильтры сохраняют металлическое отражение и дают управляемые зоны нагрева.</x:v>
      </x:c>
    </x:row>
    <x:row r="21">
      <x:c r="A21" s="89" t="str">
        <x:v>AUD7-06</x:v>
      </x:c>
      <x:c r="B21" s="89" t="str">
        <x:v>Патина</x:v>
      </x:c>
      <x:c r="C21" s="89" t="str">
        <x:v>Уточнено</x:v>
      </x:c>
      <x:c r="D21" s="89" t="str">
        <x:v>Nihilakh Oxide использовался, но без отдельного физического правила.</x:v>
      </x:c>
      <x:c r="E21" s="89" t="str">
        <x:v>Патина ограничена защищёнными углублениями, а трущиеся края возвращаются тёплым металлом и серебром.</x:v>
      </x:c>
      <x:c r="F21" s="89" t="str">
        <x:v>Citadel относит Nihilakh Oxide к Technical weathering; локальное нанесение сохраняет читаемость металла.</x:v>
      </x:c>
    </x:row>
    <x:row r="22">
      <x:c r="A22" s="89" t="str">
        <x:v>AUD7-07</x:v>
      </x:c>
      <x:c r="B22" s="89" t="str">
        <x:v>Разделённый финиш</x:v>
      </x:c>
      <x:c r="C22" s="89" t="str">
        <x:v>Добавлено</x:v>
      </x:c>
      <x:c r="D22" s="89" t="str">
        <x:v>Один финальный лак мог уравнивать ткань, металл, кожу, слизь и камень.</x:v>
      </x:c>
      <x:c r="E22" s="89" t="str">
        <x:v>Добавлен процесс общий Matt → локальный Satin/Gloss/Metal Varnish.</x:v>
      </x:c>
      <x:c r="F22" s="89" t="str">
        <x:v>Различие финишей усиливает материал без добавления новых красок.</x:v>
      </x:c>
    </x:row>
    <x:row r="27">
      <x:c r="A27" s="408" t="str">
        <x:v>ID</x:v>
      </x:c>
      <x:c r="B27" s="408" t="str">
        <x:v>Источник / идея</x:v>
      </x:c>
      <x:c r="C27" s="408" t="str">
        <x:v>URL</x:v>
      </x:c>
    </x:row>
    <x:row r="28">
      <x:c r="A28" s="405" t="str">
        <x:v>SRC7-01</x:v>
      </x:c>
      <x:c r="B28" s="405" t="str">
        <x:v>Warhammer: wet sores retain bright under-highlights and pure white glints</x:v>
      </x:c>
      <x:c r="C28" s="405" t="str">
        <x:v>https://www.warhammer-community.com/en-gb/articles/IgotteJj/painting-ushoran-how-eavy-metal-paid-tribute-to-the-mad-king/</x:v>
      </x:c>
    </x:row>
    <x:row r="29">
      <x:c r="A29" s="405" t="str">
        <x:v>SRC7-02</x:v>
      </x:c>
      <x:c r="B29" s="405" t="str">
        <x:v>Warhammer: fresh entrails and gore use pure white highlights for wet glistening</x:v>
      </x:c>
      <x:c r="C29" s="405" t="str">
        <x:v>https://www.warhammer-community.com/en-gb/articles/MtjsbjPN/painting-the-flesh-eater-courts-how-eavy-metal-rendered-the-royal-court/</x:v>
      </x:c>
    </x:row>
    <x:row r="30">
      <x:c r="A30" s="405" t="str">
        <x:v>SRC7-03</x:v>
      </x:c>
      <x:c r="B30" s="405" t="str">
        <x:v>Warhammer: intermediate smoke guide</x:v>
      </x:c>
      <x:c r="C30" s="405" t="str">
        <x:v>https://www.warhammer-community.com/en-gb/videos/kImj6NH9/how-to-paint-smoke-intermediate-warhammer/</x:v>
      </x:c>
    </x:row>
    <x:row r="31">
      <x:c r="A31" s="405" t="str">
        <x:v>SRC7-04</x:v>
      </x:c>
      <x:c r="B31" s="405" t="str">
        <x:v>Warhammer: green warpfire and spectral smoke guide</x:v>
      </x:c>
      <x:c r="C31" s="405" t="str">
        <x:v>https://www.warhammer-community.com/en-gb/videos/HBKaSzQM/how-to-paint-green-warpfire-intermediate-level-warhammer-40000/</x:v>
      </x:c>
    </x:row>
    <x:row r="32">
      <x:c r="A32" s="405" t="str">
        <x:v>SRC7-05</x:v>
      </x:c>
      <x:c r="B32" s="405" t="str">
        <x:v>Warhammer: ghostly green hues and teal Death visual language</x:v>
      </x:c>
      <x:c r="C32" s="405" t="str">
        <x:v>https://www.warhammer-community.com/en-gb/articles/EO3EAaxT/alternative-colour-schemes-freshen-up-your-forces-with-these-divergent-painting-suggestions/</x:v>
      </x:c>
    </x:row>
    <x:row r="33">
      <x:c r="A33" s="405" t="str">
        <x:v>SRC7-06</x:v>
      </x:c>
      <x:c r="B33" s="405" t="str">
        <x:v>Warhammer: smoke and magic blends from blue through white and black</x:v>
      </x:c>
      <x:c r="C33" s="405" t="str">
        <x:v>https://www.warhammer-community.com/en-gb/articles/ac2gd6l3/painting-iridan-the-witness-a-step-by-step-guide/</x:v>
      </x:c>
    </x:row>
    <x:row r="34">
      <x:c r="A34" s="405" t="str">
        <x:v>SRC7-07</x:v>
      </x:c>
      <x:c r="B34" s="405" t="str">
        <x:v>Warhammer: glazes create subtle transitions and tint existing layers</x:v>
      </x:c>
      <x:c r="C34" s="405" t="str">
        <x:v>https://www.warhammer-community.com/en-gb/articles/jvdb3ggw/learning-to-paint-better-and-faster-by-painting-really-slowly/</x:v>
      </x:c>
    </x:row>
    <x:row r="35">
      <x:c r="A35" s="405" t="str">
        <x:v>SRC7-08</x:v>
      </x:c>
      <x:c r="B35" s="405" t="str">
        <x:v>Vallejo: acrylic filters, washes, fading, mud, rust and metal effects</x:v>
      </x:c>
      <x:c r="C35" s="405" t="str">
        <x:v>https://acrylicosvallejo.com/en/hobby-videos/</x:v>
      </x:c>
    </x:row>
    <x:row r="36">
      <x:c r="A36" s="405" t="str">
        <x:v>SRC7-09</x:v>
      </x:c>
      <x:c r="B36" s="405" t="str">
        <x:v>Vallejo: Wood &amp; Leather set includes transparent Smoke and step-by-step guide</x:v>
      </x:c>
      <x:c r="C36" s="405" t="str">
        <x:v>https://acrylicosvallejo.com/en/product/hobby/sets/effects-en/wood-leather-70182/</x:v>
      </x:c>
    </x:row>
  </x:sheetData>
  <x:mergeCells>
    <x:mergeCell ref="A1:F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31" hidden="0" customWidth="1"/>
    <x:col min="4" max="4" width="29" hidden="0" customWidth="1"/>
    <x:col min="5" max="5" width="26" hidden="0" customWidth="1"/>
    <x:col min="6" max="6" width="26" hidden="0" customWidth="1"/>
    <x:col min="7" max="7" width="41" hidden="0" customWidth="1"/>
    <x:col min="8" max="8" width="46" hidden="0" customWidth="1"/>
    <x:col min="9" max="9" width="24" hidden="0" customWidth="1"/>
  </x:cols>
  <x:sheetData>
    <x:row r="1" ht="38" customHeight="1">
      <x:c r="A1" s="418" t="str">
        <x:v>Карта оттенков кожи из текущей коллекции</x:v>
      </x:c>
      <x:c r="B1" s="418"/>
      <x:c r="C1" s="418"/>
      <x:c r="D1" s="418"/>
      <x:c r="E1" s="418"/>
      <x:c r="F1" s="418"/>
      <x:c r="G1" s="418"/>
      <x:c r="H1" s="418"/>
      <x:c r="I1" s="418"/>
    </x:row>
    <x:row r="2" ht="36" customHeight="1">
      <x:c r="A2" s="421" t="str">
        <x:v>Пропорции являются стартовыми. Андертон должен изменять температуру кожи, а не становиться самостоятельным зелёным, синим или розовым слоем.</x:v>
      </x:c>
      <x:c r="B2" s="421"/>
      <x:c r="C2" s="421"/>
      <x:c r="D2" s="421"/>
      <x:c r="E2" s="421"/>
      <x:c r="F2" s="421"/>
      <x:c r="G2" s="421"/>
      <x:c r="H2" s="421"/>
      <x:c r="I2" s="421"/>
    </x:row>
    <x:row r="4" ht="42" customHeight="1">
      <x:c r="A4" s="426" t="str">
        <x:v>Тип кожи</x:v>
      </x:c>
      <x:c r="B4" s="426" t="str">
        <x:v>База</x:v>
      </x:c>
      <x:c r="C4" s="426" t="str">
        <x:v>Глубокая тень</x:v>
      </x:c>
      <x:c r="D4" s="426" t="str">
        <x:v>Средний тон</x:v>
      </x:c>
      <x:c r="E4" s="426" t="str">
        <x:v>Свет 1</x:v>
      </x:c>
      <x:c r="F4" s="426" t="str">
        <x:v>Свет 2</x:v>
      </x:c>
      <x:c r="G4" s="426" t="str">
        <x:v>Цветовые зоны</x:v>
      </x:c>
      <x:c r="H4" s="426" t="str">
        <x:v>Главный риск</x:v>
      </x:c>
      <x:c r="I4" s="426" t="str">
        <x:v>Рецепт</x:v>
      </x:c>
    </x:row>
    <x:row r="5">
      <x:c r="A5" s="89" t="str">
        <x:v>Обычная тёплая</x:v>
      </x:c>
      <x:c r="B5" s="89" t="str">
        <x:v>Cadian Fleshtone</x:v>
      </x:c>
      <x:c r="C5" s="89" t="str">
        <x:v>Guilliman Flesh / Reikland</x:v>
      </x:c>
      <x:c r="D5" s="89" t="str">
        <x:v>Cadian Fleshtone</x:v>
      </x:c>
      <x:c r="E5" s="89" t="str">
        <x:v>Flayed One Flesh</x:v>
      </x:c>
      <x:c r="F5" s="89" t="str">
        <x:v>Pallid Wych Flesh</x:v>
      </x:c>
      <x:c r="G5" s="89" t="str">
        <x:v>Carroburg на щёки и губы</x:v>
      </x:c>
      <x:c r="H5" s="89" t="str">
        <x:v>Слишком оранжевое лицо</x:v>
      </x:c>
      <x:c r="I5" s="89" t="str">
        <x:v>31–36, 101, 116–117</x:v>
      </x:c>
    </x:row>
    <x:row r="6">
      <x:c r="A6" s="89" t="str">
        <x:v>Загорелая/обветренная</x:v>
      </x:c>
      <x:c r="B6" s="89" t="str">
        <x:v>Knight-Questor Flesh</x:v>
      </x:c>
      <x:c r="C6" s="89" t="str">
        <x:v>Targor Rageshade</x:v>
      </x:c>
      <x:c r="D6" s="89" t="str">
        <x:v>Cadian Fleshtone</x:v>
      </x:c>
      <x:c r="E6" s="89" t="str">
        <x:v>Flayed One Flesh</x:v>
      </x:c>
      <x:c r="F6" s="89" t="str">
        <x:v>Pale Flesh</x:v>
      </x:c>
      <x:c r="G6" s="89" t="str">
        <x:v>Reikland на средние зоны</x:v>
      </x:c>
      <x:c r="H6" s="89" t="str">
        <x:v>Высветлить всё тело до бледного</x:v>
      </x:c>
      <x:c r="I6" s="89" t="str">
        <x:v>211</x:v>
      </x:c>
    </x:row>
    <x:row r="7">
      <x:c r="A7" s="89" t="str">
        <x:v>Глубокая тёплая смуглая</x:v>
      </x:c>
      <x:c r="B7" s="89" t="str">
        <x:v>Rhinox Hide + Bugman's Glow 1:1</x:v>
      </x:c>
      <x:c r="C7" s="89" t="str">
        <x:v>Rhinox Hide</x:v>
      </x:c>
      <x:c r="D7" s="89" t="str">
        <x:v>Bugman's Glow</x:v>
      </x:c>
      <x:c r="E7" s="89" t="str">
        <x:v>Knight-Questor Flesh</x:v>
      </x:c>
      <x:c r="F7" s="89" t="str">
        <x:v>Cadian/Flayed точечно</x:v>
      </x:c>
      <x:c r="G7" s="89" t="str">
        <x:v>Brown Rose glaze</x:v>
      </x:c>
      <x:c r="H7" s="89" t="str">
        <x:v>Меловые света от White</x:v>
      </x:c>
      <x:c r="I7" s="89" t="str">
        <x:v>212</x:v>
      </x:c>
    </x:row>
    <x:row r="8">
      <x:c r="A8" s="89" t="str">
        <x:v>Глубокая холодная смуглая</x:v>
      </x:c>
      <x:c r="B8" s="89" t="str">
        <x:v>Rhinox Hide + Dark Prussian Blue 4:1</x:v>
      </x:c>
      <x:c r="C8" s="89" t="str">
        <x:v>Deep Brown</x:v>
      </x:c>
      <x:c r="D8" s="89" t="str">
        <x:v>Rhinox Hide</x:v>
      </x:c>
      <x:c r="E8" s="89" t="str">
        <x:v>Bugman's Glow</x:v>
      </x:c>
      <x:c r="F8" s="89" t="str">
        <x:v>Bugman's + Pale Flesh</x:v>
      </x:c>
      <x:c r="G8" s="89" t="str">
        <x:v>Payne Grey только в тени</x:v>
      </x:c>
      <x:c r="H8" s="89" t="str">
        <x:v>Сделать кожу синей</x:v>
      </x:c>
      <x:c r="I8" s="89" t="str">
        <x:v>213</x:v>
      </x:c>
    </x:row>
    <x:row r="9">
      <x:c r="A9" s="89" t="str">
        <x:v>Оливковая</x:v>
      </x:c>
      <x:c r="B9" s="89" t="str">
        <x:v>Heavy Skintone + Death Guard Green 3:1</x:v>
      </x:c>
      <x:c r="C9" s="89" t="str">
        <x:v>Targor Rageshade</x:v>
      </x:c>
      <x:c r="D9" s="89" t="str">
        <x:v>Heavy Skintone</x:v>
      </x:c>
      <x:c r="E9" s="89" t="str">
        <x:v>Cadian</x:v>
      </x:c>
      <x:c r="F9" s="89" t="str">
        <x:v>Flayed/Pale Flesh</x:v>
      </x:c>
      <x:c r="G9" s="89" t="str">
        <x:v>Guilliman Flesh filter</x:v>
      </x:c>
      <x:c r="H9" s="89" t="str">
        <x:v>Чистые зелёные пятна</x:v>
      </x:c>
      <x:c r="I9" s="89" t="str">
        <x:v>214</x:v>
      </x:c>
    </x:row>
    <x:row r="10">
      <x:c r="A10" s="89" t="str">
        <x:v>Розоватая бледная</x:v>
      </x:c>
      <x:c r="B10" s="89" t="str">
        <x:v>Rakarth + Sickly Pink 2:1</x:v>
      </x:c>
      <x:c r="C10" s="89" t="str">
        <x:v>Reikland локально</x:v>
      </x:c>
      <x:c r="D10" s="89" t="str">
        <x:v>Pale Flesh</x:v>
      </x:c>
      <x:c r="E10" s="89" t="str">
        <x:v>Pallid Wych Flesh</x:v>
      </x:c>
      <x:c r="F10" s="89" t="str">
        <x:v>White Grey/White</x:v>
      </x:c>
      <x:c r="G10" s="89" t="str">
        <x:v>Carroburg на лицо и уши</x:v>
      </x:c>
      <x:c r="H10" s="89" t="str">
        <x:v>Розовая маска</x:v>
      </x:c>
      <x:c r="I10" s="89" t="str">
        <x:v>215</x:v>
      </x:c>
    </x:row>
    <x:row r="11">
      <x:c r="A11" s="89" t="str">
        <x:v>Желтоватая болезненная</x:v>
      </x:c>
      <x:c r="B11" s="89" t="str">
        <x:v>Heavy Warmgrey + Plaguebearer 2:1</x:v>
      </x:c>
      <x:c r="C11" s="89" t="str">
        <x:v>Targor</x:v>
      </x:c>
      <x:c r="D11" s="89" t="str">
        <x:v>Deepkin Flesh</x:v>
      </x:c>
      <x:c r="E11" s="89" t="str">
        <x:v>Pale Flesh</x:v>
      </x:c>
      <x:c r="F11" s="89" t="str">
        <x:v>Pallid/White</x:v>
      </x:c>
      <x:c r="G11" s="89" t="str">
        <x:v>Plaguebearer glaze</x:v>
      </x:c>
      <x:c r="H11" s="89" t="str">
        <x:v>Зелёная кожа вместо болезненной</x:v>
      </x:c>
      <x:c r="I11" s="89" t="str">
        <x:v>216</x:v>
      </x:c>
    </x:row>
    <x:row r="12">
      <x:c r="A12" s="89" t="str">
        <x:v>Мертвенная</x:v>
      </x:c>
      <x:c r="B12" s="89" t="str">
        <x:v>Heavy Warmgrey + Sickly Pink 1:1</x:v>
      </x:c>
      <x:c r="C12" s="89" t="str">
        <x:v>Purple/Dreadful Visage</x:v>
      </x:c>
      <x:c r="D12" s="89" t="str">
        <x:v>Deepkin Flesh</x:v>
      </x:c>
      <x:c r="E12" s="89" t="str">
        <x:v>Pale Flesh</x:v>
      </x:c>
      <x:c r="F12" s="89" t="str">
        <x:v>Pallid/White</x:v>
      </x:c>
      <x:c r="G12" s="89" t="str">
        <x:v>Nurgle/Viscera локально</x:v>
      </x:c>
      <x:c r="H12" s="89" t="str">
        <x:v>Слишком много глянцевых эффектов</x:v>
      </x:c>
      <x:c r="I12" s="89" t="str">
        <x:v>76, 115, 130, 157</x:v>
      </x:c>
    </x:row>
    <x:row r="13">
      <x:c r="A13" s="89" t="str">
        <x:v>Обмороженная</x:v>
      </x:c>
      <x:c r="B13" s="89" t="str">
        <x:v>Deepkin Flesh</x:v>
      </x:c>
      <x:c r="C13" s="89" t="str">
        <x:v>Purple glaze</x:v>
      </x:c>
      <x:c r="D13" s="89" t="str">
        <x:v>The Fang + Deepkin</x:v>
      </x:c>
      <x:c r="E13" s="89" t="str">
        <x:v>Fenrisian</x:v>
      </x:c>
      <x:c r="F13" s="89" t="str">
        <x:v>Ulthuan/White Grey</x:v>
      </x:c>
      <x:c r="G13" s="89" t="str">
        <x:v>Dreadful Visage filter</x:v>
      </x:c>
      <x:c r="H13" s="89" t="str">
        <x:v>Синяя непрозрачная маска</x:v>
      </x:c>
      <x:c r="I13" s="89" t="str">
        <x:v>114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096e55ef81548ad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34" hidden="0" customWidth="1"/>
    <x:col min="4" max="4" width="33" hidden="0" customWidth="1"/>
    <x:col min="5" max="5" width="32" hidden="0" customWidth="1"/>
    <x:col min="6" max="6" width="28" hidden="0" customWidth="1"/>
    <x:col min="7" max="7" width="28" hidden="0" customWidth="1"/>
    <x:col min="8" max="8" width="48" hidden="0" customWidth="1"/>
    <x:col min="9" max="9" width="18" hidden="0" customWidth="1"/>
  </x:cols>
  <x:sheetData>
    <x:row r="1" ht="38" customHeight="1">
      <x:c r="A1" s="418" t="str">
        <x:v>Freehand и маркировка: построение, коррекция и износ</x:v>
      </x:c>
      <x:c r="B1" s="418"/>
      <x:c r="C1" s="418"/>
      <x:c r="D1" s="418"/>
      <x:c r="E1" s="418"/>
      <x:c r="F1" s="418"/>
      <x:c r="G1" s="418"/>
      <x:c r="H1" s="418"/>
      <x:c r="I1" s="418"/>
    </x:row>
    <x:row r="2" ht="38" customHeight="1">
      <x:c r="A2" s="421" t="str">
        <x:v>Главный рабочий принцип официальной ’Eavy Metal команды: сначала построить шаблон тонкими линиями, затем заполнить его цветом и исправлять форму базовой краской.</x:v>
      </x:c>
      <x:c r="B2" s="421"/>
      <x:c r="C2" s="421"/>
      <x:c r="D2" s="421"/>
      <x:c r="E2" s="421"/>
      <x:c r="F2" s="421"/>
      <x:c r="G2" s="421"/>
      <x:c r="H2" s="421"/>
      <x:c r="I2" s="421"/>
    </x:row>
    <x:row r="4" ht="42" customHeight="1">
      <x:c r="A4" s="426" t="str">
        <x:v>Задача</x:v>
      </x:c>
      <x:c r="B4" s="426" t="str">
        <x:v>Разметка</x:v>
      </x:c>
      <x:c r="C4" s="426" t="str">
        <x:v>Заполнение</x:v>
      </x:c>
      <x:c r="D4" s="426" t="str">
        <x:v>Высветление</x:v>
      </x:c>
      <x:c r="E4" s="426" t="str">
        <x:v>Исправление</x:v>
      </x:c>
      <x:c r="F4" s="426" t="str">
        <x:v>Износ</x:v>
      </x:c>
      <x:c r="G4" s="426" t="str">
        <x:v>Инструмент</x:v>
      </x:c>
      <x:c r="H4" s="426" t="str">
        <x:v>Главный риск</x:v>
      </x:c>
      <x:c r="I4" s="426" t="str">
        <x:v>Рецепт</x:v>
      </x:c>
    </x:row>
    <x:row r="5">
      <x:c r="A5" s="89" t="str">
        <x:v>Прямая полоса</x:v>
      </x:c>
      <x:c r="B5" s="89" t="str">
        <x:v>Две параллельные маски или тонкие направляющие</x:v>
      </x:c>
      <x:c r="C5" s="89" t="str">
        <x:v>2–3 тонких слоя</x:v>
      </x:c>
      <x:c r="D5" s="89" t="str">
        <x:v>Верхняя сторона светлее</x:v>
      </x:c>
      <x:c r="E5" s="89" t="str">
        <x:v>Исходный цвет брони</x:v>
      </x:c>
      <x:c r="F5" s="89" t="str">
        <x:v>Сколы после завершения</x:v>
      </x:c>
      <x:c r="G5" s="89" t="str">
        <x:v>Маска + аэрограф/кисть</x:v>
      </x:c>
      <x:c r="H5" s="89" t="str">
        <x:v>Затёк под маску</x:v>
      </x:c>
      <x:c r="I5" s="89" t="str">
        <x:v>221</x:v>
      </x:c>
    </x:row>
    <x:row r="6">
      <x:c r="A6" s="89" t="str">
        <x:v>Hazard stripes</x:v>
      </x:c>
      <x:c r="B6" s="89" t="str">
        <x:v>Сначала жёлтая поверхность, затем маска</x:v>
      </x:c>
      <x:c r="C6" s="89" t="str">
        <x:v>Чёрные полосы</x:v>
      </x:c>
      <x:c r="D6" s="89" t="str">
        <x:v>Pale Sand на жёлтом, Eshin на чёрном</x:v>
      </x:c>
      <x:c r="E6" s="89" t="str">
        <x:v>Yellow/Black по краям</x:v>
      </x:c>
      <x:c r="F6" s="89" t="str">
        <x:v>Brown/metal chips</x:v>
      </x:c>
      <x:c r="G6" s="89" t="str">
        <x:v>Маска + аэрограф</x:v>
      </x:c>
      <x:c r="H6" s="89" t="str">
        <x:v>Пытаться жёлтым перекрыть чёрный</x:v>
      </x:c>
      <x:c r="I6" s="89" t="str">
        <x:v>222</x:v>
      </x:c>
    </x:row>
    <x:row r="7">
      <x:c r="A7" s="89" t="str">
        <x:v>Шахматная клетка</x:v>
      </x:c>
      <x:c r="B7" s="89" t="str">
        <x:v>Серая сетка</x:v>
      </x:c>
      <x:c r="C7" s="89" t="str">
        <x:v>Заполнять клетки через одну</x:v>
      </x:c>
      <x:c r="D7" s="89" t="str">
        <x:v>White/Eshin по свету</x:v>
      </x:c>
      <x:c r="E7" s="89" t="str">
        <x:v>White и Black</x:v>
      </x:c>
      <x:c r="F7" s="89" t="str">
        <x:v>Локальные сколы</x:v>
      </x:c>
      <x:c r="G7" s="89" t="str">
        <x:v>Тонкая кисть</x:v>
      </x:c>
      <x:c r="H7" s="89" t="str">
        <x:v>Неровный размер клеток</x:v>
      </x:c>
      <x:c r="I7" s="89" t="str">
        <x:v>223</x:v>
      </x:c>
    </x:row>
    <x:row r="8">
      <x:c r="A8" s="89" t="str">
        <x:v>Четвертованная панель</x:v>
      </x:c>
      <x:c r="B8" s="89" t="str">
        <x:v>Вертикальная и горизонтальная оси</x:v>
      </x:c>
      <x:c r="C8" s="89" t="str">
        <x:v>Заполнять противоположные поля</x:v>
      </x:c>
      <x:c r="D8" s="89" t="str">
        <x:v>Отдельно для каждого цвета</x:v>
      </x:c>
      <x:c r="E8" s="89" t="str">
        <x:v>Цветом соседнего поля</x:v>
      </x:c>
      <x:c r="F8" s="89" t="str">
        <x:v>После всей геральдики</x:v>
      </x:c>
      <x:c r="G8" s="89" t="str">
        <x:v>Кисть/маска</x:v>
      </x:c>
      <x:c r="H8" s="89" t="str">
        <x:v>Несимметричный центр</x:v>
      </x:c>
      <x:c r="I8" s="89" t="str">
        <x:v>224</x:v>
      </x:c>
    </x:row>
    <x:row r="9">
      <x:c r="A9" s="89" t="str">
        <x:v>Молнии</x:v>
      </x:c>
      <x:c r="B9" s="89" t="str">
        <x:v>Одна ломаная основная линия</x:v>
      </x:c>
      <x:c r="C9" s="89" t="str">
        <x:v>Не требуется</x:v>
      </x:c>
      <x:c r="D9" s="89" t="str">
        <x:v>Короткие внутренние линии</x:v>
      </x:c>
      <x:c r="E9" s="89" t="str">
        <x:v>Базовый синий</x:v>
      </x:c>
      <x:c r="F9" s="89" t="str">
        <x:v>Обычно без сколов</x:v>
      </x:c>
      <x:c r="G9" s="89" t="str">
        <x:v>Острая кисть</x:v>
      </x:c>
      <x:c r="H9" s="89" t="str">
        <x:v>Параллельные плавные волны</x:v>
      </x:c>
      <x:c r="I9" s="89" t="str">
        <x:v>225</x:v>
      </x:c>
    </x:row>
    <x:row r="10">
      <x:c r="A10" s="89" t="str">
        <x:v>Светящиеся руны</x:v>
      </x:c>
      <x:c r="B10" s="89" t="str">
        <x:v>White Grey символы</x:v>
      </x:c>
      <x:c r="C10" s="89" t="str">
        <x:v>Warp Lightning glaze</x:v>
      </x:c>
      <x:c r="D10" s="89" t="str">
        <x:v>Moot/White внутри</x:v>
      </x:c>
      <x:c r="E10" s="89" t="str">
        <x:v>Базовый цвет вокруг</x:v>
      </x:c>
      <x:c r="F10" s="89" t="str">
        <x:v>Минимальный</x:v>
      </x:c>
      <x:c r="G10" s="89" t="str">
        <x:v>Кисть + аэрограф</x:v>
      </x:c>
      <x:c r="H10" s="89" t="str">
        <x:v>Ореол ярче символа</x:v>
      </x:c>
      <x:c r="I10" s="89" t="str">
        <x:v>226</x:v>
      </x:c>
    </x:row>
    <x:row r="11">
      <x:c r="A11" s="89" t="str">
        <x:v>Письмена</x:v>
      </x:c>
      <x:c r="B11" s="89" t="str">
        <x:v>Ровная базовая линия и интервалы</x:v>
      </x:c>
      <x:c r="C11" s="89" t="str">
        <x:v>Короткие штрихи</x:v>
      </x:c>
      <x:c r="D11" s="89" t="str">
        <x:v>Pale Sand/White локально</x:v>
      </x:c>
      <x:c r="E11" s="89" t="str">
        <x:v>Базовый цвет панели</x:v>
      </x:c>
      <x:c r="F11" s="89" t="str">
        <x:v>Очень мелкий</x:v>
      </x:c>
      <x:c r="G11" s="89" t="str">
        <x:v>Тонкая кисть</x:v>
      </x:c>
      <x:c r="H11" s="89" t="str">
        <x:v>Попытка написать читаемый шрифт в малом масштабе</x:v>
      </x:c>
      <x:c r="I11" s="89" t="str">
        <x:v>227</x:v>
      </x:c>
    </x:row>
    <x:row r="12">
      <x:c r="A12" s="89" t="str">
        <x:v>Орнамент ткани</x:v>
      </x:c>
      <x:c r="B12" s="89" t="str">
        <x:v>Равные точки</x:v>
      </x:c>
      <x:c r="C12" s="89" t="str">
        <x:v>Ромбы/треугольники между точками</x:v>
      </x:c>
      <x:c r="D12" s="89" t="str">
        <x:v>Верхние грани мотивов</x:v>
      </x:c>
      <x:c r="E12" s="89" t="str">
        <x:v>Основной цвет ткани</x:v>
      </x:c>
      <x:c r="F12" s="89" t="str">
        <x:v>Без металла</x:v>
      </x:c>
      <x:c r="G12" s="89" t="str">
        <x:v>Тонкая кисть</x:v>
      </x:c>
      <x:c r="H12" s="89" t="str">
        <x:v>Плавающий интервал</x:v>
      </x:c>
      <x:c r="I12" s="89" t="str">
        <x:v>230</x:v>
      </x:c>
    </x:row>
    <x:row r="13">
      <x:c r="A13" s="89" t="str">
        <x:v>Трафарет</x:v>
      </x:c>
      <x:c r="B13" s="89" t="str">
        <x:v>Плотно прижать шаблон</x:v>
      </x:c>
      <x:c r="C13" s="89" t="str">
        <x:v>Несколько почти сухих проходов</x:v>
      </x:c>
      <x:c r="D13" s="89" t="str">
        <x:v>Светлый оттенок сверху</x:v>
      </x:c>
      <x:c r="E13" s="89" t="str">
        <x:v>База против overspray</x:v>
      </x:c>
      <x:c r="F13" s="89" t="str">
        <x:v>После снятия</x:v>
      </x:c>
      <x:c r="G13" s="89" t="str">
        <x:v>Аэрограф</x:v>
      </x:c>
      <x:c r="H13" s="89" t="str">
        <x:v>Мокрый слой под трафаретом</x:v>
      </x:c>
      <x:c r="I13" s="89" t="str">
        <x:v>229</x:v>
      </x:c>
    </x:row>
    <x:row r="14">
      <x:c r="A14" s="89" t="str">
        <x:v>Изношенная маркировка</x:v>
      </x:c>
      <x:c r="B14" s="89" t="str">
        <x:v>Сначала полностью закончить рисунок</x:v>
      </x:c>
      <x:c r="C14" s="89" t="str">
        <x:v>—</x:v>
      </x:c>
      <x:c r="D14" s="89" t="str">
        <x:v>Сначала обычные блики рисунка</x:v>
      </x:c>
      <x:c r="E14" s="89" t="str">
        <x:v>—</x:v>
      </x:c>
      <x:c r="F14" s="89" t="str">
        <x:v>База → Brown → metal</x:v>
      </x:c>
      <x:c r="G14" s="89" t="str">
        <x:v>Губка + кисть</x:v>
      </x:c>
      <x:c r="H14" s="89" t="str">
        <x:v>Нанести маркировку поверх сколов</x:v>
      </x:c>
      <x:c r="I14" s="89" t="str">
        <x:v>228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eb57bbf8b70f45a9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5" hidden="0" customWidth="1"/>
    <x:col min="3" max="3" width="34" hidden="0" customWidth="1"/>
    <x:col min="4" max="4" width="35" hidden="0" customWidth="1"/>
    <x:col min="5" max="5" width="36" hidden="0" customWidth="1"/>
    <x:col min="6" max="6" width="34" hidden="0" customWidth="1"/>
    <x:col min="7" max="7" width="24" hidden="0" customWidth="1"/>
    <x:col min="8" max="8" width="54" hidden="0" customWidth="1"/>
    <x:col min="9" max="9" width="22" hidden="0" customWidth="1"/>
  </x:cols>
  <x:sheetData>
    <x:row r="1" ht="38" customHeight="1">
      <x:c r="A1" s="418" t="str">
        <x:v>Направленное загрязнение: откуда начинается и куда движется</x:v>
      </x:c>
      <x:c r="B1" s="418"/>
      <x:c r="C1" s="418"/>
      <x:c r="D1" s="418"/>
      <x:c r="E1" s="418"/>
      <x:c r="F1" s="418"/>
      <x:c r="G1" s="418"/>
      <x:c r="H1" s="418"/>
      <x:c r="I1" s="418"/>
    </x:row>
    <x:row r="2" ht="42" customHeight="1">
      <x:c r="A2" s="421" t="str">
        <x:v>Правдоподобное загрязнение подчиняется гравитации, потоку воздуха, движению модели и контакту с землёй. Каждый потёк должен иметь источник: заклёпку, скол, стык, край панели или место накопления грязи.</x:v>
      </x:c>
      <x:c r="B2" s="421"/>
      <x:c r="C2" s="421"/>
      <x:c r="D2" s="421"/>
      <x:c r="E2" s="421"/>
      <x:c r="F2" s="421"/>
      <x:c r="G2" s="421"/>
      <x:c r="H2" s="421"/>
      <x:c r="I2" s="421"/>
    </x:row>
    <x:row r="4" ht="42" customHeight="1">
      <x:c r="A4" s="426" t="str">
        <x:v>Эффект</x:v>
      </x:c>
      <x:c r="B4" s="426" t="str">
        <x:v>Источник</x:v>
      </x:c>
      <x:c r="C4" s="426" t="str">
        <x:v>Направление</x:v>
      </x:c>
      <x:c r="D4" s="426" t="str">
        <x:v>Первый слой</x:v>
      </x:c>
      <x:c r="E4" s="426" t="str">
        <x:v>Второй слой</x:v>
      </x:c>
      <x:c r="F4" s="426" t="str">
        <x:v>Смягчение</x:v>
      </x:c>
      <x:c r="G4" s="426" t="str">
        <x:v>Финиш</x:v>
      </x:c>
      <x:c r="H4" s="426" t="str">
        <x:v>Ошибка</x:v>
      </x:c>
      <x:c r="I4" s="426" t="str">
        <x:v>Рецепт</x:v>
      </x:c>
    </x:row>
    <x:row r="5">
      <x:c r="A5" s="89" t="str">
        <x:v>Тёмный земляной потёк</x:v>
      </x:c>
      <x:c r="B5" s="89" t="str">
        <x:v>Заклёпка, стык, выступ</x:v>
      </x:c>
      <x:c r="C5" s="89" t="str">
        <x:v>Вниз по гравитации</x:v>
      </x:c>
      <x:c r="D5" s="89" t="str">
        <x:v>Deep Brown сильно разбавленный</x:v>
      </x:c>
      <x:c r="E5" s="89" t="str">
        <x:v>Burnt Umber локально</x:v>
      </x:c>
      <x:c r="F5" s="89" t="str">
        <x:v>Влажная кисть/масло</x:v>
      </x:c>
      <x:c r="G5" s="89" t="str">
        <x:v>Matt</x:v>
      </x:c>
      <x:c r="H5" s="89" t="str">
        <x:v>Линия одинаковой насыщенности по всей длине</x:v>
      </x:c>
      <x:c r="I5" s="89" t="str">
        <x:v>231</x:v>
      </x:c>
    </x:row>
    <x:row r="6">
      <x:c r="A6" s="89" t="str">
        <x:v>Светлый пылевой потёк</x:v>
      </x:c>
      <x:c r="B6" s="89" t="str">
        <x:v>Горизонтальная полка и край</x:v>
      </x:c>
      <x:c r="C6" s="89" t="str">
        <x:v>Вниз</x:v>
      </x:c>
      <x:c r="D6" s="89" t="str">
        <x:v>Dark Sand filter</x:v>
      </x:c>
      <x:c r="E6" s="89" t="str">
        <x:v>Pale Sand тонко</x:v>
      </x:c>
      <x:c r="F6" s="89" t="str">
        <x:v>Влажная кисть</x:v>
      </x:c>
      <x:c r="G6" s="89" t="str">
        <x:v>Matt</x:v>
      </x:c>
      <x:c r="H6" s="89" t="str">
        <x:v>Светлая линия начинается в пустом месте</x:v>
      </x:c>
      <x:c r="I6" s="89" t="str">
        <x:v>232</x:v>
      </x:c>
    </x:row>
    <x:row r="7">
      <x:c r="A7" s="89" t="str">
        <x:v>Дождевая дорожка</x:v>
      </x:c>
      <x:c r="B7" s="89" t="str">
        <x:v>Пыльная панель</x:v>
      </x:c>
      <x:c r="C7" s="89" t="str">
        <x:v>Вниз</x:v>
      </x:c>
      <x:c r="D7" s="89" t="str">
        <x:v>Pale Sand общий filter</x:v>
      </x:c>
      <x:c r="E7" s="89" t="str">
        <x:v>Вымывание чистой водой</x:v>
      </x:c>
      <x:c r="F7" s="89" t="str">
        <x:v>Чистая влажная кисть</x:v>
      </x:c>
      <x:c r="G7" s="89" t="str">
        <x:v>Matt</x:v>
      </x:c>
      <x:c r="H7" s="89" t="str">
        <x:v>Рисовать светлую полосу поверх чистой брони</x:v>
      </x:c>
      <x:c r="I7" s="89" t="str">
        <x:v>233</x:v>
      </x:c>
    </x:row>
    <x:row r="8">
      <x:c r="A8" s="89" t="str">
        <x:v>Ржавый потёк</x:v>
      </x:c>
      <x:c r="B8" s="89" t="str">
        <x:v>Скол или металлический крепёж</x:v>
      </x:c>
      <x:c r="C8" s="89" t="str">
        <x:v>Вниз, иногда слегка назад</x:v>
      </x:c>
      <x:c r="D8" s="89" t="str">
        <x:v>Burnt Umber/Dark Rust</x:v>
      </x:c>
      <x:c r="E8" s="89" t="str">
        <x:v>Light Rust/Orange Brown</x:v>
      </x:c>
      <x:c r="F8" s="89" t="str">
        <x:v>Влажная кисть или масло</x:v>
      </x:c>
      <x:c r="G8" s="89" t="str">
        <x:v>Matt/Satin</x:v>
      </x:c>
      <x:c r="H8" s="89" t="str">
        <x:v>Одинаковые потёки от каждого заклёпочного ряда</x:v>
      </x:c>
      <x:c r="I8" s="89" t="str">
        <x:v>234</x:v>
      </x:c>
    </x:row>
    <x:row r="9">
      <x:c r="A9" s="89" t="str">
        <x:v>Грязевые брызги</x:v>
      </x:c>
      <x:c r="B9" s="89" t="str">
        <x:v>Колёса, ноги, нижняя броня</x:v>
      </x:c>
      <x:c r="C9" s="89" t="str">
        <x:v>Снизу и назад</x:v>
      </x:c>
      <x:c r="D9" s="89" t="str">
        <x:v>Deep Brown/Light Earth крупно</x:v>
      </x:c>
      <x:c r="E9" s="89" t="str">
        <x:v>Dark/Pale Sand мельче</x:v>
      </x:c>
      <x:c r="F9" s="89" t="str">
        <x:v>Не смягчать все точки</x:v>
      </x:c>
      <x:c r="G9" s="89" t="str">
        <x:v>Matt + локальный Satin</x:v>
      </x:c>
      <x:c r="H9" s="89" t="str">
        <x:v>Брызги на верхней и передней стороне без причины</x:v>
      </x:c>
      <x:c r="I9" s="89" t="str">
        <x:v>235</x:v>
      </x:c>
    </x:row>
    <x:row r="10">
      <x:c r="A10" s="89" t="str">
        <x:v>Копоть</x:v>
      </x:c>
      <x:c r="B10" s="89" t="str">
        <x:v>Выхлоп, ствол, пробоина</x:v>
      </x:c>
      <x:c r="C10" s="89" t="str">
        <x:v>По потоку воздуха наружу</x:v>
      </x:c>
      <x:c r="D10" s="89" t="str">
        <x:v>Black/Black Legion</x:v>
      </x:c>
      <x:c r="E10" s="89" t="str">
        <x:v>Corvus/Eshin широкий край</x:v>
      </x:c>
      <x:c r="F10" s="89" t="str">
        <x:v>Аэрографная дымка/масло</x:v>
      </x:c>
      <x:c r="G10" s="89" t="str">
        <x:v>Matt</x:v>
      </x:c>
      <x:c r="H10" s="89" t="str">
        <x:v>Идеальный чёрный круг</x:v>
      </x:c>
      <x:c r="I10" s="89" t="str">
        <x:v>144, 239</x:v>
      </x:c>
    </x:row>
    <x:row r="11">
      <x:c r="A11" s="89" t="str">
        <x:v>Пыль</x:v>
      </x:c>
      <x:c r="B11" s="89" t="str">
        <x:v>Нижняя часть и горизонтальные поверхности</x:v>
      </x:c>
      <x:c r="C11" s="89" t="str">
        <x:v>Снизу вверх, слабее к верху</x:v>
      </x:c>
      <x:c r="D11" s="89" t="str">
        <x:v>Dark Sand</x:v>
      </x:c>
      <x:c r="E11" s="89" t="str">
        <x:v>Pale Sand</x:v>
      </x:c>
      <x:c r="F11" s="89" t="str">
        <x:v>Широкий аэрографный filter</x:v>
      </x:c>
      <x:c r="G11" s="89" t="str">
        <x:v>Matt</x:v>
      </x:c>
      <x:c r="H11" s="89" t="str">
        <x:v>Одинаковая пыль на вертикальных и верхних поверхностях</x:v>
      </x:c>
      <x:c r="I11" s="89" t="str">
        <x:v>145, 178, 232</x:v>
      </x:c>
    </x:row>
    <x:row r="12">
      <x:c r="A12" s="89" t="str">
        <x:v>Сколы</x:v>
      </x:c>
      <x:c r="B12" s="89" t="str">
        <x:v>Кромки, выступы, зоны контакта</x:v>
      </x:c>
      <x:c r="C12" s="89" t="str">
        <x:v>Не имеют направления, но имеют логику контакта</x:v>
      </x:c>
      <x:c r="D12" s="89" t="str">
        <x:v>Светлый край</x:v>
      </x:c>
      <x:c r="E12" s="89" t="str">
        <x:v>Deep Brown/metal centre</x:v>
      </x:c>
      <x:c r="F12" s="89" t="str">
        <x:v>Исходный цвет уменьшает форму</x:v>
      </x:c>
      <x:c r="G12" s="89" t="str">
        <x:v>Matt/Metal</x:v>
      </x:c>
      <x:c r="H12" s="89" t="str">
        <x:v>Равномерное конфетти по центрам панелей</x:v>
      </x:c>
      <x:c r="I12" s="89" t="str">
        <x:v>171, 228, 236–238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2ad827b0309047e5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4" hidden="0" customWidth="1"/>
    <x:col min="3" max="3" width="19" hidden="0" customWidth="1"/>
    <x:col min="4" max="4" width="57" hidden="0" customWidth="1"/>
    <x:col min="5" max="5" width="75" hidden="0" customWidth="1"/>
    <x:col min="6" max="6" width="88" hidden="0" customWidth="1"/>
  </x:cols>
  <x:sheetData>
    <x:row r="1" ht="38" customHeight="1">
      <x:c r="A1" s="418" t="str">
        <x:v>Восьмой проход: кожа, freehand и направленное weathering</x:v>
      </x:c>
      <x:c r="B1" s="418"/>
      <x:c r="C1" s="418"/>
      <x:c r="D1" s="418"/>
      <x:c r="E1" s="418"/>
      <x:c r="F1" s="418"/>
    </x:row>
    <x:row r="3">
      <x:c r="A3" s="423" t="str">
        <x:v>Показатель</x:v>
      </x:c>
      <x:c r="B3" s="423" t="str">
        <x:v>Результат</x:v>
      </x:c>
    </x:row>
    <x:row r="4">
      <x:c r="A4" s="429" t="str">
        <x:v>Рецептов до прохода</x:v>
      </x:c>
      <x:c r="B4" s="430" t="n">
        <x:v>210</x:v>
      </x:c>
    </x:row>
    <x:row r="5">
      <x:c r="A5" s="429" t="str">
        <x:v>Новых рецептов</x:v>
      </x:c>
      <x:c r="B5" s="430" t="n">
        <x:v>30</x:v>
      </x:c>
    </x:row>
    <x:row r="6">
      <x:c r="A6" s="429" t="str">
        <x:v>Рецептов после прохода</x:v>
      </x:c>
      <x:c r="B6" s="430" t="n">
        <x:v>240</x:v>
      </x:c>
    </x:row>
    <x:row r="7">
      <x:c r="A7" s="429" t="str">
        <x:v>Новых схем оттенков кожи</x:v>
      </x:c>
      <x:c r="B7" s="430" t="n">
        <x:v>10</x:v>
      </x:c>
    </x:row>
    <x:row r="8">
      <x:c r="A8" s="429" t="str">
        <x:v>Новых freehand/маркировок</x:v>
      </x:c>
      <x:c r="B8" s="430" t="n">
        <x:v>10</x:v>
      </x:c>
    </x:row>
    <x:row r="9">
      <x:c r="A9" s="429" t="str">
        <x:v>Новых направленных загрязнений</x:v>
      </x:c>
      <x:c r="B9" s="430" t="n">
        <x:v>5</x:v>
      </x:c>
    </x:row>
    <x:row r="10">
      <x:c r="A10" s="429" t="str">
        <x:v>Новых схем повреждения брони</x:v>
      </x:c>
      <x:c r="B10" s="430" t="n">
        <x:v>4</x:v>
      </x:c>
    </x:row>
    <x:row r="11">
      <x:c r="A11" s="429" t="str">
        <x:v>Добавлена карта оттенков кожи</x:v>
      </x:c>
      <x:c r="B11" s="430" t="n">
        <x:v>9</x:v>
      </x:c>
    </x:row>
    <x:row r="12">
      <x:c r="A12" s="429" t="str">
        <x:v>Добавлены справочники freehand/weathering</x:v>
      </x:c>
      <x:c r="B12" s="430" t="n">
        <x:v>2</x:v>
      </x:c>
    </x:row>
    <x:row r="13">
      <x:c r="A13" s="429" t="str">
        <x:v>Ключевой принцип</x:v>
      </x:c>
      <x:c r="B13" s="429" t="str">
        <x:v>Узор сначала строится как шаблон, а загрязнение всегда имеет источник и направление</x:v>
      </x:c>
    </x:row>
    <x:row r="16">
      <x:c r="A16" s="426" t="str">
        <x:v>ID</x:v>
      </x:c>
      <x:c r="B16" s="426" t="str">
        <x:v>Область</x:v>
      </x:c>
      <x:c r="C16" s="426" t="str">
        <x:v>Статус</x:v>
      </x:c>
      <x:c r="D16" s="426" t="str">
        <x:v>Что обнаружено</x:v>
      </x:c>
      <x:c r="E16" s="426" t="str">
        <x:v>Действие</x:v>
      </x:c>
      <x:c r="F16" s="426" t="str">
        <x:v>Основание</x:v>
      </x:c>
    </x:row>
    <x:row r="17">
      <x:c r="A17" s="89" t="str">
        <x:v>AUD8-01</x:v>
      </x:c>
      <x:c r="B17" s="89" t="str">
        <x:v>Оттенки кожи</x:v>
      </x:c>
      <x:c r="C17" s="89" t="str">
        <x:v>Добавлено</x:v>
      </x:c>
      <x:c r="D17" s="89" t="str">
        <x:v>Телесная база была богатой, но большинство рецептов относилось к светлой или мертвенной коже.</x:v>
      </x:c>
      <x:c r="E17" s="89" t="str">
        <x:v>Добавлены тёплая и холодная смуглая, оливковая, загорелая, розоватая и желтоватая кожа.</x:v>
      </x:c>
      <x:c r="F17" s="89" t="str">
        <x:v>Targor Rageshade официально рекомендован для загорелой кожи; остальные схемы построены через контролируемый андертон и обычные flesh highlights.</x:v>
      </x:c>
    </x:row>
    <x:row r="18">
      <x:c r="A18" s="89" t="str">
        <x:v>AUD8-02</x:v>
      </x:c>
      <x:c r="B18" s="89" t="str">
        <x:v>Подкожные детали</x:v>
      </x:c>
      <x:c r="C18" s="89" t="str">
        <x:v>Добавлено</x:v>
      </x:c>
      <x:c r="D18" s="89" t="str">
        <x:v>Не было отдельных техник вен, татуировок и рубцов.</x:v>
      </x:c>
      <x:c r="E18" s="89" t="str">
        <x:v>Добавлено обязательное частичное перекрытие цветного рисунка телесной глазурью.</x:v>
      </x:c>
      <x:c r="F18" s="89" t="str">
        <x:v>Подкожная деталь должна терять насыщенность под светлой кожей и меняться вместе с формой лица.</x:v>
      </x:c>
    </x:row>
    <x:row r="19">
      <x:c r="A19" s="89" t="str">
        <x:v>AUD8-03</x:v>
      </x:c>
      <x:c r="B19" s="89" t="str">
        <x:v>Freehand</x:v>
      </x:c>
      <x:c r="C19" s="89" t="str">
        <x:v>Систематизировано</x:v>
      </x:c>
      <x:c r="D19" s="89" t="str">
        <x:v>Маркировки присутствовали только как отдельные примеры.</x:v>
      </x:c>
      <x:c r="E19" s="89" t="str">
        <x:v>Создана последовательность: шаблон → заполнение → коррекция → высветление → износ.</x:v>
      </x:c>
      <x:c r="F19" s="89" t="str">
        <x:v>’Eavy Metal рекомендует сначала создать freehand template, затем заполнить его цветами и терпеливо исправлять ошибки.</x:v>
      </x:c>
    </x:row>
    <x:row r="20">
      <x:c r="A20" s="89" t="str">
        <x:v>AUD8-04</x:v>
      </x:c>
      <x:c r="B20" s="89" t="str">
        <x:v>Молнии</x:v>
      </x:c>
      <x:c r="C20" s="89" t="str">
        <x:v>Добавлено</x:v>
      </x:c>
      <x:c r="D20" s="89" t="str">
        <x:v>Электрические эффекты были представлены OSL и оружием, но не freehand на броне.</x:v>
      </x:c>
      <x:c r="E20" s="89" t="str">
        <x:v>Добавлена ветвящаяся молния Lothern Blue → Baharroth Blue → White.</x:v>
      </x:c>
      <x:c r="F20" s="89" t="str">
        <x:v>Официальный Warhammer tutorial отдельно демонстрирует freehand lightning patterns для Night Lords.</x:v>
      </x:c>
    </x:row>
    <x:row r="21">
      <x:c r="A21" s="89" t="str">
        <x:v>AUD8-05</x:v>
      </x:c>
      <x:c r="B21" s="89" t="str">
        <x:v>Масштаб маркировки</x:v>
      </x:c>
      <x:c r="C21" s="89" t="str">
        <x:v>Уточнено</x:v>
      </x:c>
      <x:c r="D21" s="89" t="str">
        <x:v>Слишком толстые блики и weathering способны уменьшить визуальный масштаб техники.</x:v>
      </x:c>
      <x:c r="E21" s="89" t="str">
        <x:v>В freehand-справочник внесены тонкая разметка, короткие штрихи и ограниченный износ.</x:v>
      </x:c>
      <x:c r="F21" s="89" t="str">
        <x:v>’Eavy Metal советует адаптировать толщину highlights и weathering к масштабу модели.</x:v>
      </x:c>
    </x:row>
    <x:row r="22">
      <x:c r="A22" s="89" t="str">
        <x:v>AUD8-06</x:v>
      </x:c>
      <x:c r="B22" s="89" t="str">
        <x:v>Streaking</x:v>
      </x:c>
      <x:c r="C22" s="89" t="str">
        <x:v>Добавлено</x:v>
      </x:c>
      <x:c r="D22" s="89" t="str">
        <x:v>Weathering содержал фильтры, пыль и ржавчину, но не отдельную систему вертикальных потёков.</x:v>
      </x:c>
      <x:c r="E22" s="89" t="str">
        <x:v>Добавлены тёмные, светлые, дождевые и ржавые дорожки с контролем начала и затухания.</x:v>
      </x:c>
      <x:c r="F22" s="89" t="str">
        <x:v>Vallejo Model Wash guide рекомендует сильно разбавленный тёмный цвет для streaking и вариативность оттенков/порядка нанесения.</x:v>
      </x:c>
    </x:row>
    <x:row r="23">
      <x:c r="A23" s="89" t="str">
        <x:v>AUD8-07</x:v>
      </x:c>
      <x:c r="B23" s="89" t="str">
        <x:v>Брызги грязи</x:v>
      </x:c>
      <x:c r="C23" s="89" t="str">
        <x:v>Уточнено</x:v>
      </x:c>
      <x:c r="D23" s="89" t="str">
        <x:v>Были общие аэрографные брызги без обязательной цветовой иерархии.</x:v>
      </x:c>
      <x:c r="E23" s="89" t="str">
        <x:v>Добавлены крупные тёмные, средние земляные и мелкие светлые брызги.</x:v>
      </x:c>
      <x:c r="F23" s="89" t="str">
        <x:v>Vallejo разделяет dark earth splashes и light earth splashes, включая текстурную светлую стадию.</x:v>
      </x:c>
    </x:row>
    <x:row r="24">
      <x:c r="A24" s="89" t="str">
        <x:v>AUD8-08</x:v>
      </x:c>
      <x:c r="B24" s="89" t="str">
        <x:v>Сколы</x:v>
      </x:c>
      <x:c r="C24" s="89" t="str">
        <x:v>Уточнено</x:v>
      </x:c>
      <x:c r="D24" s="89" t="str">
        <x:v>Универсальный светлый край не учитывал цвет брони.</x:v>
      </x:c>
      <x:c r="E24" s="89" t="str">
        <x:v>Добавлены отдельные схемы для белой, чёрной и красной брони.</x:v>
      </x:c>
      <x:c r="F24" s="89" t="str">
        <x:v>Официальные Legion guides используют White highlight с Baneblade Brown внутри для читаемых сколов на белой броне.</x:v>
      </x:c>
    </x:row>
    <x:row r="29">
      <x:c r="A29" s="432" t="str">
        <x:v>ID</x:v>
      </x:c>
      <x:c r="B29" s="432" t="str">
        <x:v>Источник / идея</x:v>
      </x:c>
      <x:c r="C29" s="432" t="str">
        <x:v>URL</x:v>
      </x:c>
    </x:row>
    <x:row r="30">
      <x:c r="A30" s="429" t="str">
        <x:v>SRC8-01</x:v>
      </x:c>
      <x:c r="B30" s="429" t="str">
        <x:v>Warhammer: Targor Rageshade for rugged leather and tanned skin</x:v>
      </x:c>
      <x:c r="C30" s="429" t="str">
        <x:v>https://www.warhammer-community.com/en-gb/articles/kW3ytOxF/top-tips-for-using-the-seven-all-new-shade-paints/</x:v>
      </x:c>
    </x:row>
    <x:row r="31">
      <x:c r="A31" s="429" t="str">
        <x:v>SRC8-02</x:v>
      </x:c>
      <x:c r="B31" s="429" t="str">
        <x:v>Warhammer: create a freehand template, fill it and correct errors</x:v>
      </x:c>
      <x:c r="C31" s="429" t="str">
        <x:v>https://www.warhammer-community.com/en-gb/articles/PHbJ3GJc/legions-imperialis-painting-tips-from-the-eavy-metal-team/</x:v>
      </x:c>
    </x:row>
    <x:row r="32">
      <x:c r="A32" s="429" t="str">
        <x:v>SRC8-03</x:v>
      </x:c>
      <x:c r="B32" s="429" t="str">
        <x:v>Warhammer: Night Lords freehand lightning tutorial</x:v>
      </x:c>
      <x:c r="C32" s="429" t="str">
        <x:v>https://www.warhammer-community.com/en-gb/videos/H0N93W8m/how-to-paint-night-lords-lightning-intermediate-warhammer-40000/</x:v>
      </x:c>
    </x:row>
    <x:row r="33">
      <x:c r="A33" s="429" t="str">
        <x:v>SRC8-04</x:v>
      </x:c>
      <x:c r="B33" s="429" t="str">
        <x:v>Warhammer: highlights and weathering should be adapted to model scale</x:v>
      </x:c>
      <x:c r="C33" s="429" t="str">
        <x:v>https://www.warhammer-community.com/en-gb/articles/PHbJ3GJc/legions-imperialis-painting-tips-from-the-eavy-metal-team/</x:v>
      </x:c>
    </x:row>
    <x:row r="34">
      <x:c r="A34" s="429" t="str">
        <x:v>SRC8-05</x:v>
      </x:c>
      <x:c r="B34" s="429" t="str">
        <x:v>Warhammer: official white armour chip sequence uses White highlight and Baneblade Brown</x:v>
      </x:c>
      <x:c r="C34" s="429" t="str">
        <x:v>https://www.warhammer-community.com/en-gb/articles/6qpc8cnl/grotmas-calendar-day-3-loyalist-legion-painting-guide/</x:v>
      </x:c>
    </x:row>
    <x:row r="35">
      <x:c r="A35" s="429" t="str">
        <x:v>SRC8-06</x:v>
      </x:c>
      <x:c r="B35" s="429" t="str">
        <x:v>Vallejo: Model Wash filters, dark streaking, dark and light earth splashes</x:v>
      </x:c>
      <x:c r="C35" s="429" t="str">
        <x:v>https://acrylicosvallejo.com/wp-content/uploads/2020/07/vallejo-stepbystep-model-wash-EN.pdf</x:v>
      </x:c>
    </x:row>
    <x:row r="36">
      <x:c r="A36" s="429" t="str">
        <x:v>SRC8-07</x:v>
      </x:c>
      <x:c r="B36" s="429" t="str">
        <x:v>Vallejo: weathering effects, mud splashes and streaking on a battle tank</x:v>
      </x:c>
      <x:c r="C36" s="429" t="str">
        <x:v>https://acrylicosvallejo.com/wp-content/uploads/2022/10/vallejo-stepbystep-how-to-paint-weathering-effects-on-a-battle-tank-EN.pdf</x:v>
      </x:c>
    </x:row>
    <x:row r="37">
      <x:c r="A37" s="429" t="str">
        <x:v>SRC8-08</x:v>
      </x:c>
      <x:c r="B37" s="429" t="str">
        <x:v>Vallejo: filters, washes, fading, mud, rust, chips and metal effects</x:v>
      </x:c>
      <x:c r="C37" s="429" t="str">
        <x:v>https://acrylicosvallejo.com/en/hobby-videos/</x:v>
      </x:c>
    </x:row>
  </x:sheetData>
  <x:mergeCells>
    <x:mergeCell ref="A1:F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7" hidden="0" customWidth="1"/>
    <x:col min="3" max="3" width="26" hidden="0" customWidth="1"/>
    <x:col min="4" max="4" width="19" hidden="0" customWidth="1"/>
    <x:col min="5" max="5" width="50" hidden="0" customWidth="1"/>
    <x:col min="6" max="6" width="23" hidden="0" customWidth="1"/>
    <x:col min="7" max="7" width="53" hidden="0" customWidth="1"/>
    <x:col min="8" max="8" width="20" hidden="0" customWidth="1"/>
  </x:cols>
  <x:sheetData>
    <x:row r="1" ht="38" customHeight="1">
      <x:c r="A1" s="450" t="str">
        <x:v>Редкие и недоиспользованные краски: новые рабочие роли</x:v>
      </x:c>
      <x:c r="B1" s="450"/>
      <x:c r="C1" s="450"/>
      <x:c r="D1" s="450"/>
      <x:c r="E1" s="450"/>
      <x:c r="F1" s="450"/>
      <x:c r="G1" s="450"/>
      <x:c r="H1" s="450"/>
    </x:row>
    <x:row r="2" ht="38" customHeight="1">
      <x:c r="A2" s="453" t="str">
        <x:v>В таблице собраны материалы, которые до v16 отсутствовали в рецептах либо встречались только один раз. Каждому назначена самостоятельная роль, а не формальная замена близкого оттенка.</x:v>
      </x:c>
      <x:c r="B2" s="453"/>
      <x:c r="C2" s="453"/>
      <x:c r="D2" s="453"/>
      <x:c r="E2" s="453"/>
      <x:c r="F2" s="453"/>
      <x:c r="G2" s="453"/>
      <x:c r="H2" s="453"/>
    </x:row>
    <x:row r="4" ht="42" customHeight="1">
      <x:c r="A4" s="458" t="str">
        <x:v>Краска</x:v>
      </x:c>
      <x:c r="B4" s="458" t="str">
        <x:v>Бренд</x:v>
      </x:c>
      <x:c r="C4" s="458" t="str">
        <x:v>Линейка</x:v>
      </x:c>
      <x:c r="D4" s="458" t="str">
        <x:v>Рецептов до v16</x:v>
      </x:c>
      <x:c r="E4" s="458" t="str">
        <x:v>Новая самостоятельная роль</x:v>
      </x:c>
      <x:c r="F4" s="458" t="str">
        <x:v>Новые рецепты</x:v>
      </x:c>
      <x:c r="G4" s="458" t="str">
        <x:v>Главное ограничение</x:v>
      </x:c>
      <x:c r="H4" s="458" t="str">
        <x:v>Статус</x:v>
      </x:c>
    </x:row>
    <x:row r="5">
      <x:c r="A5" s="89" t="str">
        <x:v>Thousand Sons Blue</x:v>
      </x:c>
      <x:c r="B5" s="89" t="str">
        <x:v>Citadel</x:v>
      </x:c>
      <x:c r="C5" s="89" t="str">
        <x:v>Base</x:v>
      </x:c>
      <x:c r="D5" s="89" t="n">
        <x:v>0</x:v>
      </x:c>
      <x:c r="E5" s="89" t="str">
        <x:v>Основная бирюзово-синяя база брони</x:v>
      </x:c>
      <x:c r="F5" s="89" t="str">
        <x:v>241</x:v>
      </x:c>
      <x:c r="G5" s="89" t="str">
        <x:v>Сохранять назначение и контролировать площадь светлых слоёв</x:v>
      </x:c>
      <x:c r="H5" s="89" t="str">
        <x:v>Раскрыто в v16</x:v>
      </x:c>
    </x:row>
    <x:row r="6">
      <x:c r="A6" s="89" t="str">
        <x:v>Ahriman Blue</x:v>
      </x:c>
      <x:c r="B6" s="89" t="str">
        <x:v>Citadel</x:v>
      </x:c>
      <x:c r="C6" s="89" t="str">
        <x:v>Layer</x:v>
      </x:c>
      <x:c r="D6" s="89" t="n">
        <x:v>0</x:v>
      </x:c>
      <x:c r="E6" s="89" t="str">
        <x:v>Средний голубой свет и ткань</x:v>
      </x:c>
      <x:c r="F6" s="89" t="str">
        <x:v>241–242</x:v>
      </x:c>
      <x:c r="G6" s="89" t="str">
        <x:v>Сохранять назначение и контролировать площадь светлых слоёв</x:v>
      </x:c>
      <x:c r="H6" s="89" t="str">
        <x:v>Раскрыто в v16</x:v>
      </x:c>
    </x:row>
    <x:row r="7">
      <x:c r="A7" s="89" t="str">
        <x:v>Phoenician Purple</x:v>
      </x:c>
      <x:c r="B7" s="89" t="str">
        <x:v>Citadel</x:v>
      </x:c>
      <x:c r="C7" s="89" t="str">
        <x:v>Base</x:v>
      </x:c>
      <x:c r="D7" s="89" t="n">
        <x:v>0</x:v>
      </x:c>
      <x:c r="E7" s="89" t="str">
        <x:v>Насыщенная непрозрачная фиолетовая база</x:v>
      </x:c>
      <x:c r="F7" s="89" t="str">
        <x:v>243–244, 251</x:v>
      </x:c>
      <x:c r="G7" s="89" t="str">
        <x:v>Сохранять назначение и контролировать площадь светлых слоёв</x:v>
      </x:c>
      <x:c r="H7" s="89" t="str">
        <x:v>Раскрыто в v16</x:v>
      </x:c>
    </x:row>
    <x:row r="8">
      <x:c r="A8" s="89" t="str">
        <x:v>Black Lotus</x:v>
      </x:c>
      <x:c r="B8" s="89" t="str">
        <x:v>Vallejo</x:v>
      </x:c>
      <x:c r="C8" s="89" t="str">
        <x:v>Xpress Color</x:v>
      </x:c>
      <x:c r="D8" s="89" t="n">
        <x:v>0</x:v>
      </x:c>
      <x:c r="E8" s="89" t="str">
        <x:v>Чёрно-фиолетовый бархат и глубокий Xpress</x:v>
      </x:c>
      <x:c r="F8" s="89" t="str">
        <x:v>244</x:v>
      </x:c>
      <x:c r="G8" s="89" t="str">
        <x:v>Без Medium быстро становится почти чёрным</x:v>
      </x:c>
      <x:c r="H8" s="89" t="str">
        <x:v>Раскрыто в v16</x:v>
      </x:c>
    </x:row>
    <x:row r="9">
      <x:c r="A9" s="89" t="str">
        <x:v>Mystic Blue</x:v>
      </x:c>
      <x:c r="B9" s="89" t="str">
        <x:v>Vallejo</x:v>
      </x:c>
      <x:c r="C9" s="89" t="str">
        <x:v>Xpress Color</x:v>
      </x:c>
      <x:c r="D9" s="89" t="n">
        <x:v>0</x:v>
      </x:c>
      <x:c r="E9" s="89" t="str">
        <x:v>Контролируемая тёмно-синяя Xpress-ткань и glaze</x:v>
      </x:c>
      <x:c r="F9" s="89" t="str">
        <x:v>242, 245</x:v>
      </x:c>
      <x:c r="G9" s="89" t="str">
        <x:v>На больших плоскостях наносить секциями</x:v>
      </x:c>
      <x:c r="H9" s="89" t="str">
        <x:v>Раскрыто в v16</x:v>
      </x:c>
    </x:row>
    <x:row r="10">
      <x:c r="A10" s="89" t="str">
        <x:v>Kroxigor Scales</x:v>
      </x:c>
      <x:c r="B10" s="89" t="str">
        <x:v>Citadel</x:v>
      </x:c>
      <x:c r="C10" s="89" t="str">
        <x:v>Contrast</x:v>
      </x:c>
      <x:c r="D10" s="89" t="n">
        <x:v>0</x:v>
      </x:c>
      <x:c r="E10" s="89" t="str">
        <x:v>Бирюзовая кожа и чешуя</x:v>
      </x:c>
      <x:c r="F10" s="89" t="str">
        <x:v>246</x:v>
      </x:c>
      <x:c r="G10" s="89" t="str">
        <x:v>Слой быстро наращивает тёмную бирюзу</x:v>
      </x:c>
      <x:c r="H10" s="89" t="str">
        <x:v>Раскрыто в v16</x:v>
      </x:c>
    </x:row>
    <x:row r="11">
      <x:c r="A11" s="89" t="str">
        <x:v>Magmadroth Flame</x:v>
      </x:c>
      <x:c r="B11" s="89" t="str">
        <x:v>Citadel</x:v>
      </x:c>
      <x:c r="C11" s="89" t="str">
        <x:v>Contrast</x:v>
      </x:c>
      <x:c r="D11" s="89" t="n">
        <x:v>0</x:v>
      </x:c>
      <x:c r="E11" s="89" t="str">
        <x:v>Оранжевая кожа, огонь и лава</x:v>
      </x:c>
      <x:c r="F11" s="89" t="str">
        <x:v>247, 266</x:v>
      </x:c>
      <x:c r="G11" s="89" t="str">
        <x:v>Нужна светлая подложка</x:v>
      </x:c>
      <x:c r="H11" s="89" t="str">
        <x:v>Раскрыто в v16</x:v>
      </x:c>
    </x:row>
    <x:row r="12">
      <x:c r="A12" s="89" t="str">
        <x:v>Striking Scorpion Green</x:v>
      </x:c>
      <x:c r="B12" s="89" t="str">
        <x:v>Citadel</x:v>
      </x:c>
      <x:c r="C12" s="89" t="str">
        <x:v>Contrast</x:v>
      </x:c>
      <x:c r="D12" s="89" t="n">
        <x:v>0</x:v>
      </x:c>
      <x:c r="E12" s="89" t="str">
        <x:v>Ядовитые линзы, камни и трещины</x:v>
      </x:c>
      <x:c r="F12" s="89" t="str">
        <x:v>248, 267</x:v>
      </x:c>
      <x:c r="G12" s="89" t="str">
        <x:v>Для свечения нужен White</x:v>
      </x:c>
      <x:c r="H12" s="89" t="str">
        <x:v>Раскрыто в v16</x:v>
      </x:c>
    </x:row>
    <x:row r="13">
      <x:c r="A13" s="89" t="str">
        <x:v>Iyanden Yellow</x:v>
      </x:c>
      <x:c r="B13" s="89" t="str">
        <x:v>Citadel</x:v>
      </x:c>
      <x:c r="C13" s="89" t="str">
        <x:v>Contrast</x:v>
      </x:c>
      <x:c r="D13" s="89" t="n">
        <x:v>1</x:v>
      </x:c>
      <x:c r="E13" s="89" t="str">
        <x:v>Тёплая жёлтая броня по светлой подложке</x:v>
      </x:c>
      <x:c r="F13" s="89" t="str">
        <x:v>249</x:v>
      </x:c>
      <x:c r="G13" s="89" t="str">
        <x:v>Сохранять назначение и контролировать площадь светлых слоёв</x:v>
      </x:c>
      <x:c r="H13" s="89" t="str">
        <x:v>Раскрыто в v16</x:v>
      </x:c>
    </x:row>
    <x:row r="14">
      <x:c r="A14" s="89" t="str">
        <x:v>Volupus Pink</x:v>
      </x:c>
      <x:c r="B14" s="89" t="str">
        <x:v>Citadel</x:v>
      </x:c>
      <x:c r="C14" s="89" t="str">
        <x:v>Contrast</x:v>
      </x:c>
      <x:c r="D14" s="89" t="n">
        <x:v>1</x:v>
      </x:c>
      <x:c r="E14" s="89" t="str">
        <x:v>Ксеносная мембрана и насыщенная органика</x:v>
      </x:c>
      <x:c r="F14" s="89" t="str">
        <x:v>250</x:v>
      </x:c>
      <x:c r="G14" s="89" t="str">
        <x:v>Сохранять назначение и контролировать площадь светлых слоёв</x:v>
      </x:c>
      <x:c r="H14" s="89" t="str">
        <x:v>Раскрыто в v16</x:v>
      </x:c>
    </x:row>
    <x:row r="15">
      <x:c r="A15" s="89" t="str">
        <x:v>Shyish Purple</x:v>
      </x:c>
      <x:c r="B15" s="89" t="str">
        <x:v>Citadel</x:v>
      </x:c>
      <x:c r="C15" s="89" t="str">
        <x:v>Contrast</x:v>
      </x:c>
      <x:c r="D15" s="89" t="n">
        <x:v>1</x:v>
      </x:c>
      <x:c r="E15" s="89" t="str">
        <x:v>Глубокая Contrast-тень и пурпурная ткань</x:v>
      </x:c>
      <x:c r="F15" s="89" t="str">
        <x:v>243, 251</x:v>
      </x:c>
      <x:c r="G15" s="89" t="str">
        <x:v>Сохранять назначение и контролировать площадь светлых слоёв</x:v>
      </x:c>
      <x:c r="H15" s="89" t="str">
        <x:v>Раскрыто в v16</x:v>
      </x:c>
    </x:row>
    <x:row r="16">
      <x:c r="A16" s="89" t="str">
        <x:v>Garaghak's Sewer</x:v>
      </x:c>
      <x:c r="B16" s="89" t="str">
        <x:v>Citadel</x:v>
      </x:c>
      <x:c r="C16" s="89" t="str">
        <x:v>Contrast</x:v>
      </x:c>
      <x:c r="D16" s="89" t="n">
        <x:v>0</x:v>
      </x:c>
      <x:c r="E16" s="89" t="str">
        <x:v>Очень тёмная грязная кожа и тени ткани</x:v>
      </x:c>
      <x:c r="F16" s="89" t="str">
        <x:v>252, 258</x:v>
      </x:c>
      <x:c r="G16" s="89" t="str">
        <x:v>Сохранять назначение и контролировать площадь светлых слоёв</x:v>
      </x:c>
      <x:c r="H16" s="89" t="str">
        <x:v>Раскрыто в v16</x:v>
      </x:c>
    </x:row>
    <x:row r="17">
      <x:c r="A17" s="89" t="str">
        <x:v>Gore-Grunta Fur</x:v>
      </x:c>
      <x:c r="B17" s="89" t="str">
        <x:v>Citadel</x:v>
      </x:c>
      <x:c r="C17" s="89" t="str">
        <x:v>Contrast</x:v>
      </x:c>
      <x:c r="D17" s="89" t="n">
        <x:v>1</x:v>
      </x:c>
      <x:c r="E17" s="89" t="str">
        <x:v>Рыже-коричневый мех</x:v>
      </x:c>
      <x:c r="F17" s="89" t="str">
        <x:v>253</x:v>
      </x:c>
      <x:c r="G17" s="89" t="str">
        <x:v>Сохранять назначение и контролировать площадь светлых слоёв</x:v>
      </x:c>
      <x:c r="H17" s="89" t="str">
        <x:v>Раскрыто в v16</x:v>
      </x:c>
    </x:row>
    <x:row r="18">
      <x:c r="A18" s="89" t="str">
        <x:v>Basilicanum Grey</x:v>
      </x:c>
      <x:c r="B18" s="89" t="str">
        <x:v>Citadel</x:v>
      </x:c>
      <x:c r="C18" s="89" t="str">
        <x:v>Contrast</x:v>
      </x:c>
      <x:c r="D18" s="89" t="n">
        <x:v>1</x:v>
      </x:c>
      <x:c r="E18" s="89" t="str">
        <x:v>Серая ткань, холодный фильтр и пепел</x:v>
      </x:c>
      <x:c r="F18" s="89" t="str">
        <x:v>254, 257, 270</x:v>
      </x:c>
      <x:c r="G18" s="89" t="str">
        <x:v>Сохранять назначение и контролировать площадь светлых слоёв</x:v>
      </x:c>
      <x:c r="H18" s="89" t="str">
        <x:v>Раскрыто в v16</x:v>
      </x:c>
    </x:row>
    <x:row r="19">
      <x:c r="A19" s="89" t="str">
        <x:v>Bonewhite</x:v>
      </x:c>
      <x:c r="B19" s="89" t="str">
        <x:v>Vallejo</x:v>
      </x:c>
      <x:c r="C19" s="89" t="str">
        <x:v>Game Air</x:v>
      </x:c>
      <x:c r="D19" s="89" t="n">
        <x:v>0</x:v>
      </x:c>
      <x:c r="E19" s="89" t="str">
        <x:v>Аэрографная тёплая кость и снег</x:v>
      </x:c>
      <x:c r="F19" s="89" t="str">
        <x:v>255, 268–269</x:v>
      </x:c>
      <x:c r="G19" s="89" t="str">
        <x:v>Сохранять назначение и контролировать площадь светлых слоёв</x:v>
      </x:c>
      <x:c r="H19" s="89" t="str">
        <x:v>Раскрыто в v16</x:v>
      </x:c>
    </x:row>
    <x:row r="20">
      <x:c r="A20" s="89" t="str">
        <x:v>Ivory Primer</x:v>
      </x:c>
      <x:c r="B20" s="89" t="str">
        <x:v>Vallejo</x:v>
      </x:c>
      <x:c r="C20" s="89" t="str">
        <x:v>Mecha Primer</x:v>
      </x:c>
      <x:c r="D20" s="89" t="n">
        <x:v>0</x:v>
      </x:c>
      <x:c r="E20" s="89" t="str">
        <x:v>Настоящий тёплый грунт под светлые прозрачные системы</x:v>
      </x:c>
      <x:c r="F20" s="89" t="str">
        <x:v>255–256</x:v>
      </x:c>
      <x:c r="G20" s="89" t="str">
        <x:v>Это грунт, наносить тонкими слоями</x:v>
      </x:c>
      <x:c r="H20" s="89" t="str">
        <x:v>Раскрыто в v16</x:v>
      </x:c>
    </x:row>
    <x:row r="21">
      <x:c r="A21" s="89" t="str">
        <x:v>Sea Grey</x:v>
      </x:c>
      <x:c r="B21" s="89" t="str">
        <x:v>Vallejo</x:v>
      </x:c>
      <x:c r="C21" s="89" t="str">
        <x:v>Model Air</x:v>
      </x:c>
      <x:c r="D21" s="89" t="n">
        <x:v>0</x:v>
      </x:c>
      <x:c r="E21" s="89" t="str">
        <x:v>Холодная серая броня и пепельный drybrush</x:v>
      </x:c>
      <x:c r="F21" s="89" t="str">
        <x:v>254, 257, 270</x:v>
      </x:c>
      <x:c r="G21" s="89" t="str">
        <x:v>Сохранять назначение и контролировать площадь светлых слоёв</x:v>
      </x:c>
      <x:c r="H21" s="89" t="str">
        <x:v>Раскрыто в v16</x:v>
      </x:c>
    </x:row>
    <x:row r="22">
      <x:c r="A22" s="89" t="str">
        <x:v>Stormvermin Fur</x:v>
      </x:c>
      <x:c r="B22" s="89" t="str">
        <x:v>Citadel</x:v>
      </x:c>
      <x:c r="C22" s="89" t="str">
        <x:v>Layer</x:v>
      </x:c>
      <x:c r="D22" s="89" t="n">
        <x:v>0</x:v>
      </x:c>
      <x:c r="E22" s="89" t="str">
        <x:v>Серо-коричневая ткань, мех и потёртая кожа</x:v>
      </x:c>
      <x:c r="F22" s="89" t="str">
        <x:v>252–253, 258</x:v>
      </x:c>
      <x:c r="G22" s="89" t="str">
        <x:v>Сохранять назначение и контролировать площадь светлых слоёв</x:v>
      </x:c>
      <x:c r="H22" s="89" t="str">
        <x:v>Раскрыто в v16</x:v>
      </x:c>
    </x:row>
    <x:row r="23">
      <x:c r="A23" s="89" t="str">
        <x:v>SZ Red</x:v>
      </x:c>
      <x:c r="B23" s="89" t="str">
        <x:v>Vallejo</x:v>
      </x:c>
      <x:c r="C23" s="89" t="str">
        <x:v>Mecha Color</x:v>
      </x:c>
      <x:c r="D23" s="89" t="n">
        <x:v>0</x:v>
      </x:c>
      <x:c r="E23" s="89" t="str">
        <x:v>Гладкая красная меха-броня для аэрографа</x:v>
      </x:c>
      <x:c r="F23" s="89" t="str">
        <x:v>259</x:v>
      </x:c>
      <x:c r="G23" s="89" t="str">
        <x:v>Сохранять назначение и контролировать площадь светлых слоёв</x:v>
      </x:c>
      <x:c r="H23" s="89" t="str">
        <x:v>Раскрыто в v16</x:v>
      </x:c>
    </x:row>
    <x:row r="24">
      <x:c r="A24" s="89" t="str">
        <x:v>Pure Red</x:v>
      </x:c>
      <x:c r="B24" s="89" t="str">
        <x:v>Army Painter</x:v>
      </x:c>
      <x:c r="C24" s="89" t="str">
        <x:v>Warpaints</x:v>
      </x:c>
      <x:c r="D24" s="89" t="n">
        <x:v>0</x:v>
      </x:c>
      <x:c r="E24" s="89" t="str">
        <x:v>Укрывистая яркая геральдика и красный средний свет</x:v>
      </x:c>
      <x:c r="F24" s="89" t="str">
        <x:v>259–260</x:v>
      </x:c>
      <x:c r="G24" s="89" t="str">
        <x:v>Сохранять назначение и контролировать площадь светлых слоёв</x:v>
      </x:c>
      <x:c r="H24" s="89" t="str">
        <x:v>Раскрыто в v16</x:v>
      </x:c>
    </x:row>
    <x:row r="25">
      <x:c r="A25" s="89" t="str">
        <x:v>Word Bearers Red</x:v>
      </x:c>
      <x:c r="B25" s="89" t="str">
        <x:v>Citadel</x:v>
      </x:c>
      <x:c r="C25" s="89" t="str">
        <x:v>Layer</x:v>
      </x:c>
      <x:c r="D25" s="89" t="n">
        <x:v>1</x:v>
      </x:c>
      <x:c r="E25" s="89" t="str">
        <x:v>Самостоятельная тёмно-красная база</x:v>
      </x:c>
      <x:c r="F25" s="89" t="str">
        <x:v>259, 261</x:v>
      </x:c>
      <x:c r="G25" s="89" t="str">
        <x:v>Сохранять назначение и контролировать площадь светлых слоёв</x:v>
      </x:c>
      <x:c r="H25" s="89" t="str">
        <x:v>Раскрыто в v16</x:v>
      </x:c>
    </x:row>
    <x:row r="26">
      <x:c r="A26" s="89" t="str">
        <x:v>Old Gold</x:v>
      </x:c>
      <x:c r="B26" s="89" t="str">
        <x:v>Vallejo</x:v>
      </x:c>
      <x:c r="C26" s="89" t="str">
        <x:v>Model Color — Metallic</x:v>
      </x:c>
      <x:c r="D26" s="89" t="n">
        <x:v>0</x:v>
      </x:c>
      <x:c r="E26" s="89" t="str">
        <x:v>Античное и приглушённое золото</x:v>
      </x:c>
      <x:c r="F26" s="89" t="str">
        <x:v>262, 265</x:v>
      </x:c>
      <x:c r="G26" s="89" t="str">
        <x:v>Сохранять назначение и контролировать площадь светлых слоёв</x:v>
      </x:c>
      <x:c r="H26" s="89" t="str">
        <x:v>Раскрыто в v16</x:v>
      </x:c>
    </x:row>
    <x:row r="27">
      <x:c r="A27" s="89" t="str">
        <x:v>Golden Griffon</x:v>
      </x:c>
      <x:c r="B27" s="89" t="str">
        <x:v>Citadel</x:v>
      </x:c>
      <x:c r="C27" s="89" t="str">
        <x:v>Dry</x:v>
      </x:c>
      <x:c r="D27" s="89" t="n">
        <x:v>0</x:v>
      </x:c>
      <x:c r="E27" s="89" t="str">
        <x:v>Сухое высветление древнего золота</x:v>
      </x:c>
      <x:c r="F27" s="89" t="str">
        <x:v>263</x:v>
      </x:c>
      <x:c r="G27" s="89" t="str">
        <x:v>Только сухая кисть по рельефу</x:v>
      </x:c>
      <x:c r="H27" s="89" t="str">
        <x:v>Раскрыто в v16</x:v>
      </x:c>
    </x:row>
    <x:row r="28">
      <x:c r="A28" s="89" t="str">
        <x:v>Necron Compound</x:v>
      </x:c>
      <x:c r="B28" s="89" t="str">
        <x:v>Citadel</x:v>
      </x:c>
      <x:c r="C28" s="89" t="str">
        <x:v>Dry</x:v>
      </x:c>
      <x:c r="D28" s="89" t="n">
        <x:v>0</x:v>
      </x:c>
      <x:c r="E28" s="89" t="str">
        <x:v>Быстрое сухое высветление механизмов</x:v>
      </x:c>
      <x:c r="F28" s="89" t="str">
        <x:v>264, 270</x:v>
      </x:c>
      <x:c r="G28" s="89" t="str">
        <x:v>Только сухая кисть по рельефу</x:v>
      </x:c>
      <x:c r="H28" s="89" t="str">
        <x:v>Раскрыто в v16</x:v>
      </x:c>
    </x:row>
    <x:row r="29">
      <x:c r="A29" s="89" t="str">
        <x:v>Reikland Fleshshade Gloss</x:v>
      </x:c>
      <x:c r="B29" s="89" t="str">
        <x:v>Citadel</x:v>
      </x:c>
      <x:c r="C29" s="89" t="str">
        <x:v>Shade (Gloss)</x:v>
      </x:c>
      <x:c r="D29" s="89" t="n">
        <x:v>0</x:v>
      </x:c>
      <x:c r="E29" s="89" t="str">
        <x:v>Глянцевая тёплая тень полированной бронзы</x:v>
      </x:c>
      <x:c r="F29" s="89" t="str">
        <x:v>265</x:v>
      </x:c>
      <x:c r="G29" s="89" t="str">
        <x:v>Использовать локально, не на матовой коже</x:v>
      </x:c>
      <x:c r="H29" s="89" t="str">
        <x:v>Раскрыто в v16</x:v>
      </x:c>
    </x:row>
    <x:row r="30">
      <x:c r="A30" s="89" t="str">
        <x:v>Mordant Earth</x:v>
      </x:c>
      <x:c r="B30" s="89" t="str">
        <x:v>Citadel</x:v>
      </x:c>
      <x:c r="C30" s="89" t="str">
        <x:v>Technical</x:v>
      </x:c>
      <x:c r="D30" s="89" t="n">
        <x:v>0</x:v>
      </x:c>
      <x:c r="E30" s="89" t="str">
        <x:v>Чёрная вулканическая или токсичная crackle-корка</x:v>
      </x:c>
      <x:c r="F30" s="89" t="str">
        <x:v>266–267</x:v>
      </x:c>
      <x:c r="G30" s="89" t="str">
        <x:v>Яркий подслой должен полностью высохнуть</x:v>
      </x:c>
      <x:c r="H30" s="89" t="str">
        <x:v>Раскрыто в v16</x:v>
      </x:c>
    </x:row>
    <x:row r="31">
      <x:c r="A31" s="89" t="str">
        <x:v>Xpress Medium</x:v>
      </x:c>
      <x:c r="B31" s="89" t="str">
        <x:v>Vallejo</x:v>
      </x:c>
      <x:c r="C31" s="89" t="str">
        <x:v>Xpress Color — Medium</x:v>
      </x:c>
      <x:c r="D31" s="89" t="n">
        <x:v>0</x:v>
      </x:c>
      <x:c r="E31" s="89" t="str">
        <x:v>Управление Black Lotus и Mystic Blue</x:v>
      </x:c>
      <x:c r="F31" s="89" t="str">
        <x:v>244–245</x:v>
      </x:c>
      <x:c r="G31" s="89" t="str">
        <x:v>Не заменять Contrast Medium в Contrast-рецептах</x:v>
      </x:c>
      <x:c r="H31" s="89" t="str">
        <x:v>Раскрыто в v16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1fd4cb549ad4c9c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3" hidden="0" customWidth="1"/>
    <x:col min="3" max="3" width="31" hidden="0" customWidth="1"/>
    <x:col min="4" max="4" width="27" hidden="0" customWidth="1"/>
    <x:col min="5" max="5" width="43" hidden="0" customWidth="1"/>
    <x:col min="6" max="6" width="46" hidden="0" customWidth="1"/>
    <x:col min="7" max="7" width="22" hidden="0" customWidth="1"/>
    <x:col min="8" max="8" width="48" hidden="0" customWidth="1"/>
    <x:col min="9" max="9" width="22" hidden="0" customWidth="1"/>
  </x:cols>
  <x:sheetData>
    <x:row r="1" ht="38" customHeight="1">
      <x:c r="A1" s="450" t="str">
        <x:v>Xpress и яркие Contrast: подложка, Medium и область применения</x:v>
      </x:c>
      <x:c r="B1" s="450"/>
      <x:c r="C1" s="450"/>
      <x:c r="D1" s="450"/>
      <x:c r="E1" s="450"/>
      <x:c r="F1" s="450"/>
      <x:c r="G1" s="450"/>
      <x:c r="H1" s="450"/>
      <x:c r="I1" s="450"/>
    </x:row>
    <x:row r="2" ht="38" customHeight="1">
      <x:c r="A2" s="453" t="str">
        <x:v>Xpress разводится Xpress Medium, Contrast — Contrast Medium. Через аэрограф обе системы работают как прозрачный фильтр, а кистью могут дополнительно создавать тень в рельефе.</x:v>
      </x:c>
      <x:c r="B2" s="453"/>
      <x:c r="C2" s="453"/>
      <x:c r="D2" s="453"/>
      <x:c r="E2" s="453"/>
      <x:c r="F2" s="453"/>
      <x:c r="G2" s="453"/>
      <x:c r="H2" s="453"/>
      <x:c r="I2" s="453"/>
    </x:row>
    <x:row r="4" ht="42" customHeight="1">
      <x:c r="A4" s="458" t="str">
        <x:v>Краска</x:v>
      </x:c>
      <x:c r="B4" s="458" t="str">
        <x:v>Система</x:v>
      </x:c>
      <x:c r="C4" s="458" t="str">
        <x:v>Лучшая подложка</x:v>
      </x:c>
      <x:c r="D4" s="458" t="str">
        <x:v>Старт с Medium</x:v>
      </x:c>
      <x:c r="E4" s="458" t="str">
        <x:v>Основная роль</x:v>
      </x:c>
      <x:c r="F4" s="458" t="str">
        <x:v>Непрозрачный свет</x:v>
      </x:c>
      <x:c r="G4" s="458" t="str">
        <x:v>Финиш</x:v>
      </x:c>
      <x:c r="H4" s="458" t="str">
        <x:v>Риск</x:v>
      </x:c>
      <x:c r="I4" s="458" t="str">
        <x:v>Рецепт</x:v>
      </x:c>
    </x:row>
    <x:row r="5">
      <x:c r="A5" s="89" t="str">
        <x:v>Black Lotus</x:v>
      </x:c>
      <x:c r="B5" s="89" t="str">
        <x:v>Vallejo Xpress</x:v>
      </x:c>
      <x:c r="C5" s="89" t="str">
        <x:v>Grey Seer / White Grey</x:v>
      </x:c>
      <x:c r="D5" s="89" t="str">
        <x:v>1:1; glaze 1:5</x:v>
      </x:c>
      <x:c r="E5" s="89" t="str">
        <x:v>Чёрно-фиолетовый бархат</x:v>
      </x:c>
      <x:c r="F5" s="89" t="str">
        <x:v>Phoenician → Genestealer → Slaanesh</x:v>
      </x:c>
      <x:c r="G5" s="89" t="str">
        <x:v>Matt</x:v>
      </x:c>
      <x:c r="H5" s="89" t="str">
        <x:v>Почти чёрная однородная масса</x:v>
      </x:c>
      <x:c r="I5" s="89" t="str">
        <x:v>244</x:v>
      </x:c>
    </x:row>
    <x:row r="6">
      <x:c r="A6" s="89" t="str">
        <x:v>Mystic Blue</x:v>
      </x:c>
      <x:c r="B6" s="89" t="str">
        <x:v>Vallejo Xpress</x:v>
      </x:c>
      <x:c r="C6" s="89" t="str">
        <x:v>Grey Seer</x:v>
      </x:c>
      <x:c r="D6" s="89" t="str">
        <x:v>1:1; glaze 1:4–1:6</x:v>
      </x:c>
      <x:c r="E6" s="89" t="str">
        <x:v>Тёмно-синяя ткань и холодный фильтр</x:v>
      </x:c>
      <x:c r="F6" s="89" t="str">
        <x:v>Ahriman → Lothern → Baharroth</x:v>
      </x:c>
      <x:c r="G6" s="89" t="str">
        <x:v>Matt</x:v>
      </x:c>
      <x:c r="H6" s="89" t="str">
        <x:v>Кольца на большой плоскости</x:v>
      </x:c>
      <x:c r="I6" s="89" t="str">
        <x:v>242, 245</x:v>
      </x:c>
    </x:row>
    <x:row r="7">
      <x:c r="A7" s="89" t="str">
        <x:v>Kroxigor Scales</x:v>
      </x:c>
      <x:c r="B7" s="89" t="str">
        <x:v>Citadel Contrast</x:v>
      </x:c>
      <x:c r="C7" s="89" t="str">
        <x:v>Wraithbone / серебро</x:v>
      </x:c>
      <x:c r="D7" s="89" t="str">
        <x:v>1:1</x:v>
      </x:c>
      <x:c r="E7" s="89" t="str">
        <x:v>Бирюзовая кожа и candy-metal</x:v>
      </x:c>
      <x:c r="F7" s="89" t="str">
        <x:v>Kabalite → Sybarite → Deepkin</x:v>
      </x:c>
      <x:c r="G7" s="89" t="str">
        <x:v>Matt/Metal</x:v>
      </x:c>
      <x:c r="H7" s="89" t="str">
        <x:v>Слишком тёмный teal</x:v>
      </x:c>
      <x:c r="I7" s="89" t="str">
        <x:v>246</x:v>
      </x:c>
    </x:row>
    <x:row r="8">
      <x:c r="A8" s="89" t="str">
        <x:v>Magmadroth Flame</x:v>
      </x:c>
      <x:c r="B8" s="89" t="str">
        <x:v>Citadel Contrast</x:v>
      </x:c>
      <x:c r="C8" s="89" t="str">
        <x:v>White / Wraithbone</x:v>
      </x:c>
      <x:c r="D8" s="89" t="str">
        <x:v>Из банки или 1:1</x:v>
      </x:c>
      <x:c r="E8" s="89" t="str">
        <x:v>Оранжевая кожа, огонь, лава</x:v>
      </x:c>
      <x:c r="F8" s="89" t="str">
        <x:v>Orange Fire → Fire Dragon → Yellow</x:v>
      </x:c>
      <x:c r="G8" s="89" t="str">
        <x:v>Matt/Satin</x:v>
      </x:c>
      <x:c r="H8" s="89" t="str">
        <x:v>На тёмной основе тусклый</x:v>
      </x:c>
      <x:c r="I8" s="89" t="str">
        <x:v>247, 266</x:v>
      </x:c>
    </x:row>
    <x:row r="9">
      <x:c r="A9" s="89" t="str">
        <x:v>Striking Scorpion Green</x:v>
      </x:c>
      <x:c r="B9" s="89" t="str">
        <x:v>Citadel Contrast</x:v>
      </x:c>
      <x:c r="C9" s="89" t="str">
        <x:v>White / White Grey</x:v>
      </x:c>
      <x:c r="D9" s="89" t="str">
        <x:v>1:1 для glaze</x:v>
      </x:c>
      <x:c r="E9" s="89" t="str">
        <x:v>Линзы, gemstones, токсичное свечение</x:v>
      </x:c>
      <x:c r="F9" s="89" t="str">
        <x:v>Moot → Green Fluo → White</x:v>
      </x:c>
      <x:c r="G9" s="89" t="str">
        <x:v>Gloss</x:v>
      </x:c>
      <x:c r="H9" s="89" t="str">
        <x:v>Ореол ярче центра</x:v>
      </x:c>
      <x:c r="I9" s="89" t="str">
        <x:v>248, 267</x:v>
      </x:c>
    </x:row>
    <x:row r="10">
      <x:c r="A10" s="89" t="str">
        <x:v>Iyanden Yellow</x:v>
      </x:c>
      <x:c r="B10" s="89" t="str">
        <x:v>Citadel Contrast</x:v>
      </x:c>
      <x:c r="C10" s="89" t="str">
        <x:v>White</x:v>
      </x:c>
      <x:c r="D10" s="89" t="str">
        <x:v>1:1 при фильтре</x:v>
      </x:c>
      <x:c r="E10" s="89" t="str">
        <x:v>Тёплая жёлтая броня</x:v>
      </x:c>
      <x:c r="F10" s="89" t="str">
        <x:v>AK Yellow → Pale Sand</x:v>
      </x:c>
      <x:c r="G10" s="89" t="str">
        <x:v>Matt</x:v>
      </x:c>
      <x:c r="H10" s="89" t="str">
        <x:v>Лужи на панелях</x:v>
      </x:c>
      <x:c r="I10" s="89" t="str">
        <x:v>249</x:v>
      </x:c>
    </x:row>
    <x:row r="11">
      <x:c r="A11" s="89" t="str">
        <x:v>Volupus Pink</x:v>
      </x:c>
      <x:c r="B11" s="89" t="str">
        <x:v>Citadel Contrast</x:v>
      </x:c>
      <x:c r="C11" s="89" t="str">
        <x:v>Wraithbone</x:v>
      </x:c>
      <x:c r="D11" s="89" t="str">
        <x:v>1:1</x:v>
      </x:c>
      <x:c r="E11" s="89" t="str">
        <x:v>Органика и тёмно-розовая ткань</x:v>
      </x:c>
      <x:c r="F11" s="89" t="str">
        <x:v>Pink Horror → Emperor's → Fulgrim</x:v>
      </x:c>
      <x:c r="G11" s="89" t="str">
        <x:v>Matt/локальный Gloss</x:v>
      </x:c>
      <x:c r="H11" s="89" t="str">
        <x:v>Слишком насыщенная малиновая масса</x:v>
      </x:c>
      <x:c r="I11" s="89" t="str">
        <x:v>250</x:v>
      </x:c>
    </x:row>
    <x:row r="12">
      <x:c r="A12" s="89" t="str">
        <x:v>Shyish Purple</x:v>
      </x:c>
      <x:c r="B12" s="89" t="str">
        <x:v>Citadel Contrast</x:v>
      </x:c>
      <x:c r="C12" s="89" t="str">
        <x:v>Grey Seer</x:v>
      </x:c>
      <x:c r="D12" s="89" t="str">
        <x:v>1:1 обязательно для средних тонов</x:v>
      </x:c>
      <x:c r="E12" s="89" t="str">
        <x:v>Глубокая пурпурная тень</x:v>
      </x:c>
      <x:c r="F12" s="89" t="str">
        <x:v>Phoenician → Xereus → Genestealer</x:v>
      </x:c>
      <x:c r="G12" s="89" t="str">
        <x:v>Matt</x:v>
      </x:c>
      <x:c r="H12" s="89" t="str">
        <x:v>Почти чёрные складки</x:v>
      </x:c>
      <x:c r="I12" s="89" t="str">
        <x:v>243, 251</x:v>
      </x:c>
    </x:row>
    <x:row r="13">
      <x:c r="A13" s="89" t="str">
        <x:v>Garaghak's Sewer</x:v>
      </x:c>
      <x:c r="B13" s="89" t="str">
        <x:v>Citadel Contrast</x:v>
      </x:c>
      <x:c r="C13" s="89" t="str">
        <x:v>Wraithbone</x:v>
      </x:c>
      <x:c r="D13" s="89" t="str">
        <x:v>1:1</x:v>
      </x:c>
      <x:c r="E13" s="89" t="str">
        <x:v>Грязная кожа и тёмные коричневые тени</x:v>
      </x:c>
      <x:c r="F13" s="89" t="str">
        <x:v>Stormvermin → Baneblade → Karak</x:v>
      </x:c>
      <x:c r="G13" s="89" t="str">
        <x:v>Matt/Satin</x:v>
      </x:c>
      <x:c r="H13" s="89" t="str">
        <x:v>Потеря фактуры в глубоких слоях</x:v>
      </x:c>
      <x:c r="I13" s="89" t="str">
        <x:v>252, 258</x:v>
      </x:c>
    </x:row>
    <x:row r="14">
      <x:c r="A14" s="89" t="str">
        <x:v>Gore-Grunta Fur</x:v>
      </x:c>
      <x:c r="B14" s="89" t="str">
        <x:v>Citadel Contrast</x:v>
      </x:c>
      <x:c r="C14" s="89" t="str">
        <x:v>Wraithbone</x:v>
      </x:c>
      <x:c r="D14" s="89" t="str">
        <x:v>1:1</x:v>
      </x:c>
      <x:c r="E14" s="89" t="str">
        <x:v>Рыже-коричневый мех</x:v>
      </x:c>
      <x:c r="F14" s="89" t="str">
        <x:v>Orange Brown → Stormvermin → Karak</x:v>
      </x:c>
      <x:c r="G14" s="89" t="str">
        <x:v>Matt</x:v>
      </x:c>
      <x:c r="H14" s="89" t="str">
        <x:v>Слишком оранжевый мех</x:v>
      </x:c>
      <x:c r="I14" s="89" t="str">
        <x:v>253</x:v>
      </x:c>
    </x:row>
    <x:row r="15">
      <x:c r="A15" s="89" t="str">
        <x:v>Basilicanum Grey</x:v>
      </x:c>
      <x:c r="B15" s="89" t="str">
        <x:v>Citadel Contrast</x:v>
      </x:c>
      <x:c r="C15" s="89" t="str">
        <x:v>Grey Seer / металл</x:v>
      </x:c>
      <x:c r="D15" s="89" t="str">
        <x:v>1:1–1:6</x:v>
      </x:c>
      <x:c r="E15" s="89" t="str">
        <x:v>Серая ткань и фильтр по металлу</x:v>
      </x:c>
      <x:c r="F15" s="89" t="str">
        <x:v>Mechanicus → Dawnstone → Sea Grey</x:v>
      </x:c>
      <x:c r="G15" s="89" t="str">
        <x:v>Matt/Metal</x:v>
      </x:c>
      <x:c r="H15" s="89" t="str">
        <x:v>Грязные кольца на плоскости</x:v>
      </x:c>
      <x:c r="I15" s="89" t="str">
        <x:v>254, 257, 270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d1deec502d1243bd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1" hidden="0" customWidth="1"/>
    <x:col min="3" max="3" width="37" hidden="0" customWidth="1"/>
    <x:col min="4" max="4" width="31" hidden="0" customWidth="1"/>
    <x:col min="5" max="5" width="28" hidden="0" customWidth="1"/>
    <x:col min="6" max="6" width="44" hidden="0" customWidth="1"/>
    <x:col min="7" max="7" width="28" hidden="0" customWidth="1"/>
    <x:col min="8" max="8" width="49" hidden="0" customWidth="1"/>
    <x:col min="9" max="9" width="16" hidden="0" customWidth="1"/>
  </x:cols>
  <x:sheetData>
    <x:row r="1" ht="38" customHeight="1">
      <x:c r="A1" s="450" t="str">
        <x:v>Снег, пепел и растрескавшиеся поверхности</x:v>
      </x:c>
      <x:c r="B1" s="450"/>
      <x:c r="C1" s="450"/>
      <x:c r="D1" s="450"/>
      <x:c r="E1" s="450"/>
      <x:c r="F1" s="450"/>
      <x:c r="G1" s="450"/>
      <x:c r="H1" s="450"/>
      <x:c r="I1" s="450"/>
    </x:row>
    <x:row r="2" ht="40" customHeight="1">
      <x:c r="A2" s="453" t="str">
        <x:v>Все пять схем построены без покупки специальных снежных или пепельных продуктов. Light Earth и Asphalt дают рельеф, Bonewhite/White формируют снег, а Mordant Earth раскрывает цветной подслой через трещины.</x:v>
      </x:c>
      <x:c r="B2" s="453"/>
      <x:c r="C2" s="453"/>
      <x:c r="D2" s="453"/>
      <x:c r="E2" s="453"/>
      <x:c r="F2" s="453"/>
      <x:c r="G2" s="453"/>
      <x:c r="H2" s="453"/>
      <x:c r="I2" s="453"/>
    </x:row>
    <x:row r="4" ht="42" customHeight="1">
      <x:c r="A4" s="458" t="str">
        <x:v>Поверхность</x:v>
      </x:c>
      <x:c r="B4" s="458" t="str">
        <x:v>Фактурная основа</x:v>
      </x:c>
      <x:c r="C4" s="458" t="str">
        <x:v>Цвет подложки</x:v>
      </x:c>
      <x:c r="D4" s="458" t="str">
        <x:v>Средний слой</x:v>
      </x:c>
      <x:c r="E4" s="458" t="str">
        <x:v>Свет/центр</x:v>
      </x:c>
      <x:c r="F4" s="458" t="str">
        <x:v>Локальный эффект</x:v>
      </x:c>
      <x:c r="G4" s="458" t="str">
        <x:v>Финиш</x:v>
      </x:c>
      <x:c r="H4" s="458" t="str">
        <x:v>Главный риск</x:v>
      </x:c>
      <x:c r="I4" s="458" t="str">
        <x:v>Рецепт</x:v>
      </x:c>
    </x:row>
    <x:row r="5">
      <x:c r="A5" s="89" t="str">
        <x:v>Вулканическая корка</x:v>
      </x:c>
      <x:c r="B5" s="89" t="str">
        <x:v>Mordant Earth</x:v>
      </x:c>
      <x:c r="C5" s="89" t="str">
        <x:v>Magmadroth Flame + Dirty Red</x:v>
      </x:c>
      <x:c r="D5" s="89" t="str">
        <x:v>Orange Fluorescent</x:v>
      </x:c>
      <x:c r="E5" s="89" t="str">
        <x:v>Yellow → White</x:v>
      </x:c>
      <x:c r="F5" s="89" t="str">
        <x:v>Gloss/Satin в трещинах</x:v>
      </x:c>
      <x:c r="G5" s="89" t="str">
        <x:v>Matt на корке</x:v>
      </x:c>
      <x:c r="H5" s="89" t="str">
        <x:v>Тусклый подслой или тонкий Mordant</x:v>
      </x:c>
      <x:c r="I5" s="89" t="str">
        <x:v>266</x:v>
      </x:c>
    </x:row>
    <x:row r="6">
      <x:c r="A6" s="89" t="str">
        <x:v>Токсичная корка</x:v>
      </x:c>
      <x:c r="B6" s="89" t="str">
        <x:v>Mordant Earth</x:v>
      </x:c>
      <x:c r="C6" s="89" t="str">
        <x:v>Warp Lightning</x:v>
      </x:c>
      <x:c r="D6" s="89" t="str">
        <x:v>Striking Scorpion Green</x:v>
      </x:c>
      <x:c r="E6" s="89" t="str">
        <x:v>Green Fluo → White</x:v>
      </x:c>
      <x:c r="F6" s="89" t="str">
        <x:v>Nurgle's Rot/Gloss в трещинах</x:v>
      </x:c>
      <x:c r="G6" s="89" t="str">
        <x:v>Matt на корке</x:v>
      </x:c>
      <x:c r="H6" s="89" t="str">
        <x:v>Сплошной зелёный без чёрной корки</x:v>
      </x:c>
      <x:c r="I6" s="89" t="str">
        <x:v>267</x:v>
      </x:c>
    </x:row>
    <x:row r="7">
      <x:c r="A7" s="89" t="str">
        <x:v>Свежий сухой снег</x:v>
      </x:c>
      <x:c r="B7" s="89" t="str">
        <x:v>Light Earth, полностью перекрытая</x:v>
      </x:c>
      <x:c r="C7" s="89" t="str">
        <x:v>Bonewhite</x:v>
      </x:c>
      <x:c r="D7" s="89" t="str">
        <x:v>White Grey</x:v>
      </x:c>
      <x:c r="E7" s="89" t="str">
        <x:v>White</x:v>
      </x:c>
      <x:c r="F7" s="89" t="str">
        <x:v>Frostheart в глубоких холодных местах</x:v>
      </x:c>
      <x:c r="G7" s="89" t="str">
        <x:v>Matt</x:v>
      </x:c>
      <x:c r="H7" s="89" t="str">
        <x:v>Снег выглядит серой землёй</x:v>
      </x:c>
      <x:c r="I7" s="89" t="str">
        <x:v>268</x:v>
      </x:c>
    </x:row>
    <x:row r="8">
      <x:c r="A8" s="89" t="str">
        <x:v>Грязный тающий снег</x:v>
      </x:c>
      <x:c r="B8" s="89" t="str">
        <x:v>Light Earth + Deep Brown</x:v>
      </x:c>
      <x:c r="C8" s="89" t="str">
        <x:v>Bonewhite</x:v>
      </x:c>
      <x:c r="D8" s="89" t="str">
        <x:v>White Grey</x:v>
      </x:c>
      <x:c r="E8" s="89" t="str">
        <x:v>White только сверху</x:v>
      </x:c>
      <x:c r="F8" s="89" t="str">
        <x:v>Agrax Gloss/Gloss Varnish в талой воде</x:v>
      </x:c>
      <x:c r="G8" s="89" t="str">
        <x:v>Matt + локальный Gloss</x:v>
      </x:c>
      <x:c r="H8" s="89" t="str">
        <x:v>Слишком чистый белый у самой земли</x:v>
      </x:c>
      <x:c r="I8" s="89" t="str">
        <x:v>269</x:v>
      </x:c>
    </x:row>
    <x:row r="9">
      <x:c r="A9" s="89" t="str">
        <x:v>Пепельная пустошь</x:v>
      </x:c>
      <x:c r="B9" s="89" t="str">
        <x:v>AK Asphalt</x:v>
      </x:c>
      <x:c r="C9" s="89" t="str">
        <x:v>Basilicanum Grey</x:v>
      </x:c>
      <x:c r="D9" s="89" t="str">
        <x:v>Sea Grey</x:v>
      </x:c>
      <x:c r="E9" s="89" t="str">
        <x:v>White Grey</x:v>
      </x:c>
      <x:c r="F9" s="89" t="str">
        <x:v>Necron Compound на мусоре; Lamp Black в глубине</x:v>
      </x:c>
      <x:c r="G9" s="89" t="str">
        <x:v>Matt</x:v>
      </x:c>
      <x:c r="H9" s="89" t="str">
        <x:v>Пепел выглядит обычным камнем</x:v>
      </x:c>
      <x:c r="I9" s="89" t="str">
        <x:v>270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e00a31e6714947ef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5" hidden="0" customWidth="1"/>
    <x:col min="3" max="3" width="18" hidden="0" customWidth="1"/>
    <x:col min="4" max="4" width="58" hidden="0" customWidth="1"/>
    <x:col min="5" max="5" width="76" hidden="0" customWidth="1"/>
    <x:col min="6" max="6" width="90" hidden="0" customWidth="1"/>
  </x:cols>
  <x:sheetData>
    <x:row r="1" ht="38" customHeight="1">
      <x:c r="A1" s="450" t="str">
        <x:v>Девятый проход: раскрытие редких красок и холодных сред</x:v>
      </x:c>
      <x:c r="B1" s="450"/>
      <x:c r="C1" s="450"/>
      <x:c r="D1" s="450"/>
      <x:c r="E1" s="450"/>
      <x:c r="F1" s="450"/>
    </x:row>
    <x:row r="3">
      <x:c r="A3" s="455" t="str">
        <x:v>Показатель</x:v>
      </x:c>
      <x:c r="B3" s="455" t="str">
        <x:v>Результат</x:v>
      </x:c>
    </x:row>
    <x:row r="4">
      <x:c r="A4" s="461" t="str">
        <x:v>Рецептов до прохода</x:v>
      </x:c>
      <x:c r="B4" s="462" t="n">
        <x:v>240</x:v>
      </x:c>
    </x:row>
    <x:row r="5">
      <x:c r="A5" s="461" t="str">
        <x:v>Новых рецептов</x:v>
      </x:c>
      <x:c r="B5" s="462" t="n">
        <x:v>30</x:v>
      </x:c>
    </x:row>
    <x:row r="6">
      <x:c r="A6" s="461" t="str">
        <x:v>Рецептов после прохода</x:v>
      </x:c>
      <x:c r="B6" s="462" t="n">
        <x:v>270</x:v>
      </x:c>
    </x:row>
    <x:row r="7">
      <x:c r="A7" s="461" t="str">
        <x:v>Редких красок получили новую роль</x:v>
      </x:c>
      <x:c r="B7" s="462" t="n">
        <x:v>27</x:v>
      </x:c>
    </x:row>
    <x:row r="8">
      <x:c r="A8" s="461" t="str">
        <x:v>Новых Xpress/Contrast схем</x:v>
      </x:c>
      <x:c r="B8" s="462" t="n">
        <x:v>11</x:v>
      </x:c>
    </x:row>
    <x:row r="9">
      <x:c r="A9" s="461" t="str">
        <x:v>Новых металлических схем</x:v>
      </x:c>
      <x:c r="B9" s="462" t="n">
        <x:v>4</x:v>
      </x:c>
    </x:row>
    <x:row r="10">
      <x:c r="A10" s="461" t="str">
        <x:v>Новых снежных/пепельных/crackle схем</x:v>
      </x:c>
      <x:c r="B10" s="462" t="n">
        <x:v>5</x:v>
      </x:c>
    </x:row>
    <x:row r="11">
      <x:c r="A11" s="461" t="str">
        <x:v>Добавлен справочник редких красок</x:v>
      </x:c>
      <x:c r="B11" s="462" t="n">
        <x:v>27</x:v>
      </x:c>
    </x:row>
    <x:row r="12">
      <x:c r="A12" s="461" t="str">
        <x:v>Добавлена таблица прозрачных систем</x:v>
      </x:c>
      <x:c r="B12" s="462" t="n">
        <x:v>11</x:v>
      </x:c>
    </x:row>
    <x:row r="13">
      <x:c r="A13" s="461" t="str">
        <x:v>Ключевой принцип</x:v>
      </x:c>
      <x:c r="B13" s="461" t="str">
        <x:v>Каждая банка должна иметь самостоятельную функцию: база, фильтр, фактура, тень, свет или специальный финиш</x:v>
      </x:c>
    </x:row>
    <x:row r="16">
      <x:c r="A16" s="458" t="str">
        <x:v>ID</x:v>
      </x:c>
      <x:c r="B16" s="458" t="str">
        <x:v>Область</x:v>
      </x:c>
      <x:c r="C16" s="458" t="str">
        <x:v>Статус</x:v>
      </x:c>
      <x:c r="D16" s="458" t="str">
        <x:v>Что обнаружено</x:v>
      </x:c>
      <x:c r="E16" s="458" t="str">
        <x:v>Действие</x:v>
      </x:c>
      <x:c r="F16" s="458" t="str">
        <x:v>Основание</x:v>
      </x:c>
    </x:row>
    <x:row r="17">
      <x:c r="A17" s="89" t="str">
        <x:v>AUD9-01</x:v>
      </x:c>
      <x:c r="B17" s="89" t="str">
        <x:v>Редкие краски</x:v>
      </x:c>
      <x:c r="C17" s="89" t="str">
        <x:v>Систематизировано</x:v>
      </x:c>
      <x:c r="D17" s="89" t="str">
        <x:v>27 материалов отсутствовали в рецептах либо встречались один раз.</x:v>
      </x:c>
      <x:c r="E17" s="89" t="str">
        <x:v>Каждой назначена самостоятельная роль и номер новой схемы.</x:v>
      </x:c>
      <x:c r="F17" s="89" t="str">
        <x:v>База теперь использует не только популярные цепочки, но и фактическую ширину коллекции.</x:v>
      </x:c>
    </x:row>
    <x:row r="18">
      <x:c r="A18" s="89" t="str">
        <x:v>AUD9-02</x:v>
      </x:c>
      <x:c r="B18" s="89" t="str">
        <x:v>Kroxigor Scales</x:v>
      </x:c>
      <x:c r="C18" s="89" t="str">
        <x:v>Добавлено</x:v>
      </x:c>
      <x:c r="D18" s="89" t="str">
        <x:v>Бирюзовый Contrast не имел собственного рецепта кожи.</x:v>
      </x:c>
      <x:c r="E18" s="89" t="str">
        <x:v>Добавлена схема Wraithbone → Kroxigor + Medium → drybrush/stippling.</x:v>
      </x:c>
      <x:c r="F18" s="89" t="str">
        <x:v>Официальный community example использует Kroxigor Scales и Lahmian/Contrast Medium для плавной кожи и чешуи.</x:v>
      </x:c>
    </x:row>
    <x:row r="19">
      <x:c r="A19" s="89" t="str">
        <x:v>AUD9-03</x:v>
      </x:c>
      <x:c r="B19" s="89" t="str">
        <x:v>Magmadroth Flame</x:v>
      </x:c>
      <x:c r="C19" s="89" t="str">
        <x:v>Добавлено</x:v>
      </x:c>
      <x:c r="D19" s="89" t="str">
        <x:v>Яркий оранжевый Contrast не использовался.</x:v>
      </x:c>
      <x:c r="E19" s="89" t="str">
        <x:v>Добавлены оранжевая кожа и вулканическая подложка под Mordant Earth.</x:v>
      </x:c>
      <x:c r="F19" s="89" t="str">
        <x:v>Warhammer рекомендует Magmadroth Flame для огня, волос и cracked terrain over a light base.</x:v>
      </x:c>
    </x:row>
    <x:row r="20">
      <x:c r="A20" s="89" t="str">
        <x:v>AUD9-04</x:v>
      </x:c>
      <x:c r="B20" s="89" t="str">
        <x:v>Striking Scorpion Green</x:v>
      </x:c>
      <x:c r="C20" s="89" t="str">
        <x:v>Добавлено</x:v>
      </x:c>
      <x:c r="D20" s="89" t="str">
        <x:v>Кислотный зелёный Contrast отсутствовал в схемах.</x:v>
      </x:c>
      <x:c r="E20" s="89" t="str">
        <x:v>Добавлены линзы/gemstones и токсичные трещины.</x:v>
      </x:c>
      <x:c r="F20" s="89" t="str">
        <x:v>Warhammer прямо рекомендует Striking Scorpion Green для glowing eye lenses and gemstones.</x:v>
      </x:c>
    </x:row>
    <x:row r="21">
      <x:c r="A21" s="89" t="str">
        <x:v>AUD9-05</x:v>
      </x:c>
      <x:c r="B21" s="89" t="str">
        <x:v>Shyish/Phoenician/Iyanden/Basilicanum</x:v>
      </x:c>
      <x:c r="C21" s="89" t="str">
        <x:v>Добавлено</x:v>
      </x:c>
      <x:c r="D21" s="89" t="str">
        <x:v>Несколько сильных Contrast/Base связок не были задействованы.</x:v>
      </x:c>
      <x:c r="E21" s="89" t="str">
        <x:v>Добавлены глубокая пурпурная ткань, Phoenician armour, Iyanden yellow и Basilicanum grey.</x:v>
      </x:c>
      <x:c r="F21" s="89" t="str">
        <x:v>Официальная army scheme сочетает Shyish Purple + Phoenician highlights, Iyanden Yellow и Basilicanum Grey.</x:v>
      </x:c>
    </x:row>
    <x:row r="22">
      <x:c r="A22" s="89" t="str">
        <x:v>AUD9-06</x:v>
      </x:c>
      <x:c r="B22" s="89" t="str">
        <x:v>Mordant Earth</x:v>
      </x:c>
      <x:c r="C22" s="89" t="str">
        <x:v>Добавлено</x:v>
      </x:c>
      <x:c r="D22" s="89" t="str">
        <x:v>Чёрный Technical не использовался.</x:v>
      </x:c>
      <x:c r="E22" s="89" t="str">
        <x:v>Созданы вулканическая и токсичная crackle-поверхности с ярким цветным подслоем.</x:v>
      </x:c>
      <x:c r="F22" s="89" t="str">
        <x:v>Warhammer examples показывают Mordant Earth поверх зелёных/цветных основ, позволяя цвету проявляться через трещины.</x:v>
      </x:c>
    </x:row>
    <x:row r="23">
      <x:c r="A23" s="89" t="str">
        <x:v>AUD9-07</x:v>
      </x:c>
      <x:c r="B23" s="89" t="str">
        <x:v>Снег без snow paste</x:v>
      </x:c>
      <x:c r="C23" s="89" t="str">
        <x:v>Добавлено</x:v>
      </x:c>
      <x:c r="D23" s="89" t="str">
        <x:v>В коллекции нет специализированной снежной пасты.</x:v>
      </x:c>
      <x:c r="E23" s="89" t="str">
        <x:v>Light Earth используется как рельеф и полностью перекрывается Bonewhite/White.</x:v>
      </x:c>
      <x:c r="F23" s="89" t="str">
        <x:v>Официальные snow-basing tips подчёркивают разную высоту снега и сильный контраст с тёмными схемами.</x:v>
      </x:c>
    </x:row>
    <x:row r="24">
      <x:c r="A24" s="89" t="str">
        <x:v>AUD9-08</x:v>
      </x:c>
      <x:c r="B24" s="89" t="str">
        <x:v>Dry metallic</x:v>
      </x:c>
      <x:c r="C24" s="89" t="str">
        <x:v>Уточнено</x:v>
      </x:c>
      <x:c r="D24" s="89" t="str">
        <x:v>Golden Griffon и Necron Compound не применялись.</x:v>
      </x:c>
      <x:c r="E24" s="89" t="str">
        <x:v>Они ограничены сухой кистью по фактуре и завершаются обычным ярким металликом.</x:v>
      </x:c>
      <x:c r="F24" s="89" t="str">
        <x:v>Так сохраняется назначение Dry и избегается пылевой финиш на гладких панелях.</x:v>
      </x:c>
    </x:row>
    <x:row r="30">
      <x:c r="A30" s="464" t="str">
        <x:v>ID</x:v>
      </x:c>
      <x:c r="B30" s="464" t="str">
        <x:v>Источник / идея</x:v>
      </x:c>
      <x:c r="C30" s="464" t="str">
        <x:v>URL</x:v>
      </x:c>
    </x:row>
    <x:row r="31">
      <x:c r="A31" s="461" t="str">
        <x:v>SRC9-01</x:v>
      </x:c>
      <x:c r="B31" s="461" t="str">
        <x:v>Warhammer: Kroxigor Scales with Medium, drybrushing and stippling</x:v>
      </x:c>
      <x:c r="C31" s="461" t="str">
        <x:v>https://www.warhammer-community.com/en-gb/articles/MH61HrH6/ready-for-spearhead-check-out-some-of-the-best-forces-from-around-the-community/</x:v>
      </x:c>
    </x:row>
    <x:row r="32">
      <x:c r="A32" s="461" t="str">
        <x:v>SRC9-02</x:v>
      </x:c>
      <x:c r="B32" s="461" t="str">
        <x:v>Warhammer: Kroxigor Scales and Striking Scorpion Green uses</x:v>
      </x:c>
      <x:c r="C32" s="461" t="str">
        <x:v>https://www.warhammer-community.com/en-gb/articles/llZeorVj/a-new-era-of-paints-new-contrast-colours-reformulated-shades-and-our-best-white-spray-ever/</x:v>
      </x:c>
    </x:row>
    <x:row r="33">
      <x:c r="A33" s="461" t="str">
        <x:v>SRC9-03</x:v>
      </x:c>
      <x:c r="B33" s="461" t="str">
        <x:v>Warhammer: Striking Scorpion Green for lenses and gemstones</x:v>
      </x:c>
      <x:c r="C33" s="461" t="str">
        <x:v>https://www.warhammer-community.com/en-gb/articles/GBVzlMhd/10-more-stunning-new-contrast-paints-and-how-to-use-them/</x:v>
      </x:c>
    </x:row>
    <x:row r="34">
      <x:c r="A34" s="461" t="str">
        <x:v>SRC9-04</x:v>
      </x:c>
      <x:c r="B34" s="461" t="str">
        <x:v>Warhammer: Magmadroth Flame for flames, hair and cracked lava terrain</x:v>
      </x:c>
      <x:c r="C34" s="461" t="str">
        <x:v>https://www.warhammer-community.com/en-gb/articles/sXByQcmt/10-dazzling-new-contrast-paints-and-how-to-use-them/</x:v>
      </x:c>
    </x:row>
    <x:row r="35">
      <x:c r="A35" s="461" t="str">
        <x:v>SRC9-05</x:v>
      </x:c>
      <x:c r="B35" s="461" t="str">
        <x:v>Warhammer: Shyish Purple, Phoenician Purple, Iyanden Yellow and Basilicanum Grey army scheme</x:v>
      </x:c>
      <x:c r="C35" s="461" t="str">
        <x:v>https://www.warhammer-community.com/en-gb/articles/9F9pXrbB/our-combat-patrols-2-the-patrolening/</x:v>
      </x:c>
    </x:row>
    <x:row r="36">
      <x:c r="A36" s="461" t="str">
        <x:v>SRC9-06</x:v>
      </x:c>
      <x:c r="B36" s="461" t="str">
        <x:v>Warhammer: green colours under Mordant Earth</x:v>
      </x:c>
      <x:c r="C36" s="461" t="str">
        <x:v>https://www.warhammer-community.com/en-gb/articles/uwghdhhv/the-warhammer-community-team-pledge-themselves-to-hashut-by-painting-some-zharrdron/</x:v>
      </x:c>
    </x:row>
    <x:row r="37">
      <x:c r="A37" s="461" t="str">
        <x:v>SRC9-07</x:v>
      </x:c>
      <x:c r="B37" s="461" t="str">
        <x:v>Warhammer: Warp Lightning and Mordant Earth radioactive base</x:v>
      </x:c>
      <x:c r="C37" s="461" t="str">
        <x:v>https://www.warhammer-community.com/en-gb/articles/9F9pXrbB/our-combat-patrols-2-the-patrolening/</x:v>
      </x:c>
    </x:row>
    <x:row r="38">
      <x:c r="A38" s="461" t="str">
        <x:v>SRC9-08</x:v>
      </x:c>
      <x:c r="B38" s="461" t="str">
        <x:v>Warhammer: snow basing tips and varied snow elevation</x:v>
      </x:c>
      <x:c r="C38" s="461" t="str">
        <x:v>https://www.warhammer-community.com/en-gb/articles/4URGcPiR/add-festive-flair-to-your-warhammer-collection-with-these-snow-basing-tips/</x:v>
      </x:c>
    </x:row>
    <x:row r="39">
      <x:c r="A39" s="461" t="str">
        <x:v>SRC9-09</x:v>
      </x:c>
      <x:c r="B39" s="461" t="str">
        <x:v>Vallejo: Xpress Color system and capillary transparent behaviour</x:v>
      </x:c>
      <x:c r="C39" s="461" t="str">
        <x:v>https://acrylicosvallejo.com/en/category/hobby/xpress-color-en/</x:v>
      </x:c>
    </x:row>
  </x:sheetData>
  <x:mergeCells>
    <x:mergeCell ref="A1:F1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9" hidden="0" customWidth="1"/>
    <x:col min="3" max="3" width="27" hidden="0" customWidth="1"/>
    <x:col min="4" max="4" width="31" hidden="0" customWidth="1"/>
    <x:col min="5" max="5" width="31" hidden="0" customWidth="1"/>
    <x:col min="6" max="6" width="24" hidden="0" customWidth="1"/>
    <x:col min="7" max="7" width="52" hidden="0" customWidth="1"/>
    <x:col min="8" max="8" width="35" hidden="0" customWidth="1"/>
    <x:col min="9" max="9" width="51" hidden="0" customWidth="1"/>
    <x:col min="10" max="10" width="18" hidden="0" customWidth="1"/>
  </x:cols>
  <x:sheetData>
    <x:row r="1" ht="38" customHeight="1">
      <x:c r="A1" s="479" t="str">
        <x:v>NMM и отражения: построение металла без металлических красок</x:v>
      </x:c>
      <x:c r="B1" s="479"/>
      <x:c r="C1" s="479"/>
      <x:c r="D1" s="479"/>
      <x:c r="E1" s="479"/>
      <x:c r="F1" s="479"/>
      <x:c r="G1" s="479"/>
      <x:c r="H1" s="479"/>
      <x:c r="I1" s="479"/>
      <x:c r="J1" s="479"/>
    </x:row>
    <x:row r="2" ht="40" customHeight="1">
      <x:c r="A2" s="482" t="str">
        <x:v>NMM строится не плавностью ради плавности, а резким контрастом значений. Сначала определить положение белых отражений и самых тёмных зон, затем соединять их промежуточными цветами.</x:v>
      </x:c>
      <x:c r="B2" s="482"/>
      <x:c r="C2" s="482"/>
      <x:c r="D2" s="482"/>
      <x:c r="E2" s="482"/>
      <x:c r="F2" s="482"/>
      <x:c r="G2" s="482"/>
      <x:c r="H2" s="482"/>
      <x:c r="I2" s="482"/>
      <x:c r="J2" s="482"/>
    </x:row>
    <x:row r="4" ht="44" customHeight="1">
      <x:c r="A4" s="487" t="str">
        <x:v>Материал</x:v>
      </x:c>
      <x:c r="B4" s="487" t="str">
        <x:v>Самая тёмная зона</x:v>
      </x:c>
      <x:c r="C4" s="487" t="str">
        <x:v>Тень</x:v>
      </x:c>
      <x:c r="D4" s="487" t="str">
        <x:v>Средний тон</x:v>
      </x:c>
      <x:c r="E4" s="487" t="str">
        <x:v>Свет</x:v>
      </x:c>
      <x:c r="F4" s="487" t="str">
        <x:v>Максимум</x:v>
      </x:c>
      <x:c r="G4" s="487" t="str">
        <x:v>Расположение отражения</x:v>
      </x:c>
      <x:c r="H4" s="487" t="str">
        <x:v>Цвет среды</x:v>
      </x:c>
      <x:c r="I4" s="487" t="str">
        <x:v>Главная ошибка</x:v>
      </x:c>
      <x:c r="J4" s="487" t="str">
        <x:v>Рецепт</x:v>
      </x:c>
    </x:row>
    <x:row r="5">
      <x:c r="A5" s="89" t="str">
        <x:v>Холодное серебро</x:v>
      </x:c>
      <x:c r="B5" s="89" t="str">
        <x:v>AK Black</x:v>
      </x:c>
      <x:c r="C5" s="89" t="str">
        <x:v>German Grey</x:v>
      </x:c>
      <x:c r="D5" s="89" t="str">
        <x:v>Medium Grey</x:v>
      </x:c>
      <x:c r="E5" s="89" t="str">
        <x:v>Sea/White Grey</x:v>
      </x:c>
      <x:c r="F5" s="89" t="str">
        <x:v>White</x:v>
      </x:c>
      <x:c r="G5" s="89" t="str">
        <x:v>Узкая линия напротив широкой тёмной зоны</x:v>
      </x:c>
      <x:c r="H5" s="89" t="str">
        <x:v>Blue Ink в тенях</x:v>
      </x:c>
      <x:c r="I5" s="89" t="str">
        <x:v>Слишком равномерный серый градиент</x:v>
      </x:c>
      <x:c r="J5" s="89" t="str">
        <x:v>281</x:v>
      </x:c>
    </x:row>
    <x:row r="6">
      <x:c r="A6" s="89" t="str">
        <x:v>Сине-стальная поверхность</x:v>
      </x:c>
      <x:c r="B6" s="89" t="str">
        <x:v>Dark Prussian Blue</x:v>
      </x:c>
      <x:c r="C6" s="89" t="str">
        <x:v>The Fang</x:v>
      </x:c>
      <x:c r="D6" s="89" t="str">
        <x:v>Sea Grey</x:v>
      </x:c>
      <x:c r="E6" s="89" t="str">
        <x:v>Fenrisian/White Grey</x:v>
      </x:c>
      <x:c r="F6" s="89" t="str">
        <x:v>White</x:v>
      </x:c>
      <x:c r="G6" s="89" t="str">
        <x:v>Холодные полосы по форме</x:v>
      </x:c>
      <x:c r="H6" s="89" t="str">
        <x:v>Blue Ink</x:v>
      </x:c>
      <x:c r="I6" s="89" t="str">
        <x:v>Вся деталь становится синей</x:v>
      </x:c>
      <x:c r="J6" s="89" t="str">
        <x:v>282</x:v>
      </x:c>
    </x:row>
    <x:row r="7">
      <x:c r="A7" s="89" t="str">
        <x:v>Тёплая сталь</x:v>
      </x:c>
      <x:c r="B7" s="89" t="str">
        <x:v>Black + Deep Brown</x:v>
      </x:c>
      <x:c r="C7" s="89" t="str">
        <x:v>German Grey</x:v>
      </x:c>
      <x:c r="D7" s="89" t="str">
        <x:v>Stormvermin</x:v>
      </x:c>
      <x:c r="E7" s="89" t="str">
        <x:v>Medium/White Grey</x:v>
      </x:c>
      <x:c r="F7" s="89" t="str">
        <x:v>White</x:v>
      </x:c>
      <x:c r="G7" s="89" t="str">
        <x:v>Тёплые средние тона, чистый белый максимум</x:v>
      </x:c>
      <x:c r="H7" s="89" t="str">
        <x:v>Burnt Umber/Payne Grey</x:v>
      </x:c>
      <x:c r="I7" s="89" t="str">
        <x:v>Коричневый камень вместо металла</x:v>
      </x:c>
      <x:c r="J7" s="89" t="str">
        <x:v>283</x:v>
      </x:c>
    </x:row>
    <x:row r="8">
      <x:c r="A8" s="89" t="str">
        <x:v>Яркое золото</x:v>
      </x:c>
      <x:c r="B8" s="89" t="str">
        <x:v>Deep Brown</x:v>
      </x:c>
      <x:c r="C8" s="89" t="str">
        <x:v>Orange Brown</x:v>
      </x:c>
      <x:c r="D8" s="89" t="str">
        <x:v>Zamesi Desert</x:v>
      </x:c>
      <x:c r="E8" s="89" t="str">
        <x:v>AK Yellow/Pale Sand</x:v>
      </x:c>
      <x:c r="F8" s="89" t="str">
        <x:v>White</x:v>
      </x:c>
      <x:c r="G8" s="89" t="str">
        <x:v>Белые отражения меньше жёлтых</x:v>
      </x:c>
      <x:c r="H8" s="89" t="str">
        <x:v>Sepia glaze</x:v>
      </x:c>
      <x:c r="I8" s="89" t="str">
        <x:v>Равномерная жёлтая поверхность</x:v>
      </x:c>
      <x:c r="J8" s="89" t="str">
        <x:v>284</x:v>
      </x:c>
    </x:row>
    <x:row r="9">
      <x:c r="A9" s="89" t="str">
        <x:v>Старое золото</x:v>
      </x:c>
      <x:c r="B9" s="89" t="str">
        <x:v>Rhinox Hide</x:v>
      </x:c>
      <x:c r="C9" s="89" t="str">
        <x:v>Gorthor Brown</x:v>
      </x:c>
      <x:c r="D9" s="89" t="str">
        <x:v>Zamesi/Baneblade</x:v>
      </x:c>
      <x:c r="E9" s="89" t="str">
        <x:v>Pale Sand</x:v>
      </x:c>
      <x:c r="F9" s="89" t="str">
        <x:v>White точечно</x:v>
      </x:c>
      <x:c r="G9" s="89" t="str">
        <x:v>Более размытые и грязные отражения</x:v>
      </x:c>
      <x:c r="H9" s="89" t="str">
        <x:v>Agrax glaze</x:v>
      </x:c>
      <x:c r="I9" s="89" t="str">
        <x:v>Слишком яркое лимонное золото</x:v>
      </x:c>
      <x:c r="J9" s="89" t="str">
        <x:v>285</x:v>
      </x:c>
    </x:row>
    <x:row r="10">
      <x:c r="A10" s="89" t="str">
        <x:v>Бронза</x:v>
      </x:c>
      <x:c r="B10" s="89" t="str">
        <x:v>Deep Brown</x:v>
      </x:c>
      <x:c r="C10" s="89" t="str">
        <x:v>Rhinox Hide</x:v>
      </x:c>
      <x:c r="D10" s="89" t="str">
        <x:v>Gorthor/Baneblade</x:v>
      </x:c>
      <x:c r="E10" s="89" t="str">
        <x:v>Karak Stone</x:v>
      </x:c>
      <x:c r="F10" s="89" t="str">
        <x:v>Pale Sand</x:v>
      </x:c>
      <x:c r="G10" s="89" t="str">
        <x:v>Света бежевые, не жёлтые</x:v>
      </x:c>
      <x:c r="H10" s="89" t="str">
        <x:v>Sepia glaze</x:v>
      </x:c>
      <x:c r="I10" s="89" t="str">
        <x:v>Сделать бронзу золотой</x:v>
      </x:c>
      <x:c r="J10" s="89" t="str">
        <x:v>286</x:v>
      </x:c>
    </x:row>
    <x:row r="11">
      <x:c r="A11" s="89" t="str">
        <x:v>Медь</x:v>
      </x:c>
      <x:c r="B11" s="89" t="str">
        <x:v>Gal Vorbak + Deep Brown</x:v>
      </x:c>
      <x:c r="C11" s="89" t="str">
        <x:v>Deep Brown</x:v>
      </x:c>
      <x:c r="D11" s="89" t="str">
        <x:v>Orange Brown</x:v>
      </x:c>
      <x:c r="E11" s="89" t="str">
        <x:v>Fire Dragon/Pale Sand</x:v>
      </x:c>
      <x:c r="F11" s="89" t="str">
        <x:v>White</x:v>
      </x:c>
      <x:c r="G11" s="89" t="str">
        <x:v>Красно-оранжевые отражения</x:v>
      </x:c>
      <x:c r="H11" s="89" t="str">
        <x:v>Red Ink</x:v>
      </x:c>
      <x:c r="I11" s="89" t="str">
        <x:v>Потеря красного андертона</x:v>
      </x:c>
      <x:c r="J11" s="89" t="str">
        <x:v>287</x:v>
      </x:c>
    </x:row>
    <x:row r="12">
      <x:c r="A12" s="89" t="str">
        <x:v>Чёрный металл</x:v>
      </x:c>
      <x:c r="B12" s="89" t="str">
        <x:v>AK Black</x:v>
      </x:c>
      <x:c r="C12" s="89" t="str">
        <x:v>Corvus Black</x:v>
      </x:c>
      <x:c r="D12" s="89" t="str">
        <x:v>Eshin Grey</x:v>
      </x:c>
      <x:c r="E12" s="89" t="str">
        <x:v>Fenrisian/White Grey</x:v>
      </x:c>
      <x:c r="F12" s="89" t="str">
        <x:v>White точечно</x:v>
      </x:c>
      <x:c r="G12" s="89" t="str">
        <x:v>Очень малые резкие блики</x:v>
      </x:c>
      <x:c r="H12" s="89" t="str">
        <x:v>Black Lotus glaze</x:v>
      </x:c>
      <x:c r="I12" s="89" t="str">
        <x:v>Слишком большая серая площадь</x:v>
      </x:c>
      <x:c r="J12" s="89" t="str">
        <x:v>288</x:v>
      </x:c>
    </x:row>
    <x:row r="13">
      <x:c r="A13" s="89" t="str">
        <x:v>SENMM-клинок</x:v>
      </x:c>
      <x:c r="B13" s="89" t="str">
        <x:v>AK Black</x:v>
      </x:c>
      <x:c r="C13" s="89" t="str">
        <x:v>Dark Prussian / Gorthor</x:v>
      </x:c>
      <x:c r="D13" s="89" t="str">
        <x:v>Lothern / Pale Sand</x:v>
      </x:c>
      <x:c r="E13" s="89" t="str">
        <x:v>White Grey</x:v>
      </x:c>
      <x:c r="F13" s="89" t="str">
        <x:v>White horizon</x:v>
      </x:c>
      <x:c r="G13" s="89" t="str">
        <x:v>Небо сверху, земля снизу</x:v>
      </x:c>
      <x:c r="H13" s="89" t="str">
        <x:v>Blue Ink + Burnt Umber</x:v>
      </x:c>
      <x:c r="I13" s="89" t="str">
        <x:v>Симметричный обычный градиент</x:v>
      </x:c>
      <x:c r="J13" s="89" t="str">
        <x:v>289</x:v>
      </x:c>
    </x:row>
    <x:row r="14">
      <x:c r="A14" s="89" t="str">
        <x:v>Хромированный цилиндр</x:v>
      </x:c>
      <x:c r="B14" s="89" t="str">
        <x:v>AK Black</x:v>
      </x:c>
      <x:c r="C14" s="89" t="str">
        <x:v>Dark Prussian/Gorthor</x:v>
      </x:c>
      <x:c r="D14" s="89" t="str">
        <x:v>White Grey bands</x:v>
      </x:c>
      <x:c r="E14" s="89" t="str">
        <x:v>White bands</x:v>
      </x:c>
      <x:c r="F14" s="89" t="str">
        <x:v>White points</x:v>
      </x:c>
      <x:c r="G14" s="89" t="str">
        <x:v>Полосы огибают объём</x:v>
      </x:c>
      <x:c r="H14" s="89" t="str">
        <x:v>Blue/Brown glaze</x:v>
      </x:c>
      <x:c r="I14" s="89" t="str">
        <x:v>Плоские вертикальные полосы</x:v>
      </x:c>
      <x:c r="J14" s="89" t="str">
        <x:v>290</x:v>
      </x:c>
    </x:row>
    <x:row r="15">
      <x:c r="A15" s="89" t="str">
        <x:v>NMM + OSL</x:v>
      </x:c>
      <x:c r="B15" s="89" t="str">
        <x:v>Готовая NMM-тень</x:v>
      </x:c>
      <x:c r="C15" s="89" t="str">
        <x:v>Существующие средние тона</x:v>
      </x:c>
      <x:c r="D15" s="89" t="str">
        <x:v>Цвет источника glaze</x:v>
      </x:c>
      <x:c r="E15" s="89" t="str">
        <x:v>Сохранённый White Grey</x:v>
      </x:c>
      <x:c r="F15" s="89" t="str">
        <x:v>White</x:v>
      </x:c>
      <x:c r="G15" s="89" t="str">
        <x:v>Цвет меняется только со стороны источника</x:v>
      </x:c>
      <x:c r="H15" s="89" t="str">
        <x:v>Frostheart/Warp Lightning</x:v>
      </x:c>
      <x:c r="I15" s="89" t="str">
        <x:v>OSL уничтожает значения NMM</x:v>
      </x:c>
      <x:c r="J15" s="89" t="str">
        <x:v>299–300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ed6242bbc544d19"/>
  </x:tableParts>
</x:worksheet>
</file>

<file path=xl/worksheets/sheet36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9" hidden="0" customWidth="1"/>
    <x:col min="3" max="3" width="32" hidden="0" customWidth="1"/>
    <x:col min="4" max="4" width="35" hidden="0" customWidth="1"/>
    <x:col min="5" max="5" width="39" hidden="0" customWidth="1"/>
    <x:col min="6" max="6" width="32" hidden="0" customWidth="1"/>
    <x:col min="7" max="7" width="21" hidden="0" customWidth="1"/>
    <x:col min="8" max="8" width="52" hidden="0" customWidth="1"/>
    <x:col min="9" max="9" width="18" hidden="0" customWidth="1"/>
  </x:cols>
  <x:sheetData>
    <x:row r="1" ht="38" customHeight="1">
      <x:c r="A1" s="479" t="str">
        <x:v>Прозрачность, камни, кристаллы и мембраны</x:v>
      </x:c>
      <x:c r="B1" s="479"/>
      <x:c r="C1" s="479"/>
      <x:c r="D1" s="479"/>
      <x:c r="E1" s="479"/>
      <x:c r="F1" s="479"/>
      <x:c r="G1" s="479"/>
      <x:c r="H1" s="479"/>
      <x:c r="I1" s="479"/>
    </x:row>
    <x:row r="2" ht="38" customHeight="1">
      <x:c r="A2" s="482" t="str">
        <x:v>Для прозрачных объектов светлая зона часто находится внутри формы или в центре мембраны, а насыщенный цвет — на внешней кромке, жилках и тёмных гранях.</x:v>
      </x:c>
      <x:c r="B2" s="482"/>
      <x:c r="C2" s="482"/>
      <x:c r="D2" s="482"/>
      <x:c r="E2" s="482"/>
      <x:c r="F2" s="482"/>
      <x:c r="G2" s="482"/>
      <x:c r="H2" s="482"/>
      <x:c r="I2" s="482"/>
    </x:row>
    <x:row r="4" ht="44" customHeight="1">
      <x:c r="A4" s="487" t="str">
        <x:v>Объект</x:v>
      </x:c>
      <x:c r="B4" s="487" t="str">
        <x:v>Подложка</x:v>
      </x:c>
      <x:c r="C4" s="487" t="str">
        <x:v>Тёмная зона</x:v>
      </x:c>
      <x:c r="D4" s="487" t="str">
        <x:v>Средний цвет</x:v>
      </x:c>
      <x:c r="E4" s="487" t="str">
        <x:v>Внутренний свет</x:v>
      </x:c>
      <x:c r="F4" s="487" t="str">
        <x:v>Белый блик</x:v>
      </x:c>
      <x:c r="G4" s="487" t="str">
        <x:v>Финиш</x:v>
      </x:c>
      <x:c r="H4" s="487" t="str">
        <x:v>Главный риск</x:v>
      </x:c>
      <x:c r="I4" s="487" t="str">
        <x:v>Рецепт</x:v>
      </x:c>
    </x:row>
    <x:row r="5">
      <x:c r="A5" s="89" t="str">
        <x:v>Soulstone sapphire</x:v>
      </x:c>
      <x:c r="B5" s="89" t="str">
        <x:v>Runefang Steel</x:v>
      </x:c>
      <x:c r="C5" s="89" t="str">
        <x:v>Nuln Oil сверху</x:v>
      </x:c>
      <x:c r="D5" s="89" t="str">
        <x:v>Soulstone Blue</x:v>
      </x:c>
      <x:c r="E5" s="89" t="str">
        <x:v>Lothern → Baharroth снизу</x:v>
      </x:c>
      <x:c r="F5" s="89" t="str">
        <x:v>Точка напротив светлой дуги</x:v>
      </x:c>
      <x:c r="G5" s="89" t="str">
        <x:v>Gloss</x:v>
      </x:c>
      <x:c r="H5" s="89" t="str">
        <x:v>Закрасить металлическое внутреннее отражение</x:v>
      </x:c>
      <x:c r="I5" s="89" t="str">
        <x:v>276</x:v>
      </x:c>
    </x:row>
    <x:row r="6">
      <x:c r="A6" s="89" t="str">
        <x:v>Spiritstone ruby</x:v>
      </x:c>
      <x:c r="B6" s="89" t="str">
        <x:v>Runefang Steel</x:v>
      </x:c>
      <x:c r="C6" s="89" t="str">
        <x:v>Nuln Oil сверху</x:v>
      </x:c>
      <x:c r="D6" s="89" t="str">
        <x:v>Spiritstone Red</x:v>
      </x:c>
      <x:c r="E6" s="89" t="str">
        <x:v>Evil Sunz → Fire Dragon</x:v>
      </x:c>
      <x:c r="F6" s="89" t="str">
        <x:v>White point</x:v>
      </x:c>
      <x:c r="G6" s="89" t="str">
        <x:v>Gloss</x:v>
      </x:c>
      <x:c r="H6" s="89" t="str">
        <x:v>Сделать обычную красную линзу</x:v>
      </x:c>
      <x:c r="I6" s="89" t="str">
        <x:v>277</x:v>
      </x:c>
    </x:row>
    <x:row r="7">
      <x:c r="A7" s="89" t="str">
        <x:v>Waystone emerald</x:v>
      </x:c>
      <x:c r="B7" s="89" t="str">
        <x:v>Runefang Steel</x:v>
      </x:c>
      <x:c r="C7" s="89" t="str">
        <x:v>Nuln Oil сверху</x:v>
      </x:c>
      <x:c r="D7" s="89" t="str">
        <x:v>Waystone Green</x:v>
      </x:c>
      <x:c r="E7" s="89" t="str">
        <x:v>Moot + White</x:v>
      </x:c>
      <x:c r="F7" s="89" t="str">
        <x:v>White point</x:v>
      </x:c>
      <x:c r="G7" s="89" t="str">
        <x:v>Gloss</x:v>
      </x:c>
      <x:c r="H7" s="89" t="str">
        <x:v>Сплошной зелёный без светлой дуги</x:v>
      </x:c>
      <x:c r="I7" s="89" t="str">
        <x:v>278</x:v>
      </x:c>
    </x:row>
    <x:row r="8">
      <x:c r="A8" s="89" t="str">
        <x:v>Голубая мембрана</x:v>
      </x:c>
      <x:c r="B8" s="89" t="str">
        <x:v>White Grey</x:v>
      </x:c>
      <x:c r="C8" s="89" t="str">
        <x:v>Frostheart на краях</x:v>
      </x:c>
      <x:c r="D8" s="89" t="str">
        <x:v>Baharroth по жилкам</x:v>
      </x:c>
      <x:c r="E8" s="89" t="str">
        <x:v>White Grey в центре</x:v>
      </x:c>
      <x:c r="F8" s="89" t="str">
        <x:v>White по верхним жилкам</x:v>
      </x:c>
      <x:c r="G8" s="89" t="str">
        <x:v>Satin</x:v>
      </x:c>
      <x:c r="H8" s="89" t="str">
        <x:v>Одинаковая насыщенность всей мембраны</x:v>
      </x:c>
      <x:c r="I8" s="89" t="str">
        <x:v>294</x:v>
      </x:c>
    </x:row>
    <x:row r="9">
      <x:c r="A9" s="89" t="str">
        <x:v>Розово-фиолетовая мембрана</x:v>
      </x:c>
      <x:c r="B9" s="89" t="str">
        <x:v>White Grey</x:v>
      </x:c>
      <x:c r="C9" s="89" t="str">
        <x:v>Magos Purple по краю</x:v>
      </x:c>
      <x:c r="D9" s="89" t="str">
        <x:v>Dreadful Visage</x:v>
      </x:c>
      <x:c r="E9" s="89" t="str">
        <x:v>White Grey центр</x:v>
      </x:c>
      <x:c r="F9" s="89" t="str">
        <x:v>White points</x:v>
      </x:c>
      <x:c r="G9" s="89" t="str">
        <x:v>Satin</x:v>
      </x:c>
      <x:c r="H9" s="89" t="str">
        <x:v>Слишком тёмная непрозрачная кромка</x:v>
      </x:c>
      <x:c r="I9" s="89" t="str">
        <x:v>295</x:v>
      </x:c>
    </x:row>
    <x:row r="10">
      <x:c r="A10" s="89" t="str">
        <x:v>Перламутр</x:v>
      </x:c>
      <x:c r="B10" s="89" t="str">
        <x:v>White Grey</x:v>
      </x:c>
      <x:c r="C10" s="89" t="str">
        <x:v>Dreadful Visage</x:v>
      </x:c>
      <x:c r="D10" s="89" t="str">
        <x:v>Frostheart и Volupus на разных сторонах</x:v>
      </x:c>
      <x:c r="E10" s="89" t="str">
        <x:v>White</x:v>
      </x:c>
      <x:c r="F10" s="89" t="str">
        <x:v>White points</x:v>
      </x:c>
      <x:c r="G10" s="89" t="str">
        <x:v>Satin/Gloss</x:v>
      </x:c>
      <x:c r="H10" s="89" t="str">
        <x:v>Цветные полосы слишком насыщены</x:v>
      </x:c>
      <x:c r="I10" s="89" t="str">
        <x:v>296</x:v>
      </x:c>
    </x:row>
    <x:row r="11">
      <x:c r="A11" s="89" t="str">
        <x:v>Янтарь</x:v>
      </x:c>
      <x:c r="B11" s="89" t="str">
        <x:v>Black/Deep Brown edge</x:v>
      </x:c>
      <x:c r="C11" s="89" t="str">
        <x:v>Deep Brown</x:v>
      </x:c>
      <x:c r="D11" s="89" t="str">
        <x:v>Orange Brown → Iyanden</x:v>
      </x:c>
      <x:c r="E11" s="89" t="str">
        <x:v>Yellow/Pale Sand внутри</x:v>
      </x:c>
      <x:c r="F11" s="89" t="str">
        <x:v>White internal point</x:v>
      </x:c>
      <x:c r="G11" s="89" t="str">
        <x:v>Gloss</x:v>
      </x:c>
      <x:c r="H11" s="89" t="str">
        <x:v>Свет только по внешней кромке</x:v>
      </x:c>
      <x:c r="I11" s="89" t="str">
        <x:v>297</x:v>
      </x:c>
    </x:row>
    <x:row r="12">
      <x:c r="A12" s="89" t="str">
        <x:v>Аметист</x:v>
      </x:c>
      <x:c r="B12" s="89" t="str">
        <x:v>Shyish edge</x:v>
      </x:c>
      <x:c r="C12" s="89" t="str">
        <x:v>Phoenician Purple</x:v>
      </x:c>
      <x:c r="D12" s="89" t="str">
        <x:v>Genestealer/Fulgrim</x:v>
      </x:c>
      <x:c r="E12" s="89" t="str">
        <x:v>White Grey внутри</x:v>
      </x:c>
      <x:c r="F12" s="89" t="str">
        <x:v>White point</x:v>
      </x:c>
      <x:c r="G12" s="89" t="str">
        <x:v>Gloss</x:v>
      </x:c>
      <x:c r="H12" s="89" t="str">
        <x:v>Непрозрачный фиолетовый камень</x:v>
      </x:c>
      <x:c r="I12" s="89" t="str">
        <x:v>298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b1b484c3d6b4d53"/>
  </x:tableParts>
</x:worksheet>
</file>

<file path=xl/worksheets/sheet37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34" hidden="0" customWidth="1"/>
    <x:col min="3" max="3" width="38" hidden="0" customWidth="1"/>
    <x:col min="4" max="4" width="20" hidden="0" customWidth="1"/>
    <x:col min="5" max="5" width="32" hidden="0" customWidth="1"/>
    <x:col min="6" max="6" width="44" hidden="0" customWidth="1"/>
    <x:col min="7" max="7" width="27" hidden="0" customWidth="1"/>
    <x:col min="8" max="8" width="45" hidden="0" customWidth="1"/>
    <x:col min="9" max="9" width="17" hidden="0" customWidth="1"/>
  </x:cols>
  <x:sheetData>
    <x:row r="1" ht="38" customHeight="1">
      <x:c r="A1" s="479" t="str">
        <x:v>Crackle и фактурные базы: выбор материала по рельефу</x:v>
      </x:c>
      <x:c r="B1" s="479"/>
      <x:c r="C1" s="479"/>
      <x:c r="D1" s="479"/>
      <x:c r="E1" s="479"/>
      <x:c r="F1" s="479"/>
      <x:c r="G1" s="479"/>
      <x:c r="H1" s="479"/>
      <x:c r="I1" s="479"/>
    </x:row>
    <x:row r="2" ht="38" customHeight="1">
      <x:c r="A2" s="482" t="str">
        <x:v>Agrellan Earth — более гладкая растрескавшаяся земля; Agrellan Badland — более зернистая и каменистая; Mordant Earth — чёрная корка над ярким подслоем.</x:v>
      </x:c>
      <x:c r="B2" s="482"/>
      <x:c r="C2" s="482"/>
      <x:c r="D2" s="482"/>
      <x:c r="E2" s="482"/>
      <x:c r="F2" s="482"/>
      <x:c r="G2" s="482"/>
      <x:c r="H2" s="482"/>
      <x:c r="I2" s="482"/>
    </x:row>
    <x:row r="4" ht="44" customHeight="1">
      <x:c r="A4" s="487" t="str">
        <x:v>Материал</x:v>
      </x:c>
      <x:c r="B4" s="487" t="str">
        <x:v>Характер рельефа</x:v>
      </x:c>
      <x:c r="C4" s="487" t="str">
        <x:v>Подложка</x:v>
      </x:c>
      <x:c r="D4" s="487" t="str">
        <x:v>Толщина</x:v>
      </x:c>
      <x:c r="E4" s="487" t="str">
        <x:v>Тень</x:v>
      </x:c>
      <x:c r="F4" s="487" t="str">
        <x:v>Drybrush</x:v>
      </x:c>
      <x:c r="G4" s="487" t="str">
        <x:v>Финиш</x:v>
      </x:c>
      <x:c r="H4" s="487" t="str">
        <x:v>Лучшее применение</x:v>
      </x:c>
      <x:c r="I4" s="487" t="str">
        <x:v>Рецепт</x:v>
      </x:c>
    </x:row>
    <x:row r="5">
      <x:c r="A5" s="89" t="str">
        <x:v>Agrellan Earth</x:v>
      </x:c>
      <x:c r="B5" s="89" t="str">
        <x:v>Гладкие крупные трещины</x:v>
      </x:c>
      <x:c r="C5" s="89" t="str">
        <x:v>Deep Brown/Black</x:v>
      </x:c>
      <x:c r="D5" s="89" t="str">
        <x:v>Средне-толстая</x:v>
      </x:c>
      <x:c r="E5" s="89" t="str">
        <x:v>Agrax в трещины</x:v>
      </x:c>
      <x:c r="F5" s="89" t="str">
        <x:v>Zamesi → Karak → Pale Sand</x:v>
      </x:c>
      <x:c r="G5" s="89" t="str">
        <x:v>Matt</x:v>
      </x:c>
      <x:c r="H5" s="89" t="str">
        <x:v>Высохшая глина и ровная пустыня</x:v>
      </x:c>
      <x:c r="I5" s="89" t="str">
        <x:v>279</x:v>
      </x:c>
    </x:row>
    <x:row r="6">
      <x:c r="A6" s="89" t="str">
        <x:v>Agrellan Badland</x:v>
      </x:c>
      <x:c r="B6" s="89" t="str">
        <x:v>Зерно + crackle</x:v>
      </x:c>
      <x:c r="C6" s="89" t="str">
        <x:v>Deep Brown/Black</x:v>
      </x:c>
      <x:c r="D6" s="89" t="str">
        <x:v>Достаточно толстая</x:v>
      </x:c>
      <x:c r="E6" s="89" t="str">
        <x:v>Agrax</x:v>
      </x:c>
      <x:c r="F6" s="89" t="str">
        <x:v>Dark Sand → Zamesi → Pale Sand</x:v>
      </x:c>
      <x:c r="G6" s="89" t="str">
        <x:v>Matt</x:v>
      </x:c>
      <x:c r="H6" s="89" t="str">
        <x:v>Каменистая пустошь и грубая земля</x:v>
      </x:c>
      <x:c r="I6" s="89" t="str">
        <x:v>280</x:v>
      </x:c>
    </x:row>
    <x:row r="7">
      <x:c r="A7" s="89" t="str">
        <x:v>Mordant Earth — лава</x:v>
      </x:c>
      <x:c r="B7" s="89" t="str">
        <x:v>Чёрная корка</x:v>
      </x:c>
      <x:c r="C7" s="89" t="str">
        <x:v>Magmadroth/Fluorescent/White</x:v>
      </x:c>
      <x:c r="D7" s="89" t="str">
        <x:v>Толстая</x:v>
      </x:c>
      <x:c r="E7" s="89" t="str">
        <x:v>Не нужна</x:v>
      </x:c>
      <x:c r="F7" s="89" t="str">
        <x:v>Не drybrush яркие трещины</x:v>
      </x:c>
      <x:c r="G7" s="89" t="str">
        <x:v>Matt + Gloss cracks</x:v>
      </x:c>
      <x:c r="H7" s="89" t="str">
        <x:v>Вулканика</x:v>
      </x:c>
      <x:c r="I7" s="89" t="str">
        <x:v>266</x:v>
      </x:c>
    </x:row>
    <x:row r="8">
      <x:c r="A8" s="89" t="str">
        <x:v>Mordant Earth — токсин</x:v>
      </x:c>
      <x:c r="B8" s="89" t="str">
        <x:v>Чёрная корка</x:v>
      </x:c>
      <x:c r="C8" s="89" t="str">
        <x:v>Warp Lightning/Striking/White</x:v>
      </x:c>
      <x:c r="D8" s="89" t="str">
        <x:v>Толстая</x:v>
      </x:c>
      <x:c r="E8" s="89" t="str">
        <x:v>Не нужна</x:v>
      </x:c>
      <x:c r="F8" s="89" t="str">
        <x:v>Минимальный grey по корке при желании</x:v>
      </x:c>
      <x:c r="G8" s="89" t="str">
        <x:v>Matt + Gloss cracks</x:v>
      </x:c>
      <x:c r="H8" s="89" t="str">
        <x:v>Ядовитый разлом</x:v>
      </x:c>
      <x:c r="I8" s="89" t="str">
        <x:v>267</x:v>
      </x:c>
    </x:row>
    <x:row r="9">
      <x:c r="A9" s="89" t="str">
        <x:v>Crackle Medium — лёд</x:v>
      </x:c>
      <x:c r="B9" s="89" t="str">
        <x:v>Белая растрескавшаяся корка</x:v>
      </x:c>
      <x:c r="C9" s="89" t="str">
        <x:v>Dark Prussian Blue</x:v>
      </x:c>
      <x:c r="D9" s="89" t="str">
        <x:v>Обильная</x:v>
      </x:c>
      <x:c r="E9" s="89" t="str">
        <x:v>Frostheart/Blue Ink в трещины</x:v>
      </x:c>
      <x:c r="F9" s="89" t="str">
        <x:v>White по корке</x:v>
      </x:c>
      <x:c r="G9" s="89" t="str">
        <x:v>Matt + Gloss cracks</x:v>
      </x:c>
      <x:c r="H9" s="89" t="str">
        <x:v>Замёрзшая земля</x:v>
      </x:c>
      <x:c r="I9" s="89" t="str">
        <x:v>240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2245c6bd91284333"/>
  </x:tableParts>
</x:worksheet>
</file>

<file path=xl/worksheets/sheet3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6" hidden="0" customWidth="1"/>
    <x:col min="3" max="3" width="18" hidden="0" customWidth="1"/>
    <x:col min="4" max="4" width="58" hidden="0" customWidth="1"/>
    <x:col min="5" max="5" width="78" hidden="0" customWidth="1"/>
    <x:col min="6" max="6" width="92" hidden="0" customWidth="1"/>
  </x:cols>
  <x:sheetData>
    <x:row r="1" ht="38" customHeight="1">
      <x:c r="A1" s="479" t="str">
        <x:v>Десятый проход: NMM, прозрачность и редкие Technical</x:v>
      </x:c>
      <x:c r="B1" s="479"/>
      <x:c r="C1" s="479"/>
      <x:c r="D1" s="479"/>
      <x:c r="E1" s="479"/>
      <x:c r="F1" s="479"/>
    </x:row>
    <x:row r="3">
      <x:c r="A3" s="484" t="str">
        <x:v>Показатель</x:v>
      </x:c>
      <x:c r="B3" s="484" t="str">
        <x:v>Результат</x:v>
      </x:c>
    </x:row>
    <x:row r="4">
      <x:c r="A4" s="490" t="str">
        <x:v>Рецептов до прохода</x:v>
      </x:c>
      <x:c r="B4" s="491" t="n">
        <x:v>270</x:v>
      </x:c>
    </x:row>
    <x:row r="5">
      <x:c r="A5" s="490" t="str">
        <x:v>Новых рецептов</x:v>
      </x:c>
      <x:c r="B5" s="491" t="n">
        <x:v>30</x:v>
      </x:c>
    </x:row>
    <x:row r="6">
      <x:c r="A6" s="490" t="str">
        <x:v>Рецептов после прохода</x:v>
      </x:c>
      <x:c r="B6" s="491" t="n">
        <x:v>300</x:v>
      </x:c>
    </x:row>
    <x:row r="7">
      <x:c r="A7" s="490" t="str">
        <x:v>Новых NMM/SENMM схем</x:v>
      </x:c>
      <x:c r="B7" s="491" t="n">
        <x:v>12</x:v>
      </x:c>
    </x:row>
    <x:row r="8">
      <x:c r="A8" s="490" t="str">
        <x:v>Новых прозрачных материалов и камней</x:v>
      </x:c>
      <x:c r="B8" s="491" t="n">
        <x:v>8</x:v>
      </x:c>
    </x:row>
    <x:row r="9">
      <x:c r="A9" s="490" t="str">
        <x:v>Новых тканевых материалов</x:v>
      </x:c>
      <x:c r="B9" s="491" t="n">
        <x:v>3</x:v>
      </x:c>
    </x:row>
    <x:row r="10">
      <x:c r="A10" s="490" t="str">
        <x:v>Новых crackle/base схем</x:v>
      </x:c>
      <x:c r="B10" s="491" t="n">
        <x:v>2</x:v>
      </x:c>
    </x:row>
    <x:row r="11">
      <x:c r="A11" s="490" t="str">
        <x:v>Раскрыты редко используемые Shade/Contrast/Technical</x:v>
      </x:c>
      <x:c r="B11" s="491" t="n">
        <x:v>9</x:v>
      </x:c>
    </x:row>
    <x:row r="12">
      <x:c r="A12" s="490" t="str">
        <x:v>Добавлены справочники</x:v>
      </x:c>
      <x:c r="B12" s="491" t="n">
        <x:v>3</x:v>
      </x:c>
    </x:row>
    <x:row r="13">
      <x:c r="A13" s="490" t="str">
        <x:v>Ключевой принцип</x:v>
      </x:c>
      <x:c r="B13" s="490" t="str">
        <x:v>Металл определяется картой крайних значений, а прозрачность — светлым внутренним объёмом</x:v>
      </x:c>
    </x:row>
    <x:row r="16">
      <x:c r="A16" s="487" t="str">
        <x:v>ID</x:v>
      </x:c>
      <x:c r="B16" s="487" t="str">
        <x:v>Область</x:v>
      </x:c>
      <x:c r="C16" s="487" t="str">
        <x:v>Статус</x:v>
      </x:c>
      <x:c r="D16" s="487" t="str">
        <x:v>Что обнаружено</x:v>
      </x:c>
      <x:c r="E16" s="487" t="str">
        <x:v>Действие</x:v>
      </x:c>
      <x:c r="F16" s="487" t="str">
        <x:v>Основание</x:v>
      </x:c>
    </x:row>
    <x:row r="17">
      <x:c r="A17" s="89" t="str">
        <x:v>AUD10-01</x:v>
      </x:c>
      <x:c r="B17" s="89" t="str">
        <x:v>Skeleton Horde и Snakebite</x:v>
      </x:c>
      <x:c r="C17" s="89" t="str">
        <x:v>Расширено</x:v>
      </x:c>
      <x:c r="D17" s="89" t="str">
        <x:v>Оба Contrast использовались редко и не имели собственных детальных цепочек.</x:v>
      </x:c>
      <x:c r="E17" s="89" t="str">
        <x:v>Добавлены старая кость и светлая кожа в двух насыщенностях.</x:v>
      </x:c>
      <x:c r="F17" s="89" t="str">
        <x:v>Warhammer использует Skeleton Horde по Wraithbone для быстрых костяных/органических схем и Snakebite Leather как универсальный светлый leather.</x:v>
      </x:c>
    </x:row>
    <x:row r="18">
      <x:c r="A18" s="89" t="str">
        <x:v>AUD10-02</x:v>
      </x:c>
      <x:c r="B18" s="89" t="str">
        <x:v>Berserker Bloodshade</x:v>
      </x:c>
      <x:c r="C18" s="89" t="str">
        <x:v>Добавлено</x:v>
      </x:c>
      <x:c r="D18" s="89" t="str">
        <x:v>Shade фигурировал только в отдельных эффектах.</x:v>
      </x:c>
      <x:c r="E18" s="89" t="str">
        <x:v>Добавлена полноценная истерзанная демоническая кожа с повторной тенью и светлой сухой кистью.</x:v>
      </x:c>
      <x:c r="F18" s="89" t="str">
        <x:v>Warhammer рекомендует Berserker Bloodshade для Chaos Daemons, tormented flesh и scars.</x:v>
      </x:c>
    </x:row>
    <x:row r="19">
      <x:c r="A19" s="89" t="str">
        <x:v>AUD10-03</x:v>
      </x:c>
      <x:c r="B19" s="89" t="str">
        <x:v>Magos Purple</x:v>
      </x:c>
      <x:c r="C19" s="89" t="str">
        <x:v>Добавлено</x:v>
      </x:c>
      <x:c r="D19" s="89" t="str">
        <x:v>Краска не имела собственной органической схемы.</x:v>
      </x:c>
      <x:c r="E19" s="89" t="str">
        <x:v>Добавлено фиолетовое брюхо змеи по светлой коже.</x:v>
      </x:c>
      <x:c r="F19" s="89" t="str">
        <x:v>Официальные community examples используют Magos Purple как прозрачную базу snake bellies и Tyranid skin.</x:v>
      </x:c>
    </x:row>
    <x:row r="20">
      <x:c r="A20" s="89" t="str">
        <x:v>AUD10-04</x:v>
      </x:c>
      <x:c r="B20" s="89" t="str">
        <x:v>Technical gemstones</x:v>
      </x:c>
      <x:c r="C20" s="89" t="str">
        <x:v>Систематизировано</x:v>
      </x:c>
      <x:c r="D20" s="89" t="str">
        <x:v>Soulstone Blue и Spiritstone Red использовались лишь эпизодически.</x:v>
      </x:c>
      <x:c r="E20" s="89" t="str">
        <x:v>Создан единый workflow для Soulstone, Spiritstone и Waystone по Runefang Steel.</x:v>
      </x:c>
      <x:c r="F20" s="89" t="str">
        <x:v>Металлическая подложка и локальный Gloss сохраняют внутреннее отражение Technical.</x:v>
      </x:c>
    </x:row>
    <x:row r="21">
      <x:c r="A21" s="89" t="str">
        <x:v>AUD10-05</x:v>
      </x:c>
      <x:c r="B21" s="89" t="str">
        <x:v>NMM</x:v>
      </x:c>
      <x:c r="C21" s="89" t="str">
        <x:v>Добавлено</x:v>
      </x:c>
      <x:c r="D21" s="89" t="str">
        <x:v>Матрица была сильна по настоящим металликам, но почти не содержала NMM.</x:v>
      </x:c>
      <x:c r="E21" s="89" t="str">
        <x:v>Добавлены серебро, синяя и тёплая сталь, золото, старое золото, бронза, медь, black metal, SENMM и NMM+OSL.</x:v>
      </x:c>
      <x:c r="F21" s="89" t="str">
        <x:v>Официальные AK NMM sets используют ограниченные группы значений, комбинируемые для серебра и золота.</x:v>
      </x:c>
    </x:row>
    <x:row r="22">
      <x:c r="A22" s="89" t="str">
        <x:v>AUD10-06</x:v>
      </x:c>
      <x:c r="B22" s="89" t="str">
        <x:v>Прозрачность</x:v>
      </x:c>
      <x:c r="C22" s="89" t="str">
        <x:v>Добавлено</x:v>
      </x:c>
      <x:c r="D22" s="89" t="str">
        <x:v>Камни были представлены лучше мембран и крупных кристаллов.</x:v>
      </x:c>
      <x:c r="E22" s="89" t="str">
        <x:v>Добавлены два крыла, перламутр, янтарь и аметист с внутренним светом.</x:v>
      </x:c>
      <x:c r="F22" s="89" t="str">
        <x:v>Светлый центр и насыщенная внешняя кромка отделяют прозрачный объект от непрозрачной ткани или камня.</x:v>
      </x:c>
    </x:row>
    <x:row r="23">
      <x:c r="A23" s="89" t="str">
        <x:v>AUD10-07</x:v>
      </x:c>
      <x:c r="B23" s="89" t="str">
        <x:v>Agrellan</x:v>
      </x:c>
      <x:c r="C23" s="89" t="str">
        <x:v>Уточнено</x:v>
      </x:c>
      <x:c r="D23" s="89" t="str">
        <x:v>Agrellan Earth и Badland применялись мало и почти одинаково.</x:v>
      </x:c>
      <x:c r="E23" s="89" t="str">
        <x:v>Earth назначена гладкой crackle-глине, Badland — грубой каменистой земле.</x:v>
      </x:c>
      <x:c r="F23" s="89" t="str">
        <x:v>Официальные материалы и примеры используют обе Texture для разных типов сухой основы.</x:v>
      </x:c>
    </x:row>
    <x:row r="24">
      <x:c r="A24" s="89" t="str">
        <x:v>AUD10-08</x:v>
      </x:c>
      <x:c r="B24" s="89" t="str">
        <x:v>Материальные ткани</x:v>
      </x:c>
      <x:c r="C24" s="89" t="str">
        <x:v>Расширено</x:v>
      </x:c>
      <x:c r="D24" s="89" t="str">
        <x:v>Матовая ткань была описана подробно, но шёлк и бархат — ограниченно.</x:v>
      </x:c>
      <x:c r="E24" s="89" t="str">
        <x:v>Добавлены красный и белый шёлк и самостоятельный чёрный бархат.</x:v>
      </x:c>
      <x:c r="F24" s="89" t="str">
        <x:v>Различие создаётся шириной отражения и Satin/ Matt, а не только цветом.</x:v>
      </x:c>
    </x:row>
    <x:row r="30">
      <x:c r="A30" s="493" t="str">
        <x:v>ID</x:v>
      </x:c>
      <x:c r="B30" s="493" t="str">
        <x:v>Источник / идея</x:v>
      </x:c>
      <x:c r="C30" s="493" t="str">
        <x:v>URL</x:v>
      </x:c>
    </x:row>
    <x:row r="31">
      <x:c r="A31" s="490" t="str">
        <x:v>SRC10-01</x:v>
      </x:c>
      <x:c r="B31" s="490" t="str">
        <x:v>AK: NMM Silver set</x:v>
      </x:c>
      <x:c r="C31" s="490" t="str">
        <x:v>https://ak-interactive.com/product/wargame-color-set-non-metallic-metal-silver-with-brush/</x:v>
      </x:c>
    </x:row>
    <x:row r="32">
      <x:c r="A32" s="490" t="str">
        <x:v>SRC10-02</x:v>
      </x:c>
      <x:c r="B32" s="490" t="str">
        <x:v>AK: NMM Gold set</x:v>
      </x:c>
      <x:c r="C32" s="490" t="str">
        <x:v>https://ak-interactive.com/product/wargame-color-set-non-metallic-metal-gold-with-brush/</x:v>
      </x:c>
    </x:row>
    <x:row r="33">
      <x:c r="A33" s="490" t="str">
        <x:v>SRC10-03</x:v>
      </x:c>
      <x:c r="B33" s="490" t="str">
        <x:v>Warhammer: Skeleton Horde, Snakebite Leather and other Contrast uses</x:v>
      </x:c>
      <x:c r="C33" s="490" t="str">
        <x:v>https://www.warhammer-community.com/en-gb/articles/6TzlWiUU/warhammer-community-paints-kill-team-salvation/</x:v>
      </x:c>
    </x:row>
    <x:row r="34">
      <x:c r="A34" s="490" t="str">
        <x:v>SRC10-04</x:v>
      </x:c>
      <x:c r="B34" s="490" t="str">
        <x:v>Warhammer: Berserker Bloodshade for daemon flesh and scars</x:v>
      </x:c>
      <x:c r="C34" s="490" t="str">
        <x:v>https://www.warhammer-community.com/en-gb/articles/kW3ytOxF/top-tips-for-using-the-seven-all-new-shade-paints/</x:v>
      </x:c>
    </x:row>
    <x:row r="35">
      <x:c r="A35" s="490" t="str">
        <x:v>SRC10-05</x:v>
      </x:c>
      <x:c r="B35" s="490" t="str">
        <x:v>Warhammer: Magos Purple for snake bellies and Berserker Bloodshade over pale areas</x:v>
      </x:c>
      <x:c r="C35" s="490" t="str">
        <x:v>https://www.warhammer-community.com/en-gb/articles/MH61HrH6/ready-for-spearhead-check-out-some-of-the-best-forces-from-around-the-community/</x:v>
      </x:c>
    </x:row>
    <x:row r="36">
      <x:c r="A36" s="490" t="str">
        <x:v>SRC10-06</x:v>
      </x:c>
      <x:c r="B36" s="490" t="str">
        <x:v>Warhammer: Magos Purple skin and Skeleton Horde Tyranid body</x:v>
      </x:c>
      <x:c r="C36" s="490" t="str">
        <x:v>https://www.warhammer-community.com/en-gb/articles/0AHSdhFY/batch-paint-your-favourite-tyranids-with-painting-guides-for-five-notorious-hive-fleets/</x:v>
      </x:c>
    </x:row>
    <x:row r="37">
      <x:c r="A37" s="490" t="str">
        <x:v>SRC10-07</x:v>
      </x:c>
      <x:c r="B37" s="490" t="str">
        <x:v>Warhammer: Snakebite Leather + Contrast Medium leather workflow</x:v>
      </x:c>
      <x:c r="C37" s="490" t="str">
        <x:v>https://www.warhammer-community.com/en-gb/articles/2u7ftZJe/kruleboyz-and-contrast-are-a-match-made-in-swampy-heaven-thanks-to-this-painting-guide/</x:v>
      </x:c>
    </x:row>
    <x:row r="38">
      <x:c r="A38" s="490" t="str">
        <x:v>SRC10-08</x:v>
      </x:c>
      <x:c r="B38" s="490" t="str">
        <x:v>Warhammer: Agrellan Earth and Agrellan Badland in basing</x:v>
      </x:c>
      <x:c r="C38" s="490" t="str">
        <x:v>https://www.warhammer-community.com/en-gb/articles/iFB5ySXb/classic-warhammer-art-comes-to-life-in-these-john-blanche-inspired-conversions/</x:v>
      </x:c>
    </x:row>
  </x:sheetData>
  <x:mergeCells>
    <x:mergeCell ref="A1:F1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9" hidden="0" customWidth="1"/>
    <x:col min="3" max="3" width="38" hidden="0" customWidth="1"/>
    <x:col min="4" max="4" width="38" hidden="0" customWidth="1"/>
    <x:col min="5" max="5" width="29" hidden="0" customWidth="1"/>
    <x:col min="6" max="6" width="25" hidden="0" customWidth="1"/>
    <x:col min="7" max="7" width="42" hidden="0" customWidth="1"/>
    <x:col min="8" max="8" width="52" hidden="0" customWidth="1"/>
    <x:col min="9" max="9" width="18" hidden="0" customWidth="1"/>
  </x:cols>
  <x:sheetData>
    <x:row r="1" ht="38" customHeight="1">
      <x:c r="A1" s="501" t="str">
        <x:v>Кровь и живая плоть: направление, возраст и финиш</x:v>
      </x:c>
      <x:c r="B1" s="501"/>
      <x:c r="C1" s="501"/>
      <x:c r="D1" s="501"/>
      <x:c r="E1" s="501"/>
      <x:c r="F1" s="501"/>
      <x:c r="G1" s="501"/>
      <x:c r="H1" s="501"/>
      <x:c r="I1" s="501"/>
    </x:row>
    <x:row r="2" ht="40" customHeight="1">
      <x:c r="A2" s="504" t="str">
        <x:v>Кровь различается не только яркостью. Свежая кровь темнее и глянцевее в массе, подсохшая — коричневее и матовее, а брызги всегда имеют источник, направление и уменьшающийся размер капель.</x:v>
      </x:c>
      <x:c r="B2" s="504"/>
      <x:c r="C2" s="504"/>
      <x:c r="D2" s="504"/>
      <x:c r="E2" s="504"/>
      <x:c r="F2" s="504"/>
      <x:c r="G2" s="504"/>
      <x:c r="H2" s="504"/>
      <x:c r="I2" s="504"/>
    </x:row>
    <x:row r="4" ht="44" customHeight="1">
      <x:c r="A4" s="509" t="str">
        <x:v>Эффект</x:v>
      </x:c>
      <x:c r="B4" s="509" t="str">
        <x:v>Базовый цвет</x:v>
      </x:c>
      <x:c r="C4" s="509" t="str">
        <x:v>Старая/глубокая зона</x:v>
      </x:c>
      <x:c r="D4" s="509" t="str">
        <x:v>Свежая зона</x:v>
      </x:c>
      <x:c r="E4" s="509" t="str">
        <x:v>Белый блик</x:v>
      </x:c>
      <x:c r="F4" s="509" t="str">
        <x:v>Финиш</x:v>
      </x:c>
      <x:c r="G4" s="509" t="str">
        <x:v>Направление</x:v>
      </x:c>
      <x:c r="H4" s="509" t="str">
        <x:v>Главная ошибка</x:v>
      </x:c>
      <x:c r="I4" s="509" t="str">
        <x:v>Рецепт</x:v>
      </x:c>
    </x:row>
    <x:row r="5">
      <x:c r="A5" s="89" t="str">
        <x:v>Свежие брызги</x:v>
      </x:c>
      <x:c r="B5" s="89" t="str">
        <x:v>Gory Red</x:v>
      </x:c>
      <x:c r="C5" s="89" t="str">
        <x:v>AK Deep Brown редко</x:v>
      </x:c>
      <x:c r="D5" s="89" t="str">
        <x:v>AK Blood Red + Blood for the Blood God</x:v>
      </x:c>
      <x:c r="E5" s="89" t="str">
        <x:v>Только в крупных каплях</x:v>
      </x:c>
      <x:c r="F5" s="89" t="str">
        <x:v>Gloss локально</x:v>
      </x:c>
      <x:c r="G5" s="89" t="str">
        <x:v>От источника, капли мельчают</x:v>
      </x:c>
      <x:c r="H5" s="89" t="str">
        <x:v>Равномерное конфетти по всей модели</x:v>
      </x:c>
      <x:c r="I5" s="89" t="str">
        <x:v>301</x:v>
      </x:c>
    </x:row>
    <x:row r="6">
      <x:c r="A6" s="89" t="str">
        <x:v>Артериальный спрей</x:v>
      </x:c>
      <x:c r="B6" s="89" t="str">
        <x:v>Gory Red дугой</x:v>
      </x:c>
      <x:c r="C6" s="89" t="str">
        <x:v>Carroburg по краю отдельных капель</x:v>
      </x:c>
      <x:c r="D6" s="89" t="str">
        <x:v>Blood for the Blood God</x:v>
      </x:c>
      <x:c r="E6" s="89" t="str">
        <x:v>Обычно нет</x:v>
      </x:c>
      <x:c r="F6" s="89" t="str">
        <x:v>Gloss локально</x:v>
      </x:c>
      <x:c r="G6" s="89" t="str">
        <x:v>Одна основная дуга</x:v>
      </x:c>
      <x:c r="H6" s="89" t="str">
        <x:v>Нет источника или направления</x:v>
      </x:c>
      <x:c r="I6" s="89" t="str">
        <x:v>302</x:v>
      </x:c>
    </x:row>
    <x:row r="7">
      <x:c r="A7" s="89" t="str">
        <x:v>Подсохшая кровь на ткани</x:v>
      </x:c>
      <x:c r="B7" s="89" t="str">
        <x:v>Deep Brown</x:v>
      </x:c>
      <x:c r="C7" s="89" t="str">
        <x:v>Burnt Umber по краю</x:v>
      </x:c>
      <x:c r="D7" s="89" t="str">
        <x:v>Gory/AK Blood Red минимально</x:v>
      </x:c>
      <x:c r="E7" s="89" t="str">
        <x:v>Нет</x:v>
      </x:c>
      <x:c r="F7" s="89" t="str">
        <x:v>Matt</x:v>
      </x:c>
      <x:c r="G7" s="89" t="str">
        <x:v>Впитывается по волокнам</x:v>
      </x:c>
      <x:c r="H7" s="89" t="str">
        <x:v>Полный глянцевый Technical</x:v>
      </x:c>
      <x:c r="I7" s="89" t="str">
        <x:v>303</x:v>
      </x:c>
    </x:row>
    <x:row r="8">
      <x:c r="A8" s="89" t="str">
        <x:v>Кровь на оружии</x:v>
      </x:c>
      <x:c r="B8" s="89" t="str">
        <x:v>Gory Red</x:v>
      </x:c>
      <x:c r="C8" s="89" t="str">
        <x:v>Deep Brown в старых местах</x:v>
      </x:c>
      <x:c r="D8" s="89" t="str">
        <x:v>AK Blood Red + BftBG</x:v>
      </x:c>
      <x:c r="E8" s="89" t="str">
        <x:v>Нет</x:v>
      </x:c>
      <x:c r="F8" s="89" t="str">
        <x:v>Metal + локальный Gloss</x:v>
      </x:c>
      <x:c r="G8" s="89" t="str">
        <x:v>По направлению удара</x:v>
      </x:c>
      <x:c r="H8" s="89" t="str">
        <x:v>Закрыть кровью весь клинок</x:v>
      </x:c>
      <x:c r="I8" s="89" t="str">
        <x:v>304</x:v>
      </x:c>
    </x:row>
    <x:row r="9">
      <x:c r="A9" s="89" t="str">
        <x:v>Кровь на снегу</x:v>
      </x:c>
      <x:c r="B9" s="89" t="str">
        <x:v>Carroburg stain</x:v>
      </x:c>
      <x:c r="C9" s="89" t="str">
        <x:v>Agrax Gloss у грязи</x:v>
      </x:c>
      <x:c r="D9" s="89" t="str">
        <x:v>Gory → AK Blood → BftBG</x:v>
      </x:c>
      <x:c r="E9" s="89" t="str">
        <x:v>White на чистом снеге</x:v>
      </x:c>
      <x:c r="F9" s="89" t="str">
        <x:v>Matt + Gloss</x:v>
      </x:c>
      <x:c r="G9" s="89" t="str">
        <x:v>Растекается в снег</x:v>
      </x:c>
      <x:c r="H9" s="89" t="str">
        <x:v>Чистая красная лужа без розового края</x:v>
      </x:c>
      <x:c r="I9" s="89" t="str">
        <x:v>305</x:v>
      </x:c>
    </x:row>
    <x:row r="10">
      <x:c r="A10" s="89" t="str">
        <x:v>Кровавая лужа</x:v>
      </x:c>
      <x:c r="B10" s="89" t="str">
        <x:v>Carroburg край</x:v>
      </x:c>
      <x:c r="C10" s="89" t="str">
        <x:v>Deep Brown центр</x:v>
      </x:c>
      <x:c r="D10" s="89" t="str">
        <x:v>AK Blood + BftBG</x:v>
      </x:c>
      <x:c r="E10" s="89" t="str">
        <x:v>Микроточки</x:v>
      </x:c>
      <x:c r="F10" s="89" t="str">
        <x:v>Gloss</x:v>
      </x:c>
      <x:c r="G10" s="89" t="str">
        <x:v>Гравитация и впадины</x:v>
      </x:c>
      <x:c r="H10" s="89" t="str">
        <x:v>Слишком большая равномерная лужа</x:v>
      </x:c>
      <x:c r="I10" s="89" t="str">
        <x:v>306</x:v>
      </x:c>
    </x:row>
    <x:row r="11">
      <x:c r="A11" s="89" t="str">
        <x:v>Свежая содранная кожа</x:v>
      </x:c>
      <x:c r="B11" s="89" t="str">
        <x:v>Rakarth + Sickly Pink</x:v>
      </x:c>
      <x:c r="C11" s="89" t="str">
        <x:v>Reikland/Carroburg</x:v>
      </x:c>
      <x:c r="D11" s="89" t="str">
        <x:v>Blood локально</x:v>
      </x:c>
      <x:c r="E11" s="89" t="str">
        <x:v>White glints</x:v>
      </x:c>
      <x:c r="F11" s="89" t="str">
        <x:v>Matt + локальный Gloss</x:v>
      </x:c>
      <x:c r="G11" s="89" t="str">
        <x:v>По швам и разрывам</x:v>
      </x:c>
      <x:c r="H11" s="89" t="str">
        <x:v>Весь плащ одинаково мокрый</x:v>
      </x:c>
      <x:c r="I11" s="89" t="str">
        <x:v>307</x:v>
      </x:c>
    </x:row>
    <x:row r="12">
      <x:c r="A12" s="89" t="str">
        <x:v>Старая кожа</x:v>
      </x:c>
      <x:c r="B12" s="89" t="str">
        <x:v>Rakarth</x:v>
      </x:c>
      <x:c r="C12" s="89" t="str">
        <x:v>Targor/Dreadful</x:v>
      </x:c>
      <x:c r="D12" s="89" t="str">
        <x:v>Почти отсутствует</x:v>
      </x:c>
      <x:c r="E12" s="89" t="str">
        <x:v>White Grey точечно</x:v>
      </x:c>
      <x:c r="F12" s="89" t="str">
        <x:v>Matt</x:v>
      </x:c>
      <x:c r="G12" s="89" t="str">
        <x:v>Холодные пятна и швы</x:v>
      </x:c>
      <x:c r="H12" s="89" t="str">
        <x:v>Выглядит обычной бежевой тканью</x:v>
      </x:c>
      <x:c r="I12" s="89" t="str">
        <x:v>308</x:v>
      </x:c>
    </x:row>
    <x:row r="13">
      <x:c r="A13" s="89" t="str">
        <x:v>Лоскутный плащ</x:v>
      </x:c>
      <x:c r="B13" s="89" t="str">
        <x:v>Несколько skin bases</x:v>
      </x:c>
      <x:c r="C13" s="89" t="str">
        <x:v>Разные Shades</x:v>
      </x:c>
      <x:c r="D13" s="89" t="str">
        <x:v>Blood только на свежих швах</x:v>
      </x:c>
      <x:c r="E13" s="89" t="str">
        <x:v>Общий свет</x:v>
      </x:c>
      <x:c r="F13" s="89" t="str">
        <x:v>Matt + локальный Gloss</x:v>
      </x:c>
      <x:c r="G13" s="89" t="str">
        <x:v>Единый свет поверх разных лоскутов</x:v>
      </x:c>
      <x:c r="H13" s="89" t="str">
        <x:v>Каждый лоскут выглядит отдельной миниатюрой</x:v>
      </x:c>
      <x:c r="I13" s="89" t="str">
        <x:v>309</x:v>
      </x:c>
    </x:row>
    <x:row r="14">
      <x:c r="A14" s="89" t="str">
        <x:v>Обнажённая мышца</x:v>
      </x:c>
      <x:c r="B14" s="89" t="str">
        <x:v>Gory Red</x:v>
      </x:c>
      <x:c r="C14" s="89" t="str">
        <x:v>Berserker Bloodshade</x:v>
      </x:c>
      <x:c r="D14" s="89" t="str">
        <x:v>Blood только в разрывах</x:v>
      </x:c>
      <x:c r="E14" s="89" t="str">
        <x:v>Pale Flesh fibres</x:v>
      </x:c>
      <x:c r="F14" s="89" t="str">
        <x:v>Matt + локальный Gloss</x:v>
      </x:c>
      <x:c r="G14" s="89" t="str">
        <x:v>Волокна по анатомии</x:v>
      </x:c>
      <x:c r="H14" s="89" t="str">
        <x:v>Равномерная красная штриховка</x:v>
      </x:c>
      <x:c r="I14" s="89" t="str">
        <x:v>310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b11893e6e734cec"/>
  </x:tableParts>
</x:worksheet>
</file>

<file path=xl/worksheets/sheet40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9" hidden="0" customWidth="1"/>
    <x:col min="3" max="3" width="34" hidden="0" customWidth="1"/>
    <x:col min="4" max="4" width="34" hidden="0" customWidth="1"/>
    <x:col min="5" max="5" width="34" hidden="0" customWidth="1"/>
    <x:col min="6" max="6" width="25" hidden="0" customWidth="1"/>
    <x:col min="7" max="7" width="36" hidden="0" customWidth="1"/>
    <x:col min="8" max="8" width="38" hidden="0" customWidth="1"/>
    <x:col min="9" max="9" width="55" hidden="0" customWidth="1"/>
    <x:col min="10" max="10" width="18" hidden="0" customWidth="1"/>
  </x:cols>
  <x:sheetData>
    <x:row r="1" ht="38" customHeight="1">
      <x:c r="A1" s="501" t="str">
        <x:v>Масляные техники: три краски, три физические роли</x:v>
      </x:c>
      <x:c r="B1" s="501"/>
      <x:c r="C1" s="501"/>
      <x:c r="D1" s="501"/>
      <x:c r="E1" s="501"/>
      <x:c r="F1" s="501"/>
      <x:c r="G1" s="501"/>
      <x:c r="H1" s="501"/>
      <x:c r="I1" s="501"/>
      <x:c r="J1" s="501"/>
    </x:row>
    <x:row r="2" ht="44" customHeight="1">
      <x:c r="A2" s="504" t="str">
        <x:v>Умбра жжёная отвечает за тёплую землю и грязь, Серая Пейна — за холодные тени, Сажа газовая — за самые глубокие щели и копоть. Масло наносится только по полностью отверждённому Satin/Gloss и закрывается лаком после полного высыхания.</x:v>
      </x:c>
      <x:c r="B2" s="504"/>
      <x:c r="C2" s="504"/>
      <x:c r="D2" s="504"/>
      <x:c r="E2" s="504"/>
      <x:c r="F2" s="504"/>
      <x:c r="G2" s="504"/>
      <x:c r="H2" s="504"/>
      <x:c r="I2" s="504"/>
      <x:c r="J2" s="504"/>
    </x:row>
    <x:row r="4" ht="44" customHeight="1">
      <x:c r="A4" s="509" t="str">
        <x:v>Техника</x:v>
      </x:c>
      <x:c r="B4" s="509" t="str">
        <x:v>Лак до масла</x:v>
      </x:c>
      <x:c r="C4" s="509" t="str">
        <x:v>Умбра жжёная</x:v>
      </x:c>
      <x:c r="D4" s="509" t="str">
        <x:v>Серая Пейна</x:v>
      </x:c>
      <x:c r="E4" s="509" t="str">
        <x:v>Сажа газовая</x:v>
      </x:c>
      <x:c r="F4" s="509" t="str">
        <x:v>Разбавление</x:v>
      </x:c>
      <x:c r="G4" s="509" t="str">
        <x:v>Снятие</x:v>
      </x:c>
      <x:c r="H4" s="509" t="str">
        <x:v>После высыхания</x:v>
      </x:c>
      <x:c r="I4" s="509" t="str">
        <x:v>Главный риск</x:v>
      </x:c>
      <x:c r="J4" s="509" t="str">
        <x:v>Рецепт</x:v>
      </x:c>
    </x:row>
    <x:row r="5">
      <x:c r="A5" s="89" t="str">
        <x:v>Тёплый pin-wash</x:v>
      </x:c>
      <x:c r="B5" s="89" t="str">
        <x:v>Gloss</x:v>
      </x:c>
      <x:c r="C5" s="89" t="str">
        <x:v>Основной цвет</x:v>
      </x:c>
      <x:c r="D5" s="89" t="str">
        <x:v>Не используется</x:v>
      </x:c>
      <x:c r="E5" s="89" t="str">
        <x:v>Редко</x:v>
      </x:c>
      <x:c r="F5" s="89" t="str">
        <x:v>Очень жидко</x:v>
      </x:c>
      <x:c r="G5" s="89" t="str">
        <x:v>Снять с кромок</x:v>
      </x:c>
      <x:c r="H5" s="89" t="str">
        <x:v>Акриловый edge</x:v>
      </x:c>
      <x:c r="I5" s="89" t="str">
        <x:v>Окрасить всю панель</x:v>
      </x:c>
      <x:c r="J5" s="89" t="str">
        <x:v>311</x:v>
      </x:c>
    </x:row>
    <x:row r="6">
      <x:c r="A6" s="89" t="str">
        <x:v>Холодный pin-wash</x:v>
      </x:c>
      <x:c r="B6" s="89" t="str">
        <x:v>Gloss</x:v>
      </x:c>
      <x:c r="C6" s="89" t="str">
        <x:v>Не используется</x:v>
      </x:c>
      <x:c r="D6" s="89" t="str">
        <x:v>Основной цвет</x:v>
      </x:c>
      <x:c r="E6" s="89" t="str">
        <x:v>Редко</x:v>
      </x:c>
      <x:c r="F6" s="89" t="str">
        <x:v>Очень жидко</x:v>
      </x:c>
      <x:c r="G6" s="89" t="str">
        <x:v>Снять с света</x:v>
      </x:c>
      <x:c r="H6" s="89" t="str">
        <x:v>White/metal edge</x:v>
      </x:c>
      <x:c r="I6" s="89" t="str">
        <x:v>Сделать тёплую броню серой</x:v>
      </x:c>
      <x:c r="J6" s="89" t="str">
        <x:v>312</x:v>
      </x:c>
    </x:row>
    <x:row r="7">
      <x:c r="A7" s="89" t="str">
        <x:v>Чёрный pin-wash</x:v>
      </x:c>
      <x:c r="B7" s="89" t="str">
        <x:v>Gloss</x:v>
      </x:c>
      <x:c r="C7" s="89" t="str">
        <x:v>Нет</x:v>
      </x:c>
      <x:c r="D7" s="89" t="str">
        <x:v>Нет</x:v>
      </x:c>
      <x:c r="E7" s="89" t="str">
        <x:v>Только глубочайшие щели</x:v>
      </x:c>
      <x:c r="F7" s="89" t="str">
        <x:v>Максимально жидко</x:v>
      </x:c>
      <x:c r="G7" s="89" t="str">
        <x:v>Обязательно снять избыток</x:v>
      </x:c>
      <x:c r="H7" s="89" t="str">
        <x:v>Вернуть Base</x:v>
      </x:c>
      <x:c r="I7" s="89" t="str">
        <x:v>Графическая чёрная обводка всего</x:v>
      </x:c>
      <x:c r="J7" s="89" t="str">
        <x:v>313</x:v>
      </x:c>
    </x:row>
    <x:row r="8">
      <x:c r="A8" s="89" t="str">
        <x:v>Карта большой панели</x:v>
      </x:c>
      <x:c r="B8" s="89" t="str">
        <x:v>Satin</x:v>
      </x:c>
      <x:c r="C8" s="89" t="str">
        <x:v>Нижняя тёплая зона</x:v>
      </x:c>
      <x:c r="D8" s="89" t="str">
        <x:v>Холодная сторона</x:v>
      </x:c>
      <x:c r="E8" s="89" t="str">
        <x:v>Выхлоп/щели</x:v>
      </x:c>
      <x:c r="F8" s="89" t="str">
        <x:v>Точки, почти без луж</x:v>
      </x:c>
      <x:c r="G8" s="89" t="str">
        <x:v>Раздельной кистью</x:v>
      </x:c>
      <x:c r="H8" s="89" t="str">
        <x:v>Edge + локальный weathering</x:v>
      </x:c>
      <x:c r="I8" s="89" t="str">
        <x:v>Смешать всё в один серо-коричневый слой</x:v>
      </x:c>
      <x:c r="J8" s="89" t="str">
        <x:v>314</x:v>
      </x:c>
    </x:row>
    <x:row r="9">
      <x:c r="A9" s="89" t="str">
        <x:v>Смягчение градиента</x:v>
      </x:c>
      <x:c r="B9" s="89" t="str">
        <x:v>Satin</x:v>
      </x:c>
      <x:c r="C9" s="89" t="str">
        <x:v>Тёплая тень</x:v>
      </x:c>
      <x:c r="D9" s="89" t="str">
        <x:v>Холодный переход</x:v>
      </x:c>
      <x:c r="E9" s="89" t="str">
        <x:v>Не используется</x:v>
      </x:c>
      <x:c r="F9" s="89" t="str">
        <x:v>Малые точки</x:v>
      </x:c>
      <x:c r="G9" s="89" t="str">
        <x:v>Мягкая сухая кисть</x:v>
      </x:c>
      <x:c r="H9" s="89" t="str">
        <x:v>Вернуть max highlight</x:v>
      </x:c>
      <x:c r="I9" s="89" t="str">
        <x:v>Закрыть всю аэрографную работу маслом</x:v>
      </x:c>
      <x:c r="J9" s="89" t="str">
        <x:v>315</x:v>
      </x:c>
    </x:row>
    <x:row r="10">
      <x:c r="A10" s="89" t="str">
        <x:v>Вертикальные streaks</x:v>
      </x:c>
      <x:c r="B10" s="89" t="str">
        <x:v>Satin/Gloss</x:v>
      </x:c>
      <x:c r="C10" s="89" t="str">
        <x:v>Основная грязь</x:v>
      </x:c>
      <x:c r="D10" s="89" t="str">
        <x:v>Холодные streaks</x:v>
      </x:c>
      <x:c r="E10" s="89" t="str">
        <x:v>Только выхлоп</x:v>
      </x:c>
      <x:c r="F10" s="89" t="str">
        <x:v>Средне-жидко</x:v>
      </x:c>
      <x:c r="G10" s="89" t="str">
        <x:v>Кистью вниз</x:v>
      </x:c>
      <x:c r="H10" s="89" t="str">
        <x:v>Усилить начало</x:v>
      </x:c>
      <x:c r="I10" s="89" t="str">
        <x:v>Одинаковая линия по всей длине</x:v>
      </x:c>
      <x:c r="J10" s="89" t="str">
        <x:v>316</x:v>
      </x:c>
    </x:row>
    <x:row r="11">
      <x:c r="A11" s="89" t="str">
        <x:v>Грязь у заклёпок</x:v>
      </x:c>
      <x:c r="B11" s="89" t="str">
        <x:v>Satin</x:v>
      </x:c>
      <x:c r="C11" s="89" t="str">
        <x:v>Тёплые крепления</x:v>
      </x:c>
      <x:c r="D11" s="89" t="str">
        <x:v>Холодный металл</x:v>
      </x:c>
      <x:c r="E11" s="89" t="str">
        <x:v>Редко</x:v>
      </x:c>
      <x:c r="F11" s="89" t="str">
        <x:v>Точки</x:v>
      </x:c>
      <x:c r="G11" s="89" t="str">
        <x:v>Радиально</x:v>
      </x:c>
      <x:c r="H11" s="89" t="str">
        <x:v>Вернуть верх заклёпки</x:v>
      </x:c>
      <x:c r="I11" s="89" t="str">
        <x:v>Обработать все заклёпки одинаково</x:v>
      </x:c>
      <x:c r="J11" s="89" t="str">
        <x:v>317</x:v>
      </x:c>
    </x:row>
    <x:row r="12">
      <x:c r="A12" s="89" t="str">
        <x:v>Копоть</x:v>
      </x:c>
      <x:c r="B12" s="89" t="str">
        <x:v>Satin</x:v>
      </x:c>
      <x:c r="C12" s="89" t="str">
        <x:v>Не используется</x:v>
      </x:c>
      <x:c r="D12" s="89" t="str">
        <x:v>Внешний мягкий край</x:v>
      </x:c>
      <x:c r="E12" s="89" t="str">
        <x:v>Центр</x:v>
      </x:c>
      <x:c r="F12" s="89" t="str">
        <x:v>Почти сухое масло</x:v>
      </x:c>
      <x:c r="G12" s="89" t="str">
        <x:v>Растянуть по потоку</x:v>
      </x:c>
      <x:c r="H12" s="89" t="str">
        <x:v>Silver edge</x:v>
      </x:c>
      <x:c r="I12" s="89" t="str">
        <x:v>Чёрный круг без направления</x:v>
      </x:c>
      <x:c r="J12" s="89" t="str">
        <x:v>318</x:v>
      </x:c>
    </x:row>
    <x:row r="13">
      <x:c r="A13" s="89" t="str">
        <x:v>Большая органика</x:v>
      </x:c>
      <x:c r="B13" s="89" t="str">
        <x:v>Satin</x:v>
      </x:c>
      <x:c r="C13" s="89" t="str">
        <x:v>Тёплые складки</x:v>
      </x:c>
      <x:c r="D13" s="89" t="str">
        <x:v>Холодная сторона</x:v>
      </x:c>
      <x:c r="E13" s="89" t="str">
        <x:v>Не используется</x:v>
      </x:c>
      <x:c r="F13" s="89" t="str">
        <x:v>Малые точки</x:v>
      </x:c>
      <x:c r="G13" s="89" t="str">
        <x:v>Снять с мышц</x:v>
      </x:c>
      <x:c r="H13" s="89" t="str">
        <x:v>Skin highlights</x:v>
      </x:c>
      <x:c r="I13" s="89" t="str">
        <x:v>Использовать на слишком мелком лице</x:v>
      </x:c>
      <x:c r="J13" s="89" t="str">
        <x:v>319</x:v>
      </x:c>
    </x:row>
    <x:row r="14">
      <x:c r="A14" s="89" t="str">
        <x:v>Интеграция с базой</x:v>
      </x:c>
      <x:c r="B14" s="89" t="str">
        <x:v>Satin</x:v>
      </x:c>
      <x:c r="C14" s="89" t="str">
        <x:v>Земля/ступни/низ плаща</x:v>
      </x:c>
      <x:c r="D14" s="89" t="str">
        <x:v>Камень и пепел</x:v>
      </x:c>
      <x:c r="E14" s="89" t="str">
        <x:v>Только копоть</x:v>
      </x:c>
      <x:c r="F14" s="89" t="str">
        <x:v>Тонко</x:v>
      </x:c>
      <x:c r="G14" s="89" t="str">
        <x:v>Снять выше колен</x:v>
      </x:c>
      <x:c r="H14" s="89" t="str">
        <x:v>Пыль/metal edge</x:v>
      </x:c>
      <x:c r="I14" s="89" t="str">
        <x:v>Грязь поднимается слишком высоко</x:v>
      </x:c>
      <x:c r="J14" s="89" t="str">
        <x:v>320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eb6bc91b4674298"/>
  </x:tableParts>
</x:worksheet>
</file>

<file path=xl/worksheets/sheet4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8" hidden="0" customWidth="1"/>
    <x:col min="3" max="3" width="34" hidden="0" customWidth="1"/>
    <x:col min="4" max="4" width="34" hidden="0" customWidth="1"/>
    <x:col min="5" max="5" width="38" hidden="0" customWidth="1"/>
    <x:col min="6" max="6" width="28" hidden="0" customWidth="1"/>
    <x:col min="7" max="7" width="35" hidden="0" customWidth="1"/>
    <x:col min="8" max="8" width="26" hidden="0" customWidth="1"/>
    <x:col min="9" max="9" width="55" hidden="0" customWidth="1"/>
    <x:col min="10" max="10" width="18" hidden="0" customWidth="1"/>
  </x:cols>
  <x:sheetData>
    <x:row r="1" ht="38" customHeight="1">
      <x:c r="A1" s="501" t="str">
        <x:v>Камуфляж и финиш: масштаб пятен, края и восстановление материала</x:v>
      </x:c>
      <x:c r="B1" s="501"/>
      <x:c r="C1" s="501"/>
      <x:c r="D1" s="501"/>
      <x:c r="E1" s="501"/>
      <x:c r="F1" s="501"/>
      <x:c r="G1" s="501"/>
      <x:c r="H1" s="501"/>
      <x:c r="I1" s="501"/>
      <x:c r="J1" s="501"/>
    </x:row>
    <x:row r="2" ht="44" customHeight="1">
      <x:c r="A2" s="504" t="str">
        <x:v>Камуфляж должен читаться на масштабе миниатюры: крупные поля ломают силуэт, средние пятна соединяют цвета, мелкие точки дают фактуру. После общего матового лака материал восстанавливается локальными Satin, Gloss и Metal Varnish.</x:v>
      </x:c>
      <x:c r="B2" s="504"/>
      <x:c r="C2" s="504"/>
      <x:c r="D2" s="504"/>
      <x:c r="E2" s="504"/>
      <x:c r="F2" s="504"/>
      <x:c r="G2" s="504"/>
      <x:c r="H2" s="504"/>
      <x:c r="I2" s="504"/>
      <x:c r="J2" s="504"/>
    </x:row>
    <x:row r="4" ht="44" customHeight="1">
      <x:c r="A4" s="509" t="str">
        <x:v>Схема</x:v>
      </x:c>
      <x:c r="B4" s="509" t="str">
        <x:v>База</x:v>
      </x:c>
      <x:c r="C4" s="509" t="str">
        <x:v>Крупные поля</x:v>
      </x:c>
      <x:c r="D4" s="509" t="str">
        <x:v>Средние поля</x:v>
      </x:c>
      <x:c r="E4" s="509" t="str">
        <x:v>Мелкая фактура</x:v>
      </x:c>
      <x:c r="F4" s="509" t="str">
        <x:v>Край</x:v>
      </x:c>
      <x:c r="G4" s="509" t="str">
        <x:v>Фильтр</x:v>
      </x:c>
      <x:c r="H4" s="509" t="str">
        <x:v>Финиш</x:v>
      </x:c>
      <x:c r="I4" s="509" t="str">
        <x:v>Главный риск</x:v>
      </x:c>
      <x:c r="J4" s="509" t="str">
        <x:v>Рецепт</x:v>
      </x:c>
    </x:row>
    <x:row r="5">
      <x:c r="A5" s="89" t="str">
        <x:v>Городской digital</x:v>
      </x:c>
      <x:c r="B5" s="89" t="str">
        <x:v>German Grey</x:v>
      </x:c>
      <x:c r="C5" s="89" t="str">
        <x:v>Medium Grey</x:v>
      </x:c>
      <x:c r="D5" s="89" t="str">
        <x:v>Sea Grey/Black</x:v>
      </x:c>
      <x:c r="E5" s="89" t="str">
        <x:v>White Grey blocks</x:v>
      </x:c>
      <x:c r="F5" s="89" t="str">
        <x:v>Жёсткий</x:v>
      </x:c>
      <x:c r="G5" s="89" t="str">
        <x:v>Basilicanum Grey</x:v>
      </x:c>
      <x:c r="H5" s="89" t="str">
        <x:v>Matt</x:v>
      </x:c>
      <x:c r="I5" s="89" t="str">
        <x:v>Ровная шахматная сетка</x:v>
      </x:c>
      <x:c r="J5" s="89" t="str">
        <x:v>321</x:v>
      </x:c>
    </x:row>
    <x:row r="6">
      <x:c r="A6" s="89" t="str">
        <x:v>Зимний whitewash</x:v>
      </x:c>
      <x:c r="B6" s="89" t="str">
        <x:v>Старая тёмная броня</x:v>
      </x:c>
      <x:c r="C6" s="89" t="str">
        <x:v>White Grey</x:v>
      </x:c>
      <x:c r="D6" s="89" t="str">
        <x:v>White</x:v>
      </x:c>
      <x:c r="E6" s="89" t="str">
        <x:v>Сколы и грязь</x:v>
      </x:c>
      <x:c r="F6" s="89" t="str">
        <x:v>Сорванный</x:v>
      </x:c>
      <x:c r="G6" s="89" t="str">
        <x:v>Agrax Gloss в грязи</x:v>
      </x:c>
      <x:c r="H6" s="89" t="str">
        <x:v>Matt + local Gloss</x:v>
      </x:c>
      <x:c r="I6" s="89" t="str">
        <x:v>Чистая новая белая броня</x:v>
      </x:c>
      <x:c r="J6" s="89" t="str">
        <x:v>322</x:v>
      </x:c>
    </x:row>
    <x:row r="7">
      <x:c r="A7" s="89" t="str">
        <x:v>Пустынный disruptive</x:v>
      </x:c>
      <x:c r="B7" s="89" t="str">
        <x:v>Dark Sand</x:v>
      </x:c>
      <x:c r="C7" s="89" t="str">
        <x:v>Death Guard</x:v>
      </x:c>
      <x:c r="D7" s="89" t="str">
        <x:v>Deep Brown</x:v>
      </x:c>
      <x:c r="E7" s="89" t="str">
        <x:v>Pale Sand light</x:v>
      </x:c>
      <x:c r="F7" s="89" t="str">
        <x:v>Жёсткий/смешанный</x:v>
      </x:c>
      <x:c r="G7" s="89" t="str">
        <x:v>Sepia</x:v>
      </x:c>
      <x:c r="H7" s="89" t="str">
        <x:v>Matt</x:v>
      </x:c>
      <x:c r="I7" s="89" t="str">
        <x:v>Четыре равноправных цвета</x:v>
      </x:c>
      <x:c r="J7" s="89" t="str">
        <x:v>323</x:v>
      </x:c>
    </x:row>
    <x:row r="8">
      <x:c r="A8" s="89" t="str">
        <x:v>Лесной пятнистый</x:v>
      </x:c>
      <x:c r="B8" s="89" t="str">
        <x:v>Death Guard</x:v>
      </x:c>
      <x:c r="C8" s="89" t="str">
        <x:v>Deep Brown</x:v>
      </x:c>
      <x:c r="D8" s="89" t="str">
        <x:v>Dark Sand</x:v>
      </x:c>
      <x:c r="E8" s="89" t="str">
        <x:v>Karak points</x:v>
      </x:c>
      <x:c r="F8" s="89" t="str">
        <x:v>Мягкий + резкие точки</x:v>
      </x:c>
      <x:c r="G8" s="89" t="str">
        <x:v>Militarum/Garaghak</x:v>
      </x:c>
      <x:c r="H8" s="89" t="str">
        <x:v>Matt</x:v>
      </x:c>
      <x:c r="I8" s="89" t="str">
        <x:v>Одинаково мягкие края</x:v>
      </x:c>
      <x:c r="J8" s="89" t="str">
        <x:v>324</x:v>
      </x:c>
    </x:row>
    <x:row r="9">
      <x:c r="A9" s="89" t="str">
        <x:v>Stealth blue-grey</x:v>
      </x:c>
      <x:c r="B9" s="89" t="str">
        <x:v>Dark Prussian</x:v>
      </x:c>
      <x:c r="C9" s="89" t="str">
        <x:v>The Fang</x:v>
      </x:c>
      <x:c r="D9" s="89" t="str">
        <x:v>Sea Grey</x:v>
      </x:c>
      <x:c r="E9" s="89" t="str">
        <x:v>White Grey редко</x:v>
      </x:c>
      <x:c r="F9" s="89" t="str">
        <x:v>Мягкий угловатый</x:v>
      </x:c>
      <x:c r="G9" s="89" t="str">
        <x:v>Mystic Blue</x:v>
      </x:c>
      <x:c r="H9" s="89" t="str">
        <x:v>Matt</x:v>
      </x:c>
      <x:c r="I9" s="89" t="str">
        <x:v>Слишком высокий контраст</x:v>
      </x:c>
      <x:c r="J9" s="89" t="str">
        <x:v>325</x:v>
      </x:c>
    </x:row>
    <x:row r="10">
      <x:c r="A10" s="89" t="str">
        <x:v>Dazzle</x:v>
      </x:c>
      <x:c r="B10" s="89" t="str">
        <x:v>White Grey</x:v>
      </x:c>
      <x:c r="C10" s="89" t="str">
        <x:v>Black</x:v>
      </x:c>
      <x:c r="D10" s="89" t="str">
        <x:v>Dark Prussian</x:v>
      </x:c>
      <x:c r="E10" s="89" t="str">
        <x:v>Нет</x:v>
      </x:c>
      <x:c r="F10" s="89" t="str">
        <x:v>Жёсткий</x:v>
      </x:c>
      <x:c r="G10" s="89" t="str">
        <x:v>Basilicanum optional</x:v>
      </x:c>
      <x:c r="H10" s="89" t="str">
        <x:v>Matt/Satin</x:v>
      </x:c>
      <x:c r="I10" s="89" t="str">
        <x:v>Полосы повторяют панели вместо ломки силуэта</x:v>
      </x:c>
      <x:c r="J10" s="89" t="str">
        <x:v>326</x:v>
      </x:c>
    </x:row>
    <x:row r="11">
      <x:c r="A11" s="89" t="str">
        <x:v>Точечный плащ</x:v>
      </x:c>
      <x:c r="B11" s="89" t="str">
        <x:v>Stormvermin</x:v>
      </x:c>
      <x:c r="C11" s="89" t="str">
        <x:v>Death Guard clusters</x:v>
      </x:c>
      <x:c r="D11" s="89" t="str">
        <x:v>Dark Sand clusters</x:v>
      </x:c>
      <x:c r="E11" s="89" t="str">
        <x:v>Deep Brown/Pale Sand points</x:v>
      </x:c>
      <x:c r="F11" s="89" t="str">
        <x:v>Stipple</x:v>
      </x:c>
      <x:c r="G11" s="89" t="str">
        <x:v>Garaghak lower glaze</x:v>
      </x:c>
      <x:c r="H11" s="89" t="str">
        <x:v>Matt</x:v>
      </x:c>
      <x:c r="I11" s="89" t="str">
        <x:v>Одиночное конфетти</x:v>
      </x:c>
      <x:c r="J11" s="89" t="str">
        <x:v>327</x:v>
      </x:c>
    </x:row>
    <x:row r="12">
      <x:c r="A12" s="89" t="str">
        <x:v>Stealth-field transition</x:v>
      </x:c>
      <x:c r="B12" s="89" t="str">
        <x:v>Обычный camo</x:v>
      </x:c>
      <x:c r="C12" s="89" t="str">
        <x:v>White Grey energy edge</x:v>
      </x:c>
      <x:c r="D12" s="89" t="str">
        <x:v>Frostheart/Baharroth</x:v>
      </x:c>
      <x:c r="E12" s="89" t="str">
        <x:v>White nodes</x:v>
      </x:c>
      <x:c r="F12" s="89" t="str">
        <x:v>Рваный светящийся</x:v>
      </x:c>
      <x:c r="G12" s="89" t="str">
        <x:v>Blue Ink</x:v>
      </x:c>
      <x:c r="H12" s="89" t="str">
        <x:v>Matt + Satin edge</x:v>
      </x:c>
      <x:c r="I12" s="89" t="str">
        <x:v>Эффект останавливается на каждой детали</x:v>
      </x:c>
      <x:c r="J12" s="89" t="str">
        <x:v>328</x:v>
      </x:c>
    </x:row>
    <x:row r="13">
      <x:c r="A13" s="89" t="str">
        <x:v>Карта финишей</x:v>
      </x:c>
      <x:c r="B13" s="89" t="str">
        <x:v>Общий Matt</x:v>
      </x:c>
      <x:c r="C13" s="89" t="str">
        <x:v>Metal Varnish</x:v>
      </x:c>
      <x:c r="D13" s="89" t="str">
        <x:v>Satin skin/silk</x:v>
      </x:c>
      <x:c r="E13" s="89" t="str">
        <x:v>Gloss gems/blood</x:v>
      </x:c>
      <x:c r="F13" s="89" t="str">
        <x:v>Локальный</x:v>
      </x:c>
      <x:c r="G13" s="89" t="str">
        <x:v>—</x:v>
      </x:c>
      <x:c r="H13" s="89" t="str">
        <x:v>Смешанный</x:v>
      </x:c>
      <x:c r="I13" s="89" t="str">
        <x:v>Видимая граница лака</x:v>
      </x:c>
      <x:c r="J13" s="89" t="str">
        <x:v>329</x:v>
      </x:c>
    </x:row>
    <x:row r="14">
      <x:c r="A14" s="89" t="str">
        <x:v>Ремонт после Matt</x:v>
      </x:c>
      <x:c r="B14" s="89" t="str">
        <x:v>Сухой матовый финиш</x:v>
      </x:c>
      <x:c r="C14" s="89" t="str">
        <x:v>Satin areas</x:v>
      </x:c>
      <x:c r="D14" s="89" t="str">
        <x:v>Metal areas</x:v>
      </x:c>
      <x:c r="E14" s="89" t="str">
        <x:v>Gloss points</x:v>
      </x:c>
      <x:c r="F14" s="89" t="str">
        <x:v>По материалу</x:v>
      </x:c>
      <x:c r="G14" s="89" t="str">
        <x:v>Color glaze optional</x:v>
      </x:c>
      <x:c r="H14" s="89" t="str">
        <x:v>Смешанный</x:v>
      </x:c>
      <x:c r="I14" s="89" t="str">
        <x:v>Перекрыть всё мокрым Gloss</x:v>
      </x:c>
      <x:c r="J14" s="89" t="str">
        <x:v>330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e85b044a33d244a1"/>
  </x:tableParts>
</x:worksheet>
</file>

<file path=xl/worksheets/sheet4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6" hidden="0" customWidth="1"/>
    <x:col min="3" max="3" width="18" hidden="0" customWidth="1"/>
    <x:col min="4" max="4" width="60" hidden="0" customWidth="1"/>
    <x:col min="5" max="5" width="78" hidden="0" customWidth="1"/>
    <x:col min="6" max="6" width="92" hidden="0" customWidth="1"/>
  </x:cols>
  <x:sheetData>
    <x:row r="1" ht="38" customHeight="1">
      <x:c r="A1" s="501" t="str">
        <x:v>Одиннадцатый проход: кровь, масла, камуфляж и финиш</x:v>
      </x:c>
      <x:c r="B1" s="501"/>
      <x:c r="C1" s="501"/>
      <x:c r="D1" s="501"/>
      <x:c r="E1" s="501"/>
      <x:c r="F1" s="501"/>
    </x:row>
    <x:row r="3">
      <x:c r="A3" s="506" t="str">
        <x:v>Показатель</x:v>
      </x:c>
      <x:c r="B3" s="506" t="str">
        <x:v>Результат</x:v>
      </x:c>
    </x:row>
    <x:row r="4">
      <x:c r="A4" s="512" t="str">
        <x:v>Рецептов до прохода</x:v>
      </x:c>
      <x:c r="B4" s="513" t="n">
        <x:v>300</x:v>
      </x:c>
    </x:row>
    <x:row r="5">
      <x:c r="A5" s="512" t="str">
        <x:v>Новых рецептов</x:v>
      </x:c>
      <x:c r="B5" s="513" t="n">
        <x:v>30</x:v>
      </x:c>
    </x:row>
    <x:row r="6">
      <x:c r="A6" s="512" t="str">
        <x:v>Рецептов после прохода</x:v>
      </x:c>
      <x:c r="B6" s="513" t="n">
        <x:v>330</x:v>
      </x:c>
    </x:row>
    <x:row r="7">
      <x:c r="A7" s="512" t="str">
        <x:v>Новых blood/gore схем</x:v>
      </x:c>
      <x:c r="B7" s="513" t="n">
        <x:v>10</x:v>
      </x:c>
    </x:row>
    <x:row r="8">
      <x:c r="A8" s="512" t="str">
        <x:v>Новых масляных техник</x:v>
      </x:c>
      <x:c r="B8" s="513" t="n">
        <x:v>10</x:v>
      </x:c>
    </x:row>
    <x:row r="9">
      <x:c r="A9" s="512" t="str">
        <x:v>Новых камуфляжей</x:v>
      </x:c>
      <x:c r="B9" s="513" t="n">
        <x:v>8</x:v>
      </x:c>
    </x:row>
    <x:row r="10">
      <x:c r="A10" s="512" t="str">
        <x:v>Новых финишных процессов</x:v>
      </x:c>
      <x:c r="B10" s="513" t="n">
        <x:v>2</x:v>
      </x:c>
    </x:row>
    <x:row r="11">
      <x:c r="A11" s="512" t="str">
        <x:v>Добавлены справочники</x:v>
      </x:c>
      <x:c r="B11" s="513" t="n">
        <x:v>3</x:v>
      </x:c>
    </x:row>
    <x:row r="12">
      <x:c r="A12" s="512" t="str">
        <x:v>Раскрыты редкие Gory Red/Blood/Daemonette/Reikland Gloss</x:v>
      </x:c>
      <x:c r="B12" s="513" t="str">
        <x:v>Да</x:v>
      </x:c>
    </x:row>
    <x:row r="13">
      <x:c r="A13" s="512" t="str">
        <x:v>Ключевой принцип</x:v>
      </x:c>
      <x:c r="B13" s="512" t="str">
        <x:v>Эффект должен иметь физическую причину: кровь — направление и возраст, масло — отдельную зону, камуфляж — масштаб, лак — материал</x:v>
      </x:c>
    </x:row>
    <x:row r="16">
      <x:c r="A16" s="509" t="str">
        <x:v>ID</x:v>
      </x:c>
      <x:c r="B16" s="509" t="str">
        <x:v>Область</x:v>
      </x:c>
      <x:c r="C16" s="509" t="str">
        <x:v>Статус</x:v>
      </x:c>
      <x:c r="D16" s="509" t="str">
        <x:v>Что обнаружено</x:v>
      </x:c>
      <x:c r="E16" s="509" t="str">
        <x:v>Действие</x:v>
      </x:c>
      <x:c r="F16" s="509" t="str">
        <x:v>Основание</x:v>
      </x:c>
    </x:row>
    <x:row r="17">
      <x:c r="A17" s="89" t="str">
        <x:v>AUD11-01</x:v>
      </x:c>
      <x:c r="B17" s="89" t="str">
        <x:v>Blood spatter</x:v>
      </x:c>
      <x:c r="C17" s="89" t="str">
        <x:v>Систематизировано</x:v>
      </x:c>
      <x:c r="D17" s="89" t="str">
        <x:v>Кровь ранее была представлена лужами и ранами, но не полной системой направления и возраста.</x:v>
      </x:c>
      <x:c r="E17" s="89" t="str">
        <x:v>Добавлены свежие, артериальные, подсохшие, оружейные и снежные blood effects.</x:v>
      </x:c>
      <x:c r="F17" s="89" t="str">
        <x:v>Warhammer рекомендует flick/splatter Blood for the Blood God, особенно на холодных бледных схемах, но для scenery подчёркивает принцип less is more.</x:v>
      </x:c>
    </x:row>
    <x:row r="18">
      <x:c r="A18" s="89" t="str">
        <x:v>AUD11-02</x:v>
      </x:c>
      <x:c r="B18" s="89" t="str">
        <x:v>Skin cloak</x:v>
      </x:c>
      <x:c r="C18" s="89" t="str">
        <x:v>Добавлено</x:v>
      </x:c>
      <x:c r="D18" s="89" t="str">
        <x:v>Содранная кожа была представлена только общей органикой.</x:v>
      </x:c>
      <x:c r="E18" s="89" t="str">
        <x:v>Созданы свежий, старый и лоскутный skin cloak, а также открытая мускулатура.</x:v>
      </x:c>
      <x:c r="F18" s="89" t="str">
        <x:v>Официальный Warhammer guide показывает skin cloaks как отдельный материал для гулей и Night Lords.</x:v>
      </x:c>
    </x:row>
    <x:row r="19">
      <x:c r="A19" s="89" t="str">
        <x:v>AUD11-03</x:v>
      </x:c>
      <x:c r="B19" s="89" t="str">
        <x:v>Масла</x:v>
      </x:c>
      <x:c r="C19" s="89" t="str">
        <x:v>Систематизировано</x:v>
      </x:c>
      <x:c r="D19" s="89" t="str">
        <x:v>Три масла использовались в отдельных рецептах без полной карты ролей.</x:v>
      </x:c>
      <x:c r="E19" s="89" t="str">
        <x:v>Умбра назначена тёплой земле, Серая Пейна — холодной тени, Сажа — глубокой копоти; добавлены pin-wash, mapping, streaking и integration.</x:v>
      </x:c>
      <x:c r="F19" s="89" t="str">
        <x:v>Новая система исключает смешивание трёх масел в единый неопределённый фильтр.</x:v>
      </x:c>
    </x:row>
    <x:row r="20">
      <x:c r="A20" s="89" t="str">
        <x:v>AUD11-04</x:v>
      </x:c>
      <x:c r="B20" s="89" t="str">
        <x:v>Oil surface control</x:v>
      </x:c>
      <x:c r="C20" s="89" t="str">
        <x:v>Уточнено</x:v>
      </x:c>
      <x:c r="D20" s="89" t="str">
        <x:v>Не было строгого различия Gloss и Satin перед маслами.</x:v>
      </x:c>
      <x:c r="E20" s="89" t="str">
        <x:v>Gloss закреплён для capillary pin-wash, Satin — для controlled mapping и blending.</x:v>
      </x:c>
      <x:c r="F20" s="89" t="str">
        <x:v>Различие поверхности управляет растеканием и возможностью снять масло с панели.</x:v>
      </x:c>
    </x:row>
    <x:row r="21">
      <x:c r="A21" s="89" t="str">
        <x:v>AUD11-05</x:v>
      </x:c>
      <x:c r="B21" s="89" t="str">
        <x:v>Камуфляж</x:v>
      </x:c>
      <x:c r="C21" s="89" t="str">
        <x:v>Расширено</x:v>
      </x:c>
      <x:c r="D21" s="89" t="str">
        <x:v>Было только два общих трёхцветных варианта.</x:v>
      </x:c>
      <x:c r="E21" s="89" t="str">
        <x:v>Добавлены digital, whitewash, desert, forest, stealth, dazzle, stippled cloak и stealth-field fade.</x:v>
      </x:c>
      <x:c r="F21" s="89" t="str">
        <x:v>Официальные Warhammer материалы показывают широкий диапазон камуфляжей разведывательных подразделений; масштаб пятен адаптирован к миниатюре.</x:v>
      </x:c>
    </x:row>
    <x:row r="22">
      <x:c r="A22" s="89" t="str">
        <x:v>AUD11-06</x:v>
      </x:c>
      <x:c r="B22" s="89" t="str">
        <x:v>Blood and mud</x:v>
      </x:c>
      <x:c r="C22" s="89" t="str">
        <x:v>Добавлено</x:v>
      </x:c>
      <x:c r="D22" s="89" t="str">
        <x:v>Не было связанной схемы крови и земляной грязи.</x:v>
      </x:c>
      <x:c r="E22" s="89" t="str">
        <x:v>Кровь на снегу, оружии и ткани разделена по впитыванию, возрасту и локальному финишу.</x:v>
      </x:c>
      <x:c r="F22" s="89" t="str">
        <x:v>WarCom демонстрирует Blood for the Blood God через губку и сочетание крови с землёй/грязью на World Eaters.</x:v>
      </x:c>
    </x:row>
    <x:row r="23">
      <x:c r="A23" s="89" t="str">
        <x:v>AUD11-07</x:v>
      </x:c>
      <x:c r="B23" s="89" t="str">
        <x:v>Финиш</x:v>
      </x:c>
      <x:c r="C23" s="89" t="str">
        <x:v>Расширено</x:v>
      </x:c>
      <x:c r="D23" s="89" t="str">
        <x:v>Разделённый финиш существовал как правило, но не как восстановительный процесс.</x:v>
      </x:c>
      <x:c r="E23" s="89" t="str">
        <x:v>Добавлена карта финишей и ремонт слишком матового лака.</x:v>
      </x:c>
      <x:c r="F23" s="89" t="str">
        <x:v>Металл, кожа, шёлк, камни, кровь и лужи восстанавливаются отдельно.</x:v>
      </x:c>
    </x:row>
    <x:row r="24">
      <x:c r="A24" s="89" t="str">
        <x:v>AUD11-08</x:v>
      </x:c>
      <x:c r="B24" s="89" t="str">
        <x:v>Масштаб эффекта</x:v>
      </x:c>
      <x:c r="C24" s="89" t="str">
        <x:v>Уточнено</x:v>
      </x:c>
      <x:c r="D24" s="89" t="str">
        <x:v>Кровь, камуфляж и streaking могли перегрузить миниатюру.</x:v>
      </x:c>
      <x:c r="E24" s="89" t="str">
        <x:v>Во все три справочника внесены уменьшение капель, иерархия пятен и затухание потёков.</x:v>
      </x:c>
      <x:c r="F24" s="89" t="str">
        <x:v>Главные массы остаются читаемыми на игровом расстоянии.</x:v>
      </x:c>
    </x:row>
    <x:row r="30">
      <x:c r="A30" s="515" t="str">
        <x:v>ID</x:v>
      </x:c>
      <x:c r="B30" s="515" t="str">
        <x:v>Источник / идея</x:v>
      </x:c>
      <x:c r="C30" s="515" t="str">
        <x:v>URL</x:v>
      </x:c>
    </x:row>
    <x:row r="31">
      <x:c r="A31" s="512" t="str">
        <x:v>SRC11-01</x:v>
      </x:c>
      <x:c r="B31" s="512" t="str">
        <x:v>Warhammer: Blood for the Blood God can be flicked and splattered; strong contrast on pallid schemes</x:v>
      </x:c>
      <x:c r="C31" s="512" t="str">
        <x:v>https://www.warhammer-community.com/en-gb/articles/MtjsbjPN/painting-the-flesh-eater-courts-how-eavy-metal-rendered-the-royal-court/</x:v>
      </x:c>
    </x:row>
    <x:row r="32">
      <x:c r="A32" s="512" t="str">
        <x:v>SRC11-02</x:v>
      </x:c>
      <x:c r="B32" s="512" t="str">
        <x:v>Warhammer: small blood pools and splashes; less is more</x:v>
      </x:c>
      <x:c r="C32" s="512" t="str">
        <x:v>https://www.warhammer-community.com/en-gb/articles/IhR0bYqC/turn-simple-stone-scenery-into-works-of-art-with-this-step-by-step-painting-guide/</x:v>
      </x:c>
    </x:row>
    <x:row r="33">
      <x:c r="A33" s="512" t="str">
        <x:v>SRC11-03</x:v>
      </x:c>
      <x:c r="B33" s="512" t="str">
        <x:v>Warhammer: skin cloak painting guide</x:v>
      </x:c>
      <x:c r="C33" s="512" t="str">
        <x:v>https://www.warhammer-community.com/en-gb/videos/UMB1eMAe/how-to-paint-skin-cloaks-intermediate-warhammer-40000/</x:v>
      </x:c>
    </x:row>
    <x:row r="34">
      <x:c r="A34" s="512" t="str">
        <x:v>SRC11-04</x:v>
      </x:c>
      <x:c r="B34" s="512" t="str">
        <x:v>Warhammer: Blood for the Blood God applied with sponge and combined with mud</x:v>
      </x:c>
      <x:c r="C34" s="512" t="str">
        <x:v>https://www.warhammer-community.com/en-gb/articles/adg4tubx/warcom-team-paints-saturnine-the-traitor-legions/</x:v>
      </x:c>
    </x:row>
    <x:row r="35">
      <x:c r="A35" s="512" t="str">
        <x:v>SRC11-05</x:v>
      </x:c>
      <x:c r="B35" s="512" t="str">
        <x:v>Warhammer: camo-pattern variety on Spectre Squad</x:v>
      </x:c>
      <x:c r="C35" s="512" t="str">
        <x:v>https://www.warhammer-community.com/en-gb/articles/u0sbzthr/community-painting-getting-sneaky-with-the-spectre-squad/</x:v>
      </x:c>
    </x:row>
    <x:row r="36">
      <x:c r="A36" s="512" t="str">
        <x:v>SRC11-06</x:v>
      </x:c>
      <x:c r="B36" s="512" t="str">
        <x:v>Warhammer: stealth suit painting guide</x:v>
      </x:c>
      <x:c r="C36" s="512" t="str">
        <x:v>https://www.warhammer-community.com/en-gb/videos/tina5pbo/how-to-paint-tau-stealth-suits-warhammer-40000/</x:v>
      </x:c>
    </x:row>
    <x:row r="37">
      <x:c r="A37" s="512" t="str">
        <x:v>SRC11-07</x:v>
      </x:c>
      <x:c r="B37" s="512" t="str">
        <x:v>Vallejo: Wash FX can work as filters by brush or airbrush</x:v>
      </x:c>
      <x:c r="C37" s="512" t="str">
        <x:v>https://acrylicosvallejo.com/en/product/hobby/wash-fx-en/dark-grey-76517/</x:v>
      </x:c>
    </x:row>
    <x:row r="38">
      <x:c r="A38" s="512" t="str">
        <x:v>SRC11-08</x:v>
      </x:c>
      <x:c r="B38" s="512" t="str">
        <x:v>Vallejo: official hobby videos include filters, weathering, streaking and decals</x:v>
      </x:c>
      <x:c r="C38" s="512" t="str">
        <x:v>https://acrylicosvallejo.com/en/hobby-videos/</x:v>
      </x:c>
    </x:row>
  </x:sheetData>
  <x:mergeCells>
    <x:mergeCell ref="A1:F1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7" hidden="0" customWidth="1"/>
    <x:col min="3" max="3" width="33" hidden="0" customWidth="1"/>
    <x:col min="4" max="4" width="35" hidden="0" customWidth="1"/>
    <x:col min="5" max="5" width="31" hidden="0" customWidth="1"/>
    <x:col min="6" max="6" width="30" hidden="0" customWidth="1"/>
    <x:col min="7" max="7" width="43" hidden="0" customWidth="1"/>
    <x:col min="8" max="8" width="52" hidden="0" customWidth="1"/>
    <x:col min="9" max="9" width="38" hidden="0" customWidth="1"/>
    <x:col min="10" max="10" width="18" hidden="0" customWidth="1"/>
  </x:cols>
  <x:sheetData>
    <x:row r="1" ht="38" customHeight="1">
      <x:c r="A1" s="522" t="str">
        <x:v>Освещение и фокус: как направить взгляд на миниатюре</x:v>
      </x:c>
      <x:c r="B1" s="522"/>
      <x:c r="C1" s="522"/>
      <x:c r="D1" s="522"/>
      <x:c r="E1" s="522"/>
      <x:c r="F1" s="522"/>
      <x:c r="G1" s="522"/>
      <x:c r="H1" s="522"/>
      <x:c r="I1" s="522"/>
      <x:c r="J1" s="522"/>
    </x:row>
    <x:row r="2" ht="40" customHeight="1">
      <x:c r="A2" s="525" t="str">
        <x:v>Сначала определяется главный источник и фокусная зона. Цвет, edge highlights, OSL, rim light и финиш должны поддерживать одну композицию, а не создавать несколько одинаково ярких центров.</x:v>
      </x:c>
      <x:c r="B2" s="525"/>
      <x:c r="C2" s="525"/>
      <x:c r="D2" s="525"/>
      <x:c r="E2" s="525"/>
      <x:c r="F2" s="525"/>
      <x:c r="G2" s="525"/>
      <x:c r="H2" s="525"/>
      <x:c r="I2" s="525"/>
      <x:c r="J2" s="525"/>
    </x:row>
    <x:row r="4" ht="44" customHeight="1">
      <x:c r="A4" s="530" t="str">
        <x:v>Задача</x:v>
      </x:c>
      <x:c r="B4" s="530" t="str">
        <x:v>Источник</x:v>
      </x:c>
      <x:c r="C4" s="530" t="str">
        <x:v>Теневая сторона</x:v>
      </x:c>
      <x:c r="D4" s="530" t="str">
        <x:v>Средний свет</x:v>
      </x:c>
      <x:c r="E4" s="530" t="str">
        <x:v>Максимум</x:v>
      </x:c>
      <x:c r="F4" s="530" t="str">
        <x:v>Температура</x:v>
      </x:c>
      <x:c r="G4" s="530" t="str">
        <x:v>Где остановить</x:v>
      </x:c>
      <x:c r="H4" s="530" t="str">
        <x:v>Главная ошибка</x:v>
      </x:c>
      <x:c r="I4" s="530" t="str">
        <x:v>Проверка</x:v>
      </x:c>
      <x:c r="J4" s="530" t="str">
        <x:v>Рецепт</x:v>
      </x:c>
    </x:row>
    <x:row r="5">
      <x:c r="A5" s="89" t="str">
        <x:v>Зенитальная карта</x:v>
      </x:c>
      <x:c r="B5" s="89" t="str">
        <x:v>Сверху</x:v>
      </x:c>
      <x:c r="C5" s="89" t="str">
        <x:v>Black/German Grey</x:v>
      </x:c>
      <x:c r="D5" s="89" t="str">
        <x:v>Medium Grey/Grey Seer</x:v>
      </x:c>
      <x:c r="E5" s="89" t="str">
        <x:v>White на фокусе</x:v>
      </x:c>
      <x:c r="F5" s="89" t="str">
        <x:v>Нейтральная</x:v>
      </x:c>
      <x:c r="G5" s="89" t="str">
        <x:v>Низ модели темнее</x:v>
      </x:c>
      <x:c r="H5" s="89" t="str">
        <x:v>Всё одинаково белое сверху</x:v>
      </x:c>
      <x:c r="I5" s="89" t="str">
        <x:v>Чёрно-белое фото</x:v>
      </x:c>
      <x:c r="J5" s="89" t="str">
        <x:v>331</x:v>
      </x:c>
    </x:row>
    <x:row r="6">
      <x:c r="A6" s="89" t="str">
        <x:v>Ключевой 45°</x:v>
      </x:c>
      <x:c r="B6" s="89" t="str">
        <x:v>Один боковой верхний</x:v>
      </x:c>
      <x:c r="C6" s="89" t="str">
        <x:v>Исходная тёмная база</x:v>
      </x:c>
      <x:c r="D6" s="89" t="str">
        <x:v>Средний тон только со стороны света</x:v>
      </x:c>
      <x:c r="E6" s="89" t="str">
        <x:v>Pale Sand/White Grey</x:v>
      </x:c>
      <x:c r="F6" s="89" t="str">
        <x:v>По сцене</x:v>
      </x:c>
      <x:c r="G6" s="89" t="str">
        <x:v>Не вращать модель</x:v>
      </x:c>
      <x:c r="H6" s="89" t="str">
        <x:v>Симметричные света</x:v>
      </x:c>
      <x:c r="I6" s="89" t="str">
        <x:v>Фото со стороны источника</x:v>
      </x:c>
      <x:c r="J6" s="89" t="str">
        <x:v>332</x:v>
      </x:c>
    </x:row>
    <x:row r="7">
      <x:c r="A7" s="89" t="str">
        <x:v>Тёплый свет</x:v>
      </x:c>
      <x:c r="B7" s="89" t="str">
        <x:v>Огонь/солнце</x:v>
      </x:c>
      <x:c r="C7" s="89" t="str">
        <x:v>Dark Prussian/Blue Ink</x:v>
      </x:c>
      <x:c r="D7" s="89" t="str">
        <x:v>Fire Dragon/Pale Sand</x:v>
      </x:c>
      <x:c r="E7" s="89" t="str">
        <x:v>Yellow/White</x:v>
      </x:c>
      <x:c r="F7" s="89" t="str">
        <x:v>Тёплый свет, холодная тень</x:v>
      </x:c>
      <x:c r="G7" s="89" t="str">
        <x:v>Тёплый фильтр только со стороны света</x:v>
      </x:c>
      <x:c r="H7" s="89" t="str">
        <x:v>Чисто оранжевая половина</x:v>
      </x:c>
      <x:c r="I7" s="89" t="str">
        <x:v>Убрать цвет в grayscale</x:v>
      </x:c>
      <x:c r="J7" s="89" t="str">
        <x:v>333</x:v>
      </x:c>
    </x:row>
    <x:row r="8">
      <x:c r="A8" s="89" t="str">
        <x:v>Холодный свет</x:v>
      </x:c>
      <x:c r="B8" s="89" t="str">
        <x:v>Луна/магия</x:v>
      </x:c>
      <x:c r="C8" s="89" t="str">
        <x:v>Deep Brown/Sepia</x:v>
      </x:c>
      <x:c r="D8" s="89" t="str">
        <x:v>Lothern/Fenrisian</x:v>
      </x:c>
      <x:c r="E8" s="89" t="str">
        <x:v>White Grey/White</x:v>
      </x:c>
      <x:c r="F8" s="89" t="str">
        <x:v>Холодный свет, тёплая тень</x:v>
      </x:c>
      <x:c r="G8" s="89" t="str">
        <x:v>Свет не перекрывает основной цвет</x:v>
      </x:c>
      <x:c r="H8" s="89" t="str">
        <x:v>Чисто синяя модель</x:v>
      </x:c>
      <x:c r="I8" s="89" t="str">
        <x:v>Сравнить насыщенность базы</x:v>
      </x:c>
      <x:c r="J8" s="89" t="str">
        <x:v>334</x:v>
      </x:c>
    </x:row>
    <x:row r="9">
      <x:c r="A9" s="89" t="str">
        <x:v>Холодный rim</x:v>
      </x:c>
      <x:c r="B9" s="89" t="str">
        <x:v>Позади модели</x:v>
      </x:c>
      <x:c r="C9" s="89" t="str">
        <x:v>Не меняется</x:v>
      </x:c>
      <x:c r="D9" s="89" t="str">
        <x:v>The Fang/Fenrisian</x:v>
      </x:c>
      <x:c r="E9" s="89" t="str">
        <x:v>Baharroth/White</x:v>
      </x:c>
      <x:c r="F9" s="89" t="str">
        <x:v>Холодная</x:v>
      </x:c>
      <x:c r="G9" s="89" t="str">
        <x:v>Только силуэт</x:v>
      </x:c>
      <x:c r="H9" s="89" t="str">
        <x:v>Обводка каждой детали</x:v>
      </x:c>
      <x:c r="I9" s="89" t="str">
        <x:v>Повернуть спиной к источнику</x:v>
      </x:c>
      <x:c r="J9" s="89" t="str">
        <x:v>335</x:v>
      </x:c>
    </x:row>
    <x:row r="10">
      <x:c r="A10" s="89" t="str">
        <x:v>Тёплый rim</x:v>
      </x:c>
      <x:c r="B10" s="89" t="str">
        <x:v>Огонь позади</x:v>
      </x:c>
      <x:c r="C10" s="89" t="str">
        <x:v>Не меняется</x:v>
      </x:c>
      <x:c r="D10" s="89" t="str">
        <x:v>Dirty Red/Orange Fire</x:v>
      </x:c>
      <x:c r="E10" s="89" t="str">
        <x:v>Yellow/Pale Sand</x:v>
      </x:c>
      <x:c r="F10" s="89" t="str">
        <x:v>Тёплая</x:v>
      </x:c>
      <x:c r="G10" s="89" t="str">
        <x:v>Только открытые кромки</x:v>
      </x:c>
      <x:c r="H10" s="89" t="str">
        <x:v>Свет проходит через модель</x:v>
      </x:c>
      <x:c r="I10" s="89" t="str">
        <x:v>Закрыть источник карточкой</x:v>
      </x:c>
      <x:c r="J10" s="89" t="str">
        <x:v>336</x:v>
      </x:c>
    </x:row>
    <x:row r="11">
      <x:c r="A11" s="89" t="str">
        <x:v>Два источника</x:v>
      </x:c>
      <x:c r="B11" s="89" t="str">
        <x:v>Красный и синий</x:v>
      </x:c>
      <x:c r="C11" s="89" t="str">
        <x:v>Тёмная нейтральная зона между</x:v>
      </x:c>
      <x:c r="D11" s="89" t="str">
        <x:v>Red/Blue translucent layers</x:v>
      </x:c>
      <x:c r="E11" s="89" t="str">
        <x:v>Белые источники</x:v>
      </x:c>
      <x:c r="F11" s="89" t="str">
        <x:v>Две температуры</x:v>
      </x:c>
      <x:c r="G11" s="89" t="str">
        <x:v>Не смешивать центр</x:v>
      </x:c>
      <x:c r="H11" s="89" t="str">
        <x:v>Фиолетовая общая заливка</x:v>
      </x:c>
      <x:c r="I11" s="89" t="str">
        <x:v>Фото с обоих источников</x:v>
      </x:c>
      <x:c r="J11" s="89" t="str">
        <x:v>337</x:v>
      </x:c>
    </x:row>
    <x:row r="12">
      <x:c r="A12" s="89" t="str">
        <x:v>Bounce от лавы</x:v>
      </x:c>
      <x:c r="B12" s="89" t="str">
        <x:v>Снизу</x:v>
      </x:c>
      <x:c r="C12" s="89" t="str">
        <x:v>Верх не меняется</x:v>
      </x:c>
      <x:c r="D12" s="89" t="str">
        <x:v>Dirty Red/Orange</x:v>
      </x:c>
      <x:c r="E12" s="89" t="str">
        <x:v>Yellow/Pale Sand снизу</x:v>
      </x:c>
      <x:c r="F12" s="89" t="str">
        <x:v>Тёплая</x:v>
      </x:c>
      <x:c r="G12" s="89" t="str">
        <x:v>Быстро исчезает выше колен</x:v>
      </x:c>
      <x:c r="H12" s="89" t="str">
        <x:v>Нижний свет ярче лавы</x:v>
      </x:c>
      <x:c r="I12" s="89" t="str">
        <x:v>Сравнить с базой</x:v>
      </x:c>
      <x:c r="J12" s="89" t="str">
        <x:v>338</x:v>
      </x:c>
    </x:row>
    <x:row r="13">
      <x:c r="A13" s="89" t="str">
        <x:v>Bounce от снега</x:v>
      </x:c>
      <x:c r="B13" s="89" t="str">
        <x:v>Снизу</x:v>
      </x:c>
      <x:c r="C13" s="89" t="str">
        <x:v>Верх не меняется</x:v>
      </x:c>
      <x:c r="D13" s="89" t="str">
        <x:v>The Fang/Fenrisian</x:v>
      </x:c>
      <x:c r="E13" s="89" t="str">
        <x:v>Ulthuan/White Grey</x:v>
      </x:c>
      <x:c r="F13" s="89" t="str">
        <x:v>Холодная</x:v>
      </x:c>
      <x:c r="G13" s="89" t="str">
        <x:v>Мягкий и слабый</x:v>
      </x:c>
      <x:c r="H13" s="89" t="str">
        <x:v>Второй ключевой свет</x:v>
      </x:c>
      <x:c r="I13" s="89" t="str">
        <x:v>Сравнить яркость с верхом</x:v>
      </x:c>
      <x:c r="J13" s="89" t="str">
        <x:v>339</x:v>
      </x:c>
    </x:row>
    <x:row r="14">
      <x:c r="A14" s="89" t="str">
        <x:v>Фокус лица</x:v>
      </x:c>
      <x:c r="B14" s="89" t="str">
        <x:v>Главный свет</x:v>
      </x:c>
      <x:c r="C14" s="89" t="str">
        <x:v>Глазницы глубже</x:v>
      </x:c>
      <x:c r="D14" s="89" t="str">
        <x:v>Обычный skin tone</x:v>
      </x:c>
      <x:c r="E14" s="89" t="str">
        <x:v>Pallid/White point</x:v>
      </x:c>
      <x:c r="F14" s="89" t="str">
        <x:v>Теплее окружения</x:v>
      </x:c>
      <x:c r="G14" s="89" t="str">
        <x:v>На один уровень ярче соседей</x:v>
      </x:c>
      <x:c r="H14" s="89" t="str">
        <x:v>Светящаяся маска</x:v>
      </x:c>
      <x:c r="I14" s="89" t="str">
        <x:v>Фото на расстоянии</x:v>
      </x:c>
      <x:c r="J14" s="89" t="str">
        <x:v>340</x:v>
      </x:c>
    </x:row>
    <x:row r="15">
      <x:c r="A15" s="89" t="str">
        <x:v>Фокус оружия</x:v>
      </x:c>
      <x:c r="B15" s="89" t="str">
        <x:v>По композиции</x:v>
      </x:c>
      <x:c r="C15" s="89" t="str">
        <x:v>Black/Deep Brown рядом</x:v>
      </x:c>
      <x:c r="D15" s="89" t="str">
        <x:v>Дополнительный переход</x:v>
      </x:c>
      <x:c r="E15" s="89" t="str">
        <x:v>White Grey/Pale Sand</x:v>
      </x:c>
      <x:c r="F15" s="89" t="str">
        <x:v>Цвет оружия</x:v>
      </x:c>
      <x:c r="G15" s="89" t="str">
        <x:v>Вторичное оружие проще</x:v>
      </x:c>
      <x:c r="H15" s="89" t="str">
        <x:v>Все предметы одинаково яркие</x:v>
      </x:c>
      <x:c r="I15" s="89" t="str">
        <x:v>Силуэт на вытянутой руке</x:v>
      </x:c>
      <x:c r="J15" s="89" t="str">
        <x:v>341</x:v>
      </x:c>
    </x:row>
    <x:row r="16">
      <x:c r="A16" s="89" t="str">
        <x:v>Снижение фокуса</x:v>
      </x:c>
      <x:c r="B16" s="89" t="str">
        <x:v>Нет отдельного</x:v>
      </x:c>
      <x:c r="C16" s="89" t="str">
        <x:v>Grey/Brown filter</x:v>
      </x:c>
      <x:c r="D16" s="89" t="str">
        <x:v>Вернуть только выступы</x:v>
      </x:c>
      <x:c r="E16" s="89" t="str">
        <x:v>Без нового максимума</x:v>
      </x:c>
      <x:c r="F16" s="89" t="str">
        <x:v>Холоднее/грязнее</x:v>
      </x:c>
      <x:c r="G16" s="89" t="str">
        <x:v>Нижняя треть</x:v>
      </x:c>
      <x:c r="H16" s="89" t="str">
        <x:v>Грязная нечитаемая масса</x:v>
      </x:c>
      <x:c r="I16" s="89" t="str">
        <x:v>Сравнить верх и низ</x:v>
      </x:c>
      <x:c r="J16" s="89" t="str">
        <x:v>342</x:v>
      </x:c>
    </x:row>
    <x:row r="17">
      <x:c r="A17" s="89" t="str">
        <x:v>Общий фильтр</x:v>
      </x:c>
      <x:c r="B17" s="89" t="str">
        <x:v>Вся группа</x:v>
      </x:c>
      <x:c r="C17" s="89" t="str">
        <x:v>По базовой схеме</x:v>
      </x:c>
      <x:c r="D17" s="89" t="str">
        <x:v>Одинаковая glaze</x:v>
      </x:c>
      <x:c r="E17" s="89" t="str">
        <x:v>Максимумы чистые</x:v>
      </x:c>
      <x:c r="F17" s="89" t="str">
        <x:v>Фракционная</x:v>
      </x:c>
      <x:c r="G17" s="89" t="str">
        <x:v>Едва заметный сдвиг</x:v>
      </x:c>
      <x:c r="H17" s="89" t="str">
        <x:v>Видимый цветной слой</x:v>
      </x:c>
      <x:c r="I17" s="89" t="str">
        <x:v>Поставить модели рядом</x:v>
      </x:c>
      <x:c r="J17" s="89" t="str">
        <x:v>343–344</x:v>
      </x:c>
    </x:row>
    <x:row r="18">
      <x:c r="A18" s="89" t="str">
        <x:v>Селективные кромки</x:v>
      </x:c>
      <x:c r="B18" s="89" t="str">
        <x:v>По источнику</x:v>
      </x:c>
      <x:c r="C18" s="89" t="str">
        <x:v>Закрытые края без линии</x:v>
      </x:c>
      <x:c r="D18" s="89" t="str">
        <x:v>Средний edge сверху</x:v>
      </x:c>
      <x:c r="E18" s="89" t="str">
        <x:v>White/Pale Sand на фокусе</x:v>
      </x:c>
      <x:c r="F18" s="89" t="str">
        <x:v>По материалу</x:v>
      </x:c>
      <x:c r="G18" s="89" t="str">
        <x:v>Верхняя треть</x:v>
      </x:c>
      <x:c r="H18" s="89" t="str">
        <x:v>Одинаковая обводка всего</x:v>
      </x:c>
      <x:c r="I18" s="89" t="str">
        <x:v>Вид сверху и спереди</x:v>
      </x:c>
      <x:c r="J18" s="89" t="str">
        <x:v>345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a26007c3ff94254"/>
  </x:tableParts>
</x:worksheet>
</file>

<file path=xl/worksheets/sheet44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2" hidden="0" customWidth="1"/>
    <x:col min="3" max="3" width="31" hidden="0" customWidth="1"/>
    <x:col min="4" max="4" width="30" hidden="0" customWidth="1"/>
    <x:col min="5" max="5" width="38" hidden="0" customWidth="1"/>
    <x:col min="6" max="6" width="39" hidden="0" customWidth="1"/>
    <x:col min="7" max="7" width="34" hidden="0" customWidth="1"/>
    <x:col min="8" max="8" width="32" hidden="0" customWidth="1"/>
    <x:col min="9" max="9" width="29" hidden="0" customWidth="1"/>
    <x:col min="10" max="10" width="18" hidden="0" customWidth="1"/>
  </x:cols>
  <x:sheetData>
    <x:row r="1" ht="38" customHeight="1">
      <x:c r="A1" s="522" t="str">
        <x:v>Армейские пайплайны: от грунта до локального финиша</x:v>
      </x:c>
      <x:c r="B1" s="522"/>
      <x:c r="C1" s="522"/>
      <x:c r="D1" s="522"/>
      <x:c r="E1" s="522"/>
      <x:c r="F1" s="522"/>
      <x:c r="G1" s="522"/>
      <x:c r="H1" s="522"/>
      <x:c r="I1" s="522"/>
      <x:c r="J1" s="522"/>
    </x:row>
    <x:row r="2" ht="42" customHeight="1">
      <x:c r="A2" s="525" t="str">
        <x:v>Пайплайны используют уже существующие рецепты базы. Для серийной покраски шаг выполняется сразу на всей группе; для персонажа каждый материал завершается перед переходом к локальному свету и финишу.</x:v>
      </x:c>
      <x:c r="B2" s="525"/>
      <x:c r="C2" s="525"/>
      <x:c r="D2" s="525"/>
      <x:c r="E2" s="525"/>
      <x:c r="F2" s="525"/>
      <x:c r="G2" s="525"/>
      <x:c r="H2" s="525"/>
      <x:c r="I2" s="525"/>
      <x:c r="J2" s="525"/>
    </x:row>
    <x:row r="4" ht="44" customHeight="1">
      <x:c r="A4" s="530" t="str">
        <x:v>Армия/модель</x:v>
      </x:c>
      <x:c r="B4" s="530" t="str">
        <x:v>Уровень</x:v>
      </x:c>
      <x:c r="C4" s="530" t="str">
        <x:v>Грунт и свет</x:v>
      </x:c>
      <x:c r="D4" s="530" t="str">
        <x:v>Главная масса</x:v>
      </x:c>
      <x:c r="E4" s="530" t="str">
        <x:v>Вторичная масса</x:v>
      </x:c>
      <x:c r="F4" s="530" t="str">
        <x:v>Детали</x:v>
      </x:c>
      <x:c r="G4" s="530" t="str">
        <x:v>Weathering</x:v>
      </x:c>
      <x:c r="H4" s="530" t="str">
        <x:v>Фокус</x:v>
      </x:c>
      <x:c r="I4" s="530" t="str">
        <x:v>Финиш</x:v>
      </x:c>
      <x:c r="J4" s="530" t="str">
        <x:v>Рецепт</x:v>
      </x:c>
    </x:row>
    <x:row r="5">
      <x:c r="A5" s="89" t="str">
        <x:v>Custodian Guard</x:v>
      </x:c>
      <x:c r="B5" s="89" t="str">
        <x:v>Серийный игровой</x:v>
      </x:c>
      <x:c r="C5" s="89" t="str">
        <x:v>Black Primer</x:v>
      </x:c>
      <x:c r="D5" s="89" t="str">
        <x:v>Gold 137</x:v>
      </x:c>
      <x:c r="E5" s="89" t="str">
        <x:v>Red 121; burgundy 131</x:v>
      </x:c>
      <x:c r="F5" s="89" t="str">
        <x:v>Gems 111/248; steel 138</x:v>
      </x:c>
      <x:c r="G5" s="89" t="str">
        <x:v>Burnt Umber pin-wash 311</x:v>
      </x:c>
      <x:c r="H5" s="89" t="str">
        <x:v>Selective edge 345</x:v>
      </x:c>
      <x:c r="I5" s="89" t="str">
        <x:v>Matt/Metal/Gloss</x:v>
      </x:c>
      <x:c r="J5" s="89" t="str">
        <x:v>351</x:v>
      </x:c>
    </x:row>
    <x:row r="6">
      <x:c r="A6" s="89" t="str">
        <x:v>Custodes character</x:v>
      </x:c>
      <x:c r="B6" s="89" t="str">
        <x:v>Display</x:v>
      </x:c>
      <x:c r="C6" s="89" t="str">
        <x:v>Directional 332 + rim 335</x:v>
      </x:c>
      <x:c r="D6" s="89" t="str">
        <x:v>Hybrid gold 348</x:v>
      </x:c>
      <x:c r="E6" s="89" t="str">
        <x:v>Red lacquer 187; silk 291</x:v>
      </x:c>
      <x:c r="F6" s="89" t="str">
        <x:v>Face 116–119; emerald 111</x:v>
      </x:c>
      <x:c r="G6" s="89" t="str">
        <x:v>Payne Grey local shadow</x:v>
      </x:c>
      <x:c r="H6" s="89" t="str">
        <x:v>Face 340; weapon 341</x:v>
      </x:c>
      <x:c r="I6" s="89" t="str">
        <x:v>Split finish 329</x:v>
      </x:c>
      <x:c r="J6" s="89" t="str">
        <x:v>352</x:v>
      </x:c>
    </x:row>
    <x:row r="7">
      <x:c r="A7" s="89" t="str">
        <x:v>Rubric Marine</x:v>
      </x:c>
      <x:c r="B7" s="89" t="str">
        <x:v>Серийный игровой</x:v>
      </x:c>
      <x:c r="C7" s="89" t="str">
        <x:v>Black Primer</x:v>
      </x:c>
      <x:c r="D7" s="89" t="str">
        <x:v>Blue 241/122</x:v>
      </x:c>
      <x:c r="E7" s="89" t="str">
        <x:v>Gold 137; yellow stripes 222/249</x:v>
      </x:c>
      <x:c r="F7" s="89" t="str">
        <x:v>Lens 106/248; cloth 251</x:v>
      </x:c>
      <x:c r="G7" s="89" t="str">
        <x:v>Basilicanum/Payne line shade</x:v>
      </x:c>
      <x:c r="H7" s="89" t="str">
        <x:v>Selective edge 345</x:v>
      </x:c>
      <x:c r="I7" s="89" t="str">
        <x:v>Matt/Metal/Gloss</x:v>
      </x:c>
      <x:c r="J7" s="89" t="str">
        <x:v>353</x:v>
      </x:c>
    </x:row>
    <x:row r="8">
      <x:c r="A8" s="89" t="str">
        <x:v>TS Sorcerer</x:v>
      </x:c>
      <x:c r="B8" s="89" t="str">
        <x:v>Display</x:v>
      </x:c>
      <x:c r="C8" s="89" t="str">
        <x:v>Warm/cool 333/334</x:v>
      </x:c>
      <x:c r="D8" s="89" t="str">
        <x:v>Blue 241; hybrid gold 348</x:v>
      </x:c>
      <x:c r="E8" s="89" t="str">
        <x:v>Purple cloth 243/251</x:v>
      </x:c>
      <x:c r="F8" s="89" t="str">
        <x:v>Runes 226; smoke 193/195; face 129</x:v>
      </x:c>
      <x:c r="G8" s="89" t="str">
        <x:v>Oil mapping 314/315</x:v>
      </x:c>
      <x:c r="H8" s="89" t="str">
        <x:v>Magic source + face</x:v>
      </x:c>
      <x:c r="I8" s="89" t="str">
        <x:v>Split finish 329</x:v>
      </x:c>
      <x:c r="J8" s="89" t="str">
        <x:v>354</x:v>
      </x:c>
    </x:row>
    <x:row r="9">
      <x:c r="A9" s="89" t="str">
        <x:v>Warm daemon</x:v>
      </x:c>
      <x:c r="B9" s="89" t="str">
        <x:v>Enhanced</x:v>
      </x:c>
      <x:c r="C9" s="89" t="str">
        <x:v>Zenithal 331</x:v>
      </x:c>
      <x:c r="D9" s="89" t="str">
        <x:v>Orange/red skin 247/121</x:v>
      </x:c>
      <x:c r="E9" s="89" t="str">
        <x:v>Stipple 156/157</x:v>
      </x:c>
      <x:c r="F9" s="89" t="str">
        <x:v>Horns 163; bone 271; gore 301–310</x:v>
      </x:c>
      <x:c r="G9" s="89" t="str">
        <x:v>Warm oils 319</x:v>
      </x:c>
      <x:c r="H9" s="89" t="str">
        <x:v>Face/eyes 340</x:v>
      </x:c>
      <x:c r="I9" s="89" t="str">
        <x:v>Matt + local Gloss</x:v>
      </x:c>
      <x:c r="J9" s="89" t="str">
        <x:v>355</x:v>
      </x:c>
    </x:row>
    <x:row r="10">
      <x:c r="A10" s="89" t="str">
        <x:v>Cold daemon</x:v>
      </x:c>
      <x:c r="B10" s="89" t="str">
        <x:v>Enhanced</x:v>
      </x:c>
      <x:c r="C10" s="89" t="str">
        <x:v>Zenithal 331</x:v>
      </x:c>
      <x:c r="D10" s="89" t="str">
        <x:v>Purple/cold skin 156/130/243</x:v>
      </x:c>
      <x:c r="E10" s="89" t="str">
        <x:v>Cold horns; smoke 195</x:v>
      </x:c>
      <x:c r="F10" s="89" t="str">
        <x:v>Eyes 106/107</x:v>
      </x:c>
      <x:c r="G10" s="89" t="str">
        <x:v>Payne Grey oil shadow 319</x:v>
      </x:c>
      <x:c r="H10" s="89" t="str">
        <x:v>Cold rim 335</x:v>
      </x:c>
      <x:c r="I10" s="89" t="str">
        <x:v>Matt/Satin</x:v>
      </x:c>
      <x:c r="J10" s="89" t="str">
        <x:v>356</x:v>
      </x:c>
    </x:row>
    <x:row r="11">
      <x:c r="A11" s="89" t="str">
        <x:v>Large daemon</x:v>
      </x:c>
      <x:c r="B11" s="89" t="str">
        <x:v>Display</x:v>
      </x:c>
      <x:c r="C11" s="89" t="str">
        <x:v>Directional 332</x:v>
      </x:c>
      <x:c r="D11" s="89" t="str">
        <x:v>Airbrush skin 129/130/154/156</x:v>
      </x:c>
      <x:c r="E11" s="89" t="str">
        <x:v>Stipple 155–157</x:v>
      </x:c>
      <x:c r="F11" s="89" t="str">
        <x:v>Face, horns, gore</x:v>
      </x:c>
      <x:c r="G11" s="89" t="str">
        <x:v>Oil smoothing 319</x:v>
      </x:c>
      <x:c r="H11" s="89" t="str">
        <x:v>Rim/bounce 335–339</x:v>
      </x:c>
      <x:c r="I11" s="89" t="str">
        <x:v>Split finish 329</x:v>
      </x:c>
      <x:c r="J11" s="89" t="str">
        <x:v>357</x:v>
      </x:c>
    </x:row>
    <x:row r="12">
      <x:c r="A12" s="89" t="str">
        <x:v>Five-model batch</x:v>
      </x:c>
      <x:c r="B12" s="89" t="str">
        <x:v>Серийный процесс</x:v>
      </x:c>
      <x:c r="C12" s="89" t="str">
        <x:v>One primer</x:v>
      </x:c>
      <x:c r="D12" s="89" t="str">
        <x:v>One main colour for all</x:v>
      </x:c>
      <x:c r="E12" s="89" t="str">
        <x:v>One secondary colour for all</x:v>
      </x:c>
      <x:c r="F12" s="89" t="str">
        <x:v>Details model by model</x:v>
      </x:c>
      <x:c r="G12" s="89" t="str">
        <x:v>Filter/weather all</x:v>
      </x:c>
      <x:c r="H12" s="89" t="str">
        <x:v>Faces and weapons last</x:v>
      </x:c>
      <x:c r="I12" s="89" t="str">
        <x:v>Varnish as group</x:v>
      </x:c>
      <x:c r="J12" s="89" t="str">
        <x:v>358</x:v>
      </x:c>
    </x:row>
    <x:row r="13">
      <x:c r="A13" t="str">
        <x:v>Demon Prince — current project</x:v>
      </x:c>
      <x:c r="B13" t="str">
        <x:v>Project workflow</x:v>
      </x:c>
      <x:c r="C13" t="str">
        <x:v>Oil shadows complete → 391–392</x:v>
      </x:c>
      <x:c r="D13" t="str">
        <x:v>Skin recovery 391–395</x:v>
      </x:c>
      <x:c r="E13" t="str">
        <x:v>Face/mouth/horns/wings 396–406</x:v>
      </x:c>
      <x:c r="F13" t="str">
        <x:v>Chitin/armour/magic 407–416</x:v>
      </x:c>
      <x:c r="G13" t="str">
        <x:v>Dust and bounce 417–418</x:v>
      </x:c>
      <x:c r="H13" t="str">
        <x:v>Final hierarchy 419</x:v>
      </x:c>
      <x:c r="I13" t="str">
        <x:v>Finish map 420</x:v>
      </x:c>
      <x:c r="J13" t="str">
        <x:v>391–420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198a0f6b0e04da8"/>
  </x:tableParts>
</x:worksheet>
</file>

<file path=xl/worksheets/sheet4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28" hidden="0" customWidth="1"/>
    <x:col min="4" max="4" width="13" hidden="0" customWidth="1"/>
    <x:col min="5" max="5" width="25" hidden="0" customWidth="1"/>
    <x:col min="6" max="6" width="45" hidden="0" customWidth="1"/>
    <x:col min="7" max="7" width="46" hidden="0" customWidth="1"/>
    <x:col min="8" max="8" width="15" hidden="0" customWidth="1"/>
    <x:col min="9" max="9" width="18" hidden="0" customWidth="1"/>
    <x:col min="10" max="10" width="18" hidden="0" customWidth="1"/>
    <x:col min="11" max="11" width="16" hidden="0" customWidth="1"/>
    <x:col min="12" max="12" width="48" hidden="0" customWidth="1"/>
    <x:col min="13" max="13" width="31" hidden="0" customWidth="1"/>
    <x:col min="14" max="14" width="44" hidden="0" customWidth="1"/>
    <x:col min="15" max="15" width="14" hidden="0" customWidth="1"/>
    <x:col min="16" max="16" width="48" hidden="0" customWidth="1"/>
    <x:col min="17" max="17" width="31" hidden="0" customWidth="1"/>
    <x:col min="18" max="18" width="48" hidden="0" customWidth="1"/>
  </x:cols>
  <x:sheetData>
    <x:row r="1" ht="38" customHeight="1">
      <x:c r="A1" s="522" t="str">
        <x:v>Тестовые карты: аэрограф, глазури и новые рецепты</x:v>
      </x:c>
      <x:c r="B1" s="522"/>
      <x:c r="C1" s="522"/>
      <x:c r="D1" s="522"/>
      <x:c r="E1" s="522"/>
      <x:c r="F1" s="522"/>
      <x:c r="G1" s="522"/>
      <x:c r="H1" s="522"/>
      <x:c r="I1" s="522"/>
      <x:c r="J1" s="522"/>
      <x:c r="K1" s="522"/>
      <x:c r="L1" s="522"/>
      <x:c r="M1" s="522"/>
      <x:c r="N1" s="522"/>
      <x:c r="O1" s="522"/>
      <x:c r="P1" s="522"/>
      <x:c r="Q1" s="522"/>
      <x:c r="R1" s="522"/>
    </x:row>
    <x:row r="2" ht="42" customHeight="1">
      <x:c r="A2" s="525" t="str">
        <x:v>Каждый тест выполняется на той же подложке, что и модель. Оценки: 1 — неприемлемо, 3 — рабочий результат, 5 — полностью устраивает. Средняя оценка и статус рассчитываются автоматически.</x:v>
      </x:c>
      <x:c r="B2" s="525"/>
      <x:c r="C2" s="525"/>
      <x:c r="D2" s="525"/>
      <x:c r="E2" s="525"/>
      <x:c r="F2" s="525"/>
      <x:c r="G2" s="525"/>
      <x:c r="H2" s="525"/>
      <x:c r="I2" s="525"/>
      <x:c r="J2" s="525"/>
      <x:c r="K2" s="525"/>
      <x:c r="L2" s="525"/>
      <x:c r="M2" s="525"/>
      <x:c r="N2" s="525"/>
      <x:c r="O2" s="525"/>
      <x:c r="P2" s="525"/>
      <x:c r="Q2" s="525"/>
      <x:c r="R2" s="525"/>
    </x:row>
    <x:row r="4">
      <x:c r="A4" s="532" t="str">
        <x:v>Всего тестов</x:v>
      </x:c>
      <x:c r="B4" s="534" t="n">
        <x:f>COUNTA(C8:C31)</x:f>
        <x:v>0</x:v>
      </x:c>
      <x:c r="C4" s="532" t="str">
        <x:v>PASS</x:v>
      </x:c>
      <x:c r="D4" s="532" t="n">
        <x:f>COUNTIF(O8:O31,"PASS")</x:f>
        <x:v>0</x:v>
      </x:c>
      <x:c r="E4" s="532" t="str">
        <x:v>RETEST</x:v>
      </x:c>
      <x:c r="F4" s="532" t="n">
        <x:f>COUNTIF(O8:O31,"RETEST")</x:f>
        <x:v>0</x:v>
      </x:c>
      <x:c r="G4" s="532" t="str">
        <x:v>REJECT</x:v>
      </x:c>
      <x:c r="H4" s="532" t="n">
        <x:f>COUNTIF(O8:O31,"REJECT")</x:f>
        <x:v>0</x:v>
      </x:c>
      <x:c r="I4" s="532" t="str">
        <x:v>Средняя оценка</x:v>
      </x:c>
      <x:c r="J4" s="535" t="str">
        <x:f>IF(COUNT(N8:N31)=0,"",SUM(N8:N31)/COUNT(N8:N31))</x:f>
      </x:c>
    </x:row>
    <x:row r="7" ht="48" customHeight="1">
      <x:c r="A7" s="530" t="str">
        <x:v>Test ID</x:v>
      </x:c>
      <x:c r="B7" s="530" t="str">
        <x:v>Дата</x:v>
      </x:c>
      <x:c r="C7" s="530" t="str">
        <x:v>Recipe ID</x:v>
      </x:c>
      <x:c r="D7" s="530" t="str">
        <x:v>Объект/ложка</x:v>
      </x:c>
      <x:c r="E7" s="530" t="str">
        <x:v>Краска или смесь</x:v>
      </x:c>
      <x:c r="F7" s="530" t="str">
        <x:v>Грунт</x:v>
      </x:c>
      <x:c r="G7" s="530" t="str">
        <x:v>Метод</x:v>
      </x:c>
      <x:c r="H7" s="530" t="str">
        <x:v>Сопло, мм</x:v>
      </x:c>
      <x:c r="I7" s="530" t="str">
        <x:v>PSI</x:v>
      </x:c>
      <x:c r="J7" s="530" t="str">
        <x:v>Paint:thinner</x:v>
      </x:c>
      <x:c r="K7" s="530" t="str">
        <x:v>Укрывистость 1–5</x:v>
      </x:c>
      <x:c r="L7" s="530" t="str">
        <x:v>Гладкость 1–5</x:v>
      </x:c>
      <x:c r="M7" s="530" t="str">
        <x:v>Контроль/контраст 1–5</x:v>
      </x:c>
      <x:c r="N7" s="530" t="str">
        <x:v>Средняя</x:v>
      </x:c>
      <x:c r="O7" s="530" t="str">
        <x:v>Итог</x:v>
      </x:c>
      <x:c r="P7" s="530" t="str">
        <x:v>Следующая коррекция</x:v>
      </x:c>
      <x:c r="Q7" s="530" t="str">
        <x:v>Фото/ссылка</x:v>
      </x:c>
      <x:c r="R7" s="530" t="str">
        <x:v>Примечание</x:v>
      </x:c>
    </x:row>
    <x:row r="8">
      <x:c r="A8" s="90" t="str">
        <x:v>T001</x:v>
      </x:c>
      <x:c r="B8" s="536"/>
      <x:c r="C8" s="537"/>
      <x:c r="D8" s="89"/>
      <x:c r="E8" s="89"/>
      <x:c r="F8" s="89"/>
      <x:c r="G8" s="89"/>
      <x:c r="H8" s="90"/>
      <x:c r="I8" s="90"/>
      <x:c r="J8" s="89"/>
      <x:c r="K8" s="90"/>
      <x:c r="L8" s="90"/>
      <x:c r="M8" s="90"/>
      <x:c r="N8" s="538" t="str">
        <x:f>IF(COUNT(K8:M8)=0,"",SUM(K8:M8)/COUNT(K8:M8))</x:f>
      </x:c>
      <x:c r="O8" s="90" t="str">
        <x:f>IF(N8="","",IF(N8&gt;=4,"PASS",IF(N8&gt;=3,"RETEST","REJECT")))</x:f>
      </x:c>
      <x:c r="P8" s="89"/>
      <x:c r="Q8" s="89"/>
      <x:c r="R8" s="89"/>
    </x:row>
    <x:row r="9">
      <x:c r="A9" s="90" t="str">
        <x:v>T002</x:v>
      </x:c>
      <x:c r="B9" s="536"/>
      <x:c r="C9" s="537"/>
      <x:c r="D9" s="89"/>
      <x:c r="E9" s="89"/>
      <x:c r="F9" s="89"/>
      <x:c r="G9" s="89"/>
      <x:c r="H9" s="90"/>
      <x:c r="I9" s="90"/>
      <x:c r="J9" s="89"/>
      <x:c r="K9" s="90"/>
      <x:c r="L9" s="90"/>
      <x:c r="M9" s="90"/>
      <x:c r="N9" s="538" t="str">
        <x:f>IF(COUNT(K9:M9)=0,"",SUM(K9:M9)/COUNT(K9:M9))</x:f>
      </x:c>
      <x:c r="O9" s="90" t="str">
        <x:f>IF(N9="","",IF(N9&gt;=4,"PASS",IF(N9&gt;=3,"RETEST","REJECT")))</x:f>
      </x:c>
      <x:c r="P9" s="89"/>
      <x:c r="Q9" s="89"/>
      <x:c r="R9" s="89"/>
    </x:row>
    <x:row r="10">
      <x:c r="A10" s="90" t="str">
        <x:v>T003</x:v>
      </x:c>
      <x:c r="B10" s="536"/>
      <x:c r="C10" s="537"/>
      <x:c r="D10" s="89"/>
      <x:c r="E10" s="89"/>
      <x:c r="F10" s="89"/>
      <x:c r="G10" s="89"/>
      <x:c r="H10" s="90"/>
      <x:c r="I10" s="90"/>
      <x:c r="J10" s="89"/>
      <x:c r="K10" s="90"/>
      <x:c r="L10" s="90"/>
      <x:c r="M10" s="90"/>
      <x:c r="N10" s="538" t="str">
        <x:f>IF(COUNT(K10:M10)=0,"",SUM(K10:M10)/COUNT(K10:M10))</x:f>
      </x:c>
      <x:c r="O10" s="90" t="str">
        <x:f>IF(N10="","",IF(N10&gt;=4,"PASS",IF(N10&gt;=3,"RETEST","REJECT")))</x:f>
      </x:c>
      <x:c r="P10" s="89"/>
      <x:c r="Q10" s="89"/>
      <x:c r="R10" s="89"/>
    </x:row>
    <x:row r="11">
      <x:c r="A11" s="90" t="str">
        <x:v>T004</x:v>
      </x:c>
      <x:c r="B11" s="536"/>
      <x:c r="C11" s="537"/>
      <x:c r="D11" s="89"/>
      <x:c r="E11" s="89"/>
      <x:c r="F11" s="89"/>
      <x:c r="G11" s="89"/>
      <x:c r="H11" s="90"/>
      <x:c r="I11" s="90"/>
      <x:c r="J11" s="89"/>
      <x:c r="K11" s="90"/>
      <x:c r="L11" s="90"/>
      <x:c r="M11" s="90"/>
      <x:c r="N11" s="538" t="str">
        <x:f>IF(COUNT(K11:M11)=0,"",SUM(K11:M11)/COUNT(K11:M11))</x:f>
      </x:c>
      <x:c r="O11" s="90" t="str">
        <x:f>IF(N11="","",IF(N11&gt;=4,"PASS",IF(N11&gt;=3,"RETEST","REJECT")))</x:f>
      </x:c>
      <x:c r="P11" s="89"/>
      <x:c r="Q11" s="89"/>
      <x:c r="R11" s="89"/>
    </x:row>
    <x:row r="12">
      <x:c r="A12" s="90" t="str">
        <x:v>T005</x:v>
      </x:c>
      <x:c r="B12" s="536"/>
      <x:c r="C12" s="537"/>
      <x:c r="D12" s="89"/>
      <x:c r="E12" s="89"/>
      <x:c r="F12" s="89"/>
      <x:c r="G12" s="89"/>
      <x:c r="H12" s="90"/>
      <x:c r="I12" s="90"/>
      <x:c r="J12" s="89"/>
      <x:c r="K12" s="90"/>
      <x:c r="L12" s="90"/>
      <x:c r="M12" s="90"/>
      <x:c r="N12" s="538" t="str">
        <x:f>IF(COUNT(K12:M12)=0,"",SUM(K12:M12)/COUNT(K12:M12))</x:f>
      </x:c>
      <x:c r="O12" s="90" t="str">
        <x:f>IF(N12="","",IF(N12&gt;=4,"PASS",IF(N12&gt;=3,"RETEST","REJECT")))</x:f>
      </x:c>
      <x:c r="P12" s="89"/>
      <x:c r="Q12" s="89"/>
      <x:c r="R12" s="89"/>
    </x:row>
    <x:row r="13">
      <x:c r="A13" s="90" t="str">
        <x:v>T006</x:v>
      </x:c>
      <x:c r="B13" s="536"/>
      <x:c r="C13" s="537"/>
      <x:c r="D13" s="89"/>
      <x:c r="E13" s="89"/>
      <x:c r="F13" s="89"/>
      <x:c r="G13" s="89"/>
      <x:c r="H13" s="90"/>
      <x:c r="I13" s="90"/>
      <x:c r="J13" s="89"/>
      <x:c r="K13" s="90"/>
      <x:c r="L13" s="90"/>
      <x:c r="M13" s="90"/>
      <x:c r="N13" s="538" t="str">
        <x:f>IF(COUNT(K13:M13)=0,"",SUM(K13:M13)/COUNT(K13:M13))</x:f>
      </x:c>
      <x:c r="O13" s="90" t="str">
        <x:f>IF(N13="","",IF(N13&gt;=4,"PASS",IF(N13&gt;=3,"RETEST","REJECT")))</x:f>
      </x:c>
      <x:c r="P13" s="89"/>
      <x:c r="Q13" s="89"/>
      <x:c r="R13" s="89"/>
    </x:row>
    <x:row r="14">
      <x:c r="A14" s="90" t="str">
        <x:v>T007</x:v>
      </x:c>
      <x:c r="B14" s="536"/>
      <x:c r="C14" s="537"/>
      <x:c r="D14" s="89"/>
      <x:c r="E14" s="89"/>
      <x:c r="F14" s="89"/>
      <x:c r="G14" s="89"/>
      <x:c r="H14" s="90"/>
      <x:c r="I14" s="90"/>
      <x:c r="J14" s="89"/>
      <x:c r="K14" s="90"/>
      <x:c r="L14" s="90"/>
      <x:c r="M14" s="90"/>
      <x:c r="N14" s="538" t="str">
        <x:f>IF(COUNT(K14:M14)=0,"",SUM(K14:M14)/COUNT(K14:M14))</x:f>
      </x:c>
      <x:c r="O14" s="90" t="str">
        <x:f>IF(N14="","",IF(N14&gt;=4,"PASS",IF(N14&gt;=3,"RETEST","REJECT")))</x:f>
      </x:c>
      <x:c r="P14" s="89"/>
      <x:c r="Q14" s="89"/>
      <x:c r="R14" s="89"/>
    </x:row>
    <x:row r="15">
      <x:c r="A15" s="90" t="str">
        <x:v>T008</x:v>
      </x:c>
      <x:c r="B15" s="536"/>
      <x:c r="C15" s="537"/>
      <x:c r="D15" s="89"/>
      <x:c r="E15" s="89"/>
      <x:c r="F15" s="89"/>
      <x:c r="G15" s="89"/>
      <x:c r="H15" s="90"/>
      <x:c r="I15" s="90"/>
      <x:c r="J15" s="89"/>
      <x:c r="K15" s="90"/>
      <x:c r="L15" s="90"/>
      <x:c r="M15" s="90"/>
      <x:c r="N15" s="538" t="str">
        <x:f>IF(COUNT(K15:M15)=0,"",SUM(K15:M15)/COUNT(K15:M15))</x:f>
      </x:c>
      <x:c r="O15" s="90" t="str">
        <x:f>IF(N15="","",IF(N15&gt;=4,"PASS",IF(N15&gt;=3,"RETEST","REJECT")))</x:f>
      </x:c>
      <x:c r="P15" s="89"/>
      <x:c r="Q15" s="89"/>
      <x:c r="R15" s="89"/>
    </x:row>
    <x:row r="16">
      <x:c r="A16" s="90" t="str">
        <x:v>T009</x:v>
      </x:c>
      <x:c r="B16" s="536"/>
      <x:c r="C16" s="537"/>
      <x:c r="D16" s="89"/>
      <x:c r="E16" s="89"/>
      <x:c r="F16" s="89"/>
      <x:c r="G16" s="89"/>
      <x:c r="H16" s="90"/>
      <x:c r="I16" s="90"/>
      <x:c r="J16" s="89"/>
      <x:c r="K16" s="90"/>
      <x:c r="L16" s="90"/>
      <x:c r="M16" s="90"/>
      <x:c r="N16" s="538" t="str">
        <x:f>IF(COUNT(K16:M16)=0,"",SUM(K16:M16)/COUNT(K16:M16))</x:f>
      </x:c>
      <x:c r="O16" s="90" t="str">
        <x:f>IF(N16="","",IF(N16&gt;=4,"PASS",IF(N16&gt;=3,"RETEST","REJECT")))</x:f>
      </x:c>
      <x:c r="P16" s="89"/>
      <x:c r="Q16" s="89"/>
      <x:c r="R16" s="89"/>
    </x:row>
    <x:row r="17">
      <x:c r="A17" s="90" t="str">
        <x:v>T010</x:v>
      </x:c>
      <x:c r="B17" s="536"/>
      <x:c r="C17" s="537"/>
      <x:c r="D17" s="89"/>
      <x:c r="E17" s="89"/>
      <x:c r="F17" s="89"/>
      <x:c r="G17" s="89"/>
      <x:c r="H17" s="90"/>
      <x:c r="I17" s="90"/>
      <x:c r="J17" s="89"/>
      <x:c r="K17" s="90"/>
      <x:c r="L17" s="90"/>
      <x:c r="M17" s="90"/>
      <x:c r="N17" s="538" t="str">
        <x:f>IF(COUNT(K17:M17)=0,"",SUM(K17:M17)/COUNT(K17:M17))</x:f>
      </x:c>
      <x:c r="O17" s="90" t="str">
        <x:f>IF(N17="","",IF(N17&gt;=4,"PASS",IF(N17&gt;=3,"RETEST","REJECT")))</x:f>
      </x:c>
      <x:c r="P17" s="89"/>
      <x:c r="Q17" s="89"/>
      <x:c r="R17" s="89"/>
    </x:row>
    <x:row r="18">
      <x:c r="A18" s="90" t="str">
        <x:v>T011</x:v>
      </x:c>
      <x:c r="B18" s="536"/>
      <x:c r="C18" s="537"/>
      <x:c r="D18" s="89"/>
      <x:c r="E18" s="89"/>
      <x:c r="F18" s="89"/>
      <x:c r="G18" s="89"/>
      <x:c r="H18" s="90"/>
      <x:c r="I18" s="90"/>
      <x:c r="J18" s="89"/>
      <x:c r="K18" s="90"/>
      <x:c r="L18" s="90"/>
      <x:c r="M18" s="90"/>
      <x:c r="N18" s="538" t="str">
        <x:f>IF(COUNT(K18:M18)=0,"",SUM(K18:M18)/COUNT(K18:M18))</x:f>
      </x:c>
      <x:c r="O18" s="90" t="str">
        <x:f>IF(N18="","",IF(N18&gt;=4,"PASS",IF(N18&gt;=3,"RETEST","REJECT")))</x:f>
      </x:c>
      <x:c r="P18" s="89"/>
      <x:c r="Q18" s="89"/>
      <x:c r="R18" s="89"/>
    </x:row>
    <x:row r="19">
      <x:c r="A19" s="90" t="str">
        <x:v>T012</x:v>
      </x:c>
      <x:c r="B19" s="536"/>
      <x:c r="C19" s="537"/>
      <x:c r="D19" s="89"/>
      <x:c r="E19" s="89"/>
      <x:c r="F19" s="89"/>
      <x:c r="G19" s="89"/>
      <x:c r="H19" s="90"/>
      <x:c r="I19" s="90"/>
      <x:c r="J19" s="89"/>
      <x:c r="K19" s="90"/>
      <x:c r="L19" s="90"/>
      <x:c r="M19" s="90"/>
      <x:c r="N19" s="538" t="str">
        <x:f>IF(COUNT(K19:M19)=0,"",SUM(K19:M19)/COUNT(K19:M19))</x:f>
      </x:c>
      <x:c r="O19" s="90" t="str">
        <x:f>IF(N19="","",IF(N19&gt;=4,"PASS",IF(N19&gt;=3,"RETEST","REJECT")))</x:f>
      </x:c>
      <x:c r="P19" s="89"/>
      <x:c r="Q19" s="89"/>
      <x:c r="R19" s="89"/>
    </x:row>
    <x:row r="20">
      <x:c r="A20" s="90" t="str">
        <x:v>T013</x:v>
      </x:c>
      <x:c r="B20" s="536"/>
      <x:c r="C20" s="537"/>
      <x:c r="D20" s="89"/>
      <x:c r="E20" s="89"/>
      <x:c r="F20" s="89"/>
      <x:c r="G20" s="89"/>
      <x:c r="H20" s="90"/>
      <x:c r="I20" s="90"/>
      <x:c r="J20" s="89"/>
      <x:c r="K20" s="90"/>
      <x:c r="L20" s="90"/>
      <x:c r="M20" s="90"/>
      <x:c r="N20" s="538" t="str">
        <x:f>IF(COUNT(K20:M20)=0,"",SUM(K20:M20)/COUNT(K20:M20))</x:f>
      </x:c>
      <x:c r="O20" s="90" t="str">
        <x:f>IF(N20="","",IF(N20&gt;=4,"PASS",IF(N20&gt;=3,"RETEST","REJECT")))</x:f>
      </x:c>
      <x:c r="P20" s="89"/>
      <x:c r="Q20" s="89"/>
      <x:c r="R20" s="89"/>
    </x:row>
    <x:row r="21">
      <x:c r="A21" s="90" t="str">
        <x:v>T014</x:v>
      </x:c>
      <x:c r="B21" s="536"/>
      <x:c r="C21" s="537"/>
      <x:c r="D21" s="89"/>
      <x:c r="E21" s="89"/>
      <x:c r="F21" s="89"/>
      <x:c r="G21" s="89"/>
      <x:c r="H21" s="90"/>
      <x:c r="I21" s="90"/>
      <x:c r="J21" s="89"/>
      <x:c r="K21" s="90"/>
      <x:c r="L21" s="90"/>
      <x:c r="M21" s="90"/>
      <x:c r="N21" s="538" t="str">
        <x:f>IF(COUNT(K21:M21)=0,"",SUM(K21:M21)/COUNT(K21:M21))</x:f>
      </x:c>
      <x:c r="O21" s="90" t="str">
        <x:f>IF(N21="","",IF(N21&gt;=4,"PASS",IF(N21&gt;=3,"RETEST","REJECT")))</x:f>
      </x:c>
      <x:c r="P21" s="89"/>
      <x:c r="Q21" s="89"/>
      <x:c r="R21" s="89"/>
    </x:row>
    <x:row r="22">
      <x:c r="A22" s="90" t="str">
        <x:v>T015</x:v>
      </x:c>
      <x:c r="B22" s="536"/>
      <x:c r="C22" s="537"/>
      <x:c r="D22" s="89"/>
      <x:c r="E22" s="89"/>
      <x:c r="F22" s="89"/>
      <x:c r="G22" s="89"/>
      <x:c r="H22" s="90"/>
      <x:c r="I22" s="90"/>
      <x:c r="J22" s="89"/>
      <x:c r="K22" s="90"/>
      <x:c r="L22" s="90"/>
      <x:c r="M22" s="90"/>
      <x:c r="N22" s="538" t="str">
        <x:f>IF(COUNT(K22:M22)=0,"",SUM(K22:M22)/COUNT(K22:M22))</x:f>
      </x:c>
      <x:c r="O22" s="90" t="str">
        <x:f>IF(N22="","",IF(N22&gt;=4,"PASS",IF(N22&gt;=3,"RETEST","REJECT")))</x:f>
      </x:c>
      <x:c r="P22" s="89"/>
      <x:c r="Q22" s="89"/>
      <x:c r="R22" s="89"/>
    </x:row>
    <x:row r="23">
      <x:c r="A23" s="90" t="str">
        <x:v>T016</x:v>
      </x:c>
      <x:c r="B23" s="536"/>
      <x:c r="C23" s="537"/>
      <x:c r="D23" s="89"/>
      <x:c r="E23" s="89"/>
      <x:c r="F23" s="89"/>
      <x:c r="G23" s="89"/>
      <x:c r="H23" s="90"/>
      <x:c r="I23" s="90"/>
      <x:c r="J23" s="89"/>
      <x:c r="K23" s="90"/>
      <x:c r="L23" s="90"/>
      <x:c r="M23" s="90"/>
      <x:c r="N23" s="538" t="str">
        <x:f>IF(COUNT(K23:M23)=0,"",SUM(K23:M23)/COUNT(K23:M23))</x:f>
      </x:c>
      <x:c r="O23" s="90" t="str">
        <x:f>IF(N23="","",IF(N23&gt;=4,"PASS",IF(N23&gt;=3,"RETEST","REJECT")))</x:f>
      </x:c>
      <x:c r="P23" s="89"/>
      <x:c r="Q23" s="89"/>
      <x:c r="R23" s="89"/>
    </x:row>
    <x:row r="24">
      <x:c r="A24" s="90" t="str">
        <x:v>T017</x:v>
      </x:c>
      <x:c r="B24" s="536"/>
      <x:c r="C24" s="537"/>
      <x:c r="D24" s="89"/>
      <x:c r="E24" s="89"/>
      <x:c r="F24" s="89"/>
      <x:c r="G24" s="89"/>
      <x:c r="H24" s="90"/>
      <x:c r="I24" s="90"/>
      <x:c r="J24" s="89"/>
      <x:c r="K24" s="90"/>
      <x:c r="L24" s="90"/>
      <x:c r="M24" s="90"/>
      <x:c r="N24" s="538" t="str">
        <x:f>IF(COUNT(K24:M24)=0,"",SUM(K24:M24)/COUNT(K24:M24))</x:f>
      </x:c>
      <x:c r="O24" s="90" t="str">
        <x:f>IF(N24="","",IF(N24&gt;=4,"PASS",IF(N24&gt;=3,"RETEST","REJECT")))</x:f>
      </x:c>
      <x:c r="P24" s="89"/>
      <x:c r="Q24" s="89"/>
      <x:c r="R24" s="89"/>
    </x:row>
    <x:row r="25">
      <x:c r="A25" s="90" t="str">
        <x:v>T018</x:v>
      </x:c>
      <x:c r="B25" s="536"/>
      <x:c r="C25" s="537"/>
      <x:c r="D25" s="89"/>
      <x:c r="E25" s="89"/>
      <x:c r="F25" s="89"/>
      <x:c r="G25" s="89"/>
      <x:c r="H25" s="90"/>
      <x:c r="I25" s="90"/>
      <x:c r="J25" s="89"/>
      <x:c r="K25" s="90"/>
      <x:c r="L25" s="90"/>
      <x:c r="M25" s="90"/>
      <x:c r="N25" s="538" t="str">
        <x:f>IF(COUNT(K25:M25)=0,"",SUM(K25:M25)/COUNT(K25:M25))</x:f>
      </x:c>
      <x:c r="O25" s="90" t="str">
        <x:f>IF(N25="","",IF(N25&gt;=4,"PASS",IF(N25&gt;=3,"RETEST","REJECT")))</x:f>
      </x:c>
      <x:c r="P25" s="89"/>
      <x:c r="Q25" s="89"/>
      <x:c r="R25" s="89"/>
    </x:row>
    <x:row r="26">
      <x:c r="A26" s="90" t="str">
        <x:v>T019</x:v>
      </x:c>
      <x:c r="B26" s="536"/>
      <x:c r="C26" s="537"/>
      <x:c r="D26" s="89"/>
      <x:c r="E26" s="89"/>
      <x:c r="F26" s="89"/>
      <x:c r="G26" s="89"/>
      <x:c r="H26" s="90"/>
      <x:c r="I26" s="90"/>
      <x:c r="J26" s="89"/>
      <x:c r="K26" s="90"/>
      <x:c r="L26" s="90"/>
      <x:c r="M26" s="90"/>
      <x:c r="N26" s="538" t="str">
        <x:f>IF(COUNT(K26:M26)=0,"",SUM(K26:M26)/COUNT(K26:M26))</x:f>
      </x:c>
      <x:c r="O26" s="90" t="str">
        <x:f>IF(N26="","",IF(N26&gt;=4,"PASS",IF(N26&gt;=3,"RETEST","REJECT")))</x:f>
      </x:c>
      <x:c r="P26" s="89"/>
      <x:c r="Q26" s="89"/>
      <x:c r="R26" s="89"/>
    </x:row>
    <x:row r="27">
      <x:c r="A27" s="90" t="str">
        <x:v>T020</x:v>
      </x:c>
      <x:c r="B27" s="536"/>
      <x:c r="C27" s="537"/>
      <x:c r="D27" s="89"/>
      <x:c r="E27" s="89"/>
      <x:c r="F27" s="89"/>
      <x:c r="G27" s="89"/>
      <x:c r="H27" s="90"/>
      <x:c r="I27" s="90"/>
      <x:c r="J27" s="89"/>
      <x:c r="K27" s="90"/>
      <x:c r="L27" s="90"/>
      <x:c r="M27" s="90"/>
      <x:c r="N27" s="538" t="str">
        <x:f>IF(COUNT(K27:M27)=0,"",SUM(K27:M27)/COUNT(K27:M27))</x:f>
      </x:c>
      <x:c r="O27" s="90" t="str">
        <x:f>IF(N27="","",IF(N27&gt;=4,"PASS",IF(N27&gt;=3,"RETEST","REJECT")))</x:f>
      </x:c>
      <x:c r="P27" s="89"/>
      <x:c r="Q27" s="89"/>
      <x:c r="R27" s="89"/>
    </x:row>
    <x:row r="28">
      <x:c r="A28" s="90" t="str">
        <x:v>T021</x:v>
      </x:c>
      <x:c r="B28" s="536"/>
      <x:c r="C28" s="537"/>
      <x:c r="D28" s="89"/>
      <x:c r="E28" s="89"/>
      <x:c r="F28" s="89"/>
      <x:c r="G28" s="89"/>
      <x:c r="H28" s="90"/>
      <x:c r="I28" s="90"/>
      <x:c r="J28" s="89"/>
      <x:c r="K28" s="90"/>
      <x:c r="L28" s="90"/>
      <x:c r="M28" s="90"/>
      <x:c r="N28" s="538" t="str">
        <x:f>IF(COUNT(K28:M28)=0,"",SUM(K28:M28)/COUNT(K28:M28))</x:f>
      </x:c>
      <x:c r="O28" s="90" t="str">
        <x:f>IF(N28="","",IF(N28&gt;=4,"PASS",IF(N28&gt;=3,"RETEST","REJECT")))</x:f>
      </x:c>
      <x:c r="P28" s="89"/>
      <x:c r="Q28" s="89"/>
      <x:c r="R28" s="89"/>
    </x:row>
    <x:row r="29">
      <x:c r="A29" s="90" t="str">
        <x:v>T022</x:v>
      </x:c>
      <x:c r="B29" s="536"/>
      <x:c r="C29" s="537"/>
      <x:c r="D29" s="89"/>
      <x:c r="E29" s="89"/>
      <x:c r="F29" s="89"/>
      <x:c r="G29" s="89"/>
      <x:c r="H29" s="90"/>
      <x:c r="I29" s="90"/>
      <x:c r="J29" s="89"/>
      <x:c r="K29" s="90"/>
      <x:c r="L29" s="90"/>
      <x:c r="M29" s="90"/>
      <x:c r="N29" s="538" t="str">
        <x:f>IF(COUNT(K29:M29)=0,"",SUM(K29:M29)/COUNT(K29:M29))</x:f>
      </x:c>
      <x:c r="O29" s="90" t="str">
        <x:f>IF(N29="","",IF(N29&gt;=4,"PASS",IF(N29&gt;=3,"RETEST","REJECT")))</x:f>
      </x:c>
      <x:c r="P29" s="89"/>
      <x:c r="Q29" s="89"/>
      <x:c r="R29" s="89"/>
    </x:row>
    <x:row r="30">
      <x:c r="A30" s="90" t="str">
        <x:v>T023</x:v>
      </x:c>
      <x:c r="B30" s="536"/>
      <x:c r="C30" s="537"/>
      <x:c r="D30" s="89"/>
      <x:c r="E30" s="89"/>
      <x:c r="F30" s="89"/>
      <x:c r="G30" s="89"/>
      <x:c r="H30" s="90"/>
      <x:c r="I30" s="90"/>
      <x:c r="J30" s="89"/>
      <x:c r="K30" s="90"/>
      <x:c r="L30" s="90"/>
      <x:c r="M30" s="90"/>
      <x:c r="N30" s="538" t="str">
        <x:f>IF(COUNT(K30:M30)=0,"",SUM(K30:M30)/COUNT(K30:M30))</x:f>
      </x:c>
      <x:c r="O30" s="90" t="str">
        <x:f>IF(N30="","",IF(N30&gt;=4,"PASS",IF(N30&gt;=3,"RETEST","REJECT")))</x:f>
      </x:c>
      <x:c r="P30" s="89"/>
      <x:c r="Q30" s="89"/>
      <x:c r="R30" s="89"/>
    </x:row>
    <x:row r="31">
      <x:c r="A31" s="90" t="str">
        <x:v>T024</x:v>
      </x:c>
      <x:c r="B31" s="536"/>
      <x:c r="C31" s="537"/>
      <x:c r="D31" s="89"/>
      <x:c r="E31" s="89"/>
      <x:c r="F31" s="89"/>
      <x:c r="G31" s="89"/>
      <x:c r="H31" s="90"/>
      <x:c r="I31" s="90"/>
      <x:c r="J31" s="89"/>
      <x:c r="K31" s="90"/>
      <x:c r="L31" s="90"/>
      <x:c r="M31" s="90"/>
      <x:c r="N31" s="538" t="str">
        <x:f>IF(COUNT(K31:M31)=0,"",SUM(K31:M31)/COUNT(K31:M31))</x:f>
      </x:c>
      <x:c r="O31" s="90" t="str">
        <x:f>IF(N31="","",IF(N31&gt;=4,"PASS",IF(N31&gt;=3,"RETEST","REJECT")))</x:f>
      </x:c>
      <x:c r="P31" s="89"/>
      <x:c r="Q31" s="89"/>
      <x:c r="R31" s="89"/>
    </x:row>
    <x:row r="35" ht="30" customHeight="1">
      <x:c r="A35" s="571" t="str">
        <x:v>Журнал фактического применения рецептов</x:v>
      </x:c>
      <x:c r="B35" s="571"/>
      <x:c r="C35" s="571"/>
      <x:c r="D35" s="571"/>
      <x:c r="E35" s="571"/>
      <x:c r="F35" s="571"/>
      <x:c r="G35" s="571"/>
      <x:c r="H35" s="571"/>
      <x:c r="I35" s="571"/>
      <x:c r="J35" s="571"/>
      <x:c r="K35" s="571"/>
      <x:c r="L35" s="571"/>
      <x:c r="M35" s="571"/>
      <x:c r="N35" s="571"/>
    </x:row>
    <x:row r="36" ht="44" customHeight="1">
      <x:c r="A36" s="567" t="str">
        <x:v>Entry ID</x:v>
      </x:c>
      <x:c r="B36" s="567" t="str">
        <x:v>Дата</x:v>
      </x:c>
      <x:c r="C36" s="567" t="str">
        <x:v>Модель/юнит</x:v>
      </x:c>
      <x:c r="D36" s="567" t="str">
        <x:v>Recipe ID</x:v>
      </x:c>
      <x:c r="E36" s="567" t="str">
        <x:v>Элемент</x:v>
      </x:c>
      <x:c r="F36" s="567" t="str">
        <x:v>Фактические краски</x:v>
      </x:c>
      <x:c r="G36" s="567" t="str">
        <x:v>Отклонение от рецепта</x:v>
      </x:c>
      <x:c r="H36" s="567" t="str">
        <x:v>Время, мин</x:v>
      </x:c>
      <x:c r="I36" s="567" t="str">
        <x:v>Качество 1–5</x:v>
      </x:c>
      <x:c r="J36" s="567" t="str">
        <x:v>Повторяемость 1–5</x:v>
      </x:c>
      <x:c r="K36" s="567" t="str">
        <x:v>Итог</x:v>
      </x:c>
      <x:c r="L36" s="567" t="str">
        <x:v>Следующее изменение</x:v>
      </x:c>
      <x:c r="M36" s="567" t="str">
        <x:v>Фото/ссылка</x:v>
      </x:c>
      <x:c r="N36" s="567" t="str">
        <x:v>Примечание</x:v>
      </x:c>
    </x:row>
    <x:row r="37">
      <x:c r="A37" s="89" t="str">
        <x:v>A001</x:v>
      </x:c>
      <x:c r="B37" s="536"/>
      <x:c r="C37" s="89" t="str">
        <x:v>Демон-принц</x:v>
      </x:c>
      <x:c r="D37" s="537" t="n">
        <x:v>451</x:v>
      </x:c>
      <x:c r="E37" s="89" t="str">
        <x:v>Тестовый участок и широкие плоскости после масла</x:v>
      </x:c>
      <x:c r="F37" s="89"/>
      <x:c r="G37" s="89" t="str">
        <x:v>Масляная проливка завершена; сначала проверить совместимость и тестовую glaze, затем перейти к S01</x:v>
      </x:c>
      <x:c r="H37" s="537"/>
      <x:c r="I37" s="89"/>
      <x:c r="J37" s="89"/>
      <x:c r="K37" s="89" t="str">
        <x:f>IF(COUNT(I37:J37)=0,"",IF(MIN(I37:J37)&gt;=4,"CONFIRMED",IF(MIN(I37:J37)&gt;=3,"REPEAT","REWORK")))</x:f>
      </x:c>
      <x:c r="L37" s="89" t="str">
        <x:v>Зафиксировать фактический midtone, ratio, метод, сохранение тени и ссылку на фронтальное фото</x:v>
      </x:c>
      <x:c r="M37" s="89"/>
      <x:c r="N37" s="89"/>
    </x:row>
    <x:row r="38">
      <x:c r="A38" s="89" t="str">
        <x:v>A002</x:v>
      </x:c>
      <x:c r="B38" s="536"/>
      <x:c r="C38" s="89" t="str">
        <x:v>Демон-принц</x:v>
      </x:c>
      <x:c r="D38" s="537" t="n">
        <x:v>482</x:v>
      </x:c>
      <x:c r="E38" s="89" t="str">
        <x:v>Тест анатомической границы S02</x:v>
      </x:c>
      <x:c r="F38" s="89"/>
      <x:c r="G38" s="89" t="str">
        <x:v>Подготовлено, но заблокировано до CLOSE S01; проверить естественную границу у грудины или под дельтой</x:v>
      </x:c>
      <x:c r="H38" s="537"/>
      <x:c r="I38" s="89"/>
      <x:c r="J38" s="89"/>
      <x:c r="K38" s="89" t="str">
        <x:f>IF(COUNT(I38:J38)=0,"",IF(MIN(I38:J38)&gt;=4,"CONFIRMED",IF(MIN(I38:J38)&gt;=3,"REPEAT","REWORK")))</x:f>
      </x:c>
      <x:c r="L38" s="89" t="str">
        <x:v>После разблокировки записать shadow mix, мягкость линии и ссылку на чёрно-белое фото</x:v>
      </x:c>
      <x:c r="M38" s="89"/>
      <x:c r="N38" s="89"/>
    </x:row>
    <x:row r="39">
      <x:c r="A39" s="89" t="str">
        <x:v>A003</x:v>
      </x:c>
      <x:c r="B39" s="536"/>
      <x:c r="C39" s="89" t="str">
        <x:v>Демон-принц</x:v>
      </x:c>
      <x:c r="D39" s="537" t="n">
        <x:v>512</x:v>
      </x:c>
      <x:c r="E39" s="89" t="str">
        <x:v>Тест плотности stippling S03</x:v>
      </x:c>
      <x:c r="F39" s="89"/>
      <x:c r="G39" s="89" t="str">
        <x:v>Подготовлено и заблокировано до CLOSE S02; сравнить 20%, 40% и 60% покрытия на скрытом плече</x:v>
      </x:c>
      <x:c r="H39" s="537"/>
      <x:c r="I39" s="89"/>
      <x:c r="J39" s="89"/>
      <x:c r="K39" s="89" t="str">
        <x:f>IF(COUNT(I39:J39)=0,"",IF(MIN(I39:J39)&gt;=4,"CONFIRMED",IF(MIN(I39:J39)&gt;=3,"REPEAT","REWORK")))</x:f>
      </x:c>
      <x:c r="L39" s="89" t="str">
        <x:v>После разблокировки записать выбранную плотность, кисть, смеси и фото с игровой дистанции</x:v>
      </x:c>
      <x:c r="M39" s="89"/>
      <x:c r="N39" s="89"/>
    </x:row>
    <x:row r="40">
      <x:c r="A40" s="89" t="str">
        <x:v>A004</x:v>
      </x:c>
      <x:c r="B40" s="536"/>
      <x:c r="C40" s="89"/>
      <x:c r="D40" s="537"/>
      <x:c r="E40" s="89"/>
      <x:c r="F40" s="89"/>
      <x:c r="G40" s="89"/>
      <x:c r="H40" s="537"/>
      <x:c r="I40" s="89"/>
      <x:c r="J40" s="89"/>
      <x:c r="K40" s="89" t="str">
        <x:f>IF(COUNT(I40:J40)=0,"",IF(MIN(I40:J40)&gt;=4,"CONFIRMED",IF(MIN(I40:J40)&gt;=3,"REPEAT","REWORK")))</x:f>
      </x:c>
      <x:c r="L40" s="89"/>
      <x:c r="M40" s="89"/>
      <x:c r="N40" s="89"/>
    </x:row>
    <x:row r="41">
      <x:c r="A41" s="89" t="str">
        <x:v>A005</x:v>
      </x:c>
      <x:c r="B41" s="536"/>
      <x:c r="C41" s="89"/>
      <x:c r="D41" s="537"/>
      <x:c r="E41" s="89"/>
      <x:c r="F41" s="89"/>
      <x:c r="G41" s="89"/>
      <x:c r="H41" s="537"/>
      <x:c r="I41" s="89"/>
      <x:c r="J41" s="89"/>
      <x:c r="K41" s="89" t="str">
        <x:f>IF(COUNT(I41:J41)=0,"",IF(MIN(I41:J41)&gt;=4,"CONFIRMED",IF(MIN(I41:J41)&gt;=3,"REPEAT","REWORK")))</x:f>
      </x:c>
      <x:c r="L41" s="89"/>
      <x:c r="M41" s="89"/>
      <x:c r="N41" s="89"/>
    </x:row>
    <x:row r="42">
      <x:c r="A42" s="89" t="str">
        <x:v>A006</x:v>
      </x:c>
      <x:c r="B42" s="536"/>
      <x:c r="C42" s="89"/>
      <x:c r="D42" s="537"/>
      <x:c r="E42" s="89"/>
      <x:c r="F42" s="89"/>
      <x:c r="G42" s="89"/>
      <x:c r="H42" s="537"/>
      <x:c r="I42" s="89"/>
      <x:c r="J42" s="89"/>
      <x:c r="K42" s="89" t="str">
        <x:f>IF(COUNT(I42:J42)=0,"",IF(MIN(I42:J42)&gt;=4,"CONFIRMED",IF(MIN(I42:J42)&gt;=3,"REPEAT","REWORK")))</x:f>
      </x:c>
      <x:c r="L42" s="89"/>
      <x:c r="M42" s="89"/>
      <x:c r="N42" s="89"/>
    </x:row>
    <x:row r="43">
      <x:c r="A43" s="89" t="str">
        <x:v>A007</x:v>
      </x:c>
      <x:c r="B43" s="536"/>
      <x:c r="C43" s="89"/>
      <x:c r="D43" s="537"/>
      <x:c r="E43" s="89"/>
      <x:c r="F43" s="89"/>
      <x:c r="G43" s="89"/>
      <x:c r="H43" s="537"/>
      <x:c r="I43" s="89"/>
      <x:c r="J43" s="89"/>
      <x:c r="K43" s="89" t="str">
        <x:f>IF(COUNT(I43:J43)=0,"",IF(MIN(I43:J43)&gt;=4,"CONFIRMED",IF(MIN(I43:J43)&gt;=3,"REPEAT","REWORK")))</x:f>
      </x:c>
      <x:c r="L43" s="89"/>
      <x:c r="M43" s="89"/>
      <x:c r="N43" s="89"/>
    </x:row>
    <x:row r="44">
      <x:c r="A44" s="89" t="str">
        <x:v>A008</x:v>
      </x:c>
      <x:c r="B44" s="536"/>
      <x:c r="C44" s="89"/>
      <x:c r="D44" s="537"/>
      <x:c r="E44" s="89"/>
      <x:c r="F44" s="89"/>
      <x:c r="G44" s="89"/>
      <x:c r="H44" s="537"/>
      <x:c r="I44" s="89"/>
      <x:c r="J44" s="89"/>
      <x:c r="K44" s="89" t="str">
        <x:f>IF(COUNT(I44:J44)=0,"",IF(MIN(I44:J44)&gt;=4,"CONFIRMED",IF(MIN(I44:J44)&gt;=3,"REPEAT","REWORK")))</x:f>
      </x:c>
      <x:c r="L44" s="89"/>
      <x:c r="M44" s="89"/>
      <x:c r="N44" s="89"/>
    </x:row>
    <x:row r="45">
      <x:c r="A45" s="89" t="str">
        <x:v>A009</x:v>
      </x:c>
      <x:c r="B45" s="536"/>
      <x:c r="C45" s="89"/>
      <x:c r="D45" s="537"/>
      <x:c r="E45" s="89"/>
      <x:c r="F45" s="89"/>
      <x:c r="G45" s="89"/>
      <x:c r="H45" s="537"/>
      <x:c r="I45" s="89"/>
      <x:c r="J45" s="89"/>
      <x:c r="K45" s="89" t="str">
        <x:f>IF(COUNT(I45:J45)=0,"",IF(MIN(I45:J45)&gt;=4,"CONFIRMED",IF(MIN(I45:J45)&gt;=3,"REPEAT","REWORK")))</x:f>
      </x:c>
      <x:c r="L45" s="89"/>
      <x:c r="M45" s="89"/>
      <x:c r="N45" s="89"/>
    </x:row>
    <x:row r="46">
      <x:c r="A46" s="89" t="str">
        <x:v>A010</x:v>
      </x:c>
      <x:c r="B46" s="536"/>
      <x:c r="C46" s="89"/>
      <x:c r="D46" s="537"/>
      <x:c r="E46" s="89"/>
      <x:c r="F46" s="89"/>
      <x:c r="G46" s="89"/>
      <x:c r="H46" s="537"/>
      <x:c r="I46" s="89"/>
      <x:c r="J46" s="89"/>
      <x:c r="K46" s="89" t="str">
        <x:f>IF(COUNT(I46:J46)=0,"",IF(MIN(I46:J46)&gt;=4,"CONFIRMED",IF(MIN(I46:J46)&gt;=3,"REPEAT","REWORK")))</x:f>
      </x:c>
      <x:c r="L46" s="89"/>
      <x:c r="M46" s="89"/>
      <x:c r="N46" s="89"/>
    </x:row>
    <x:row r="47">
      <x:c r="A47" s="89" t="str">
        <x:v>A011</x:v>
      </x:c>
      <x:c r="B47" s="536"/>
      <x:c r="C47" s="89"/>
      <x:c r="D47" s="537"/>
      <x:c r="E47" s="89"/>
      <x:c r="F47" s="89"/>
      <x:c r="G47" s="89"/>
      <x:c r="H47" s="537"/>
      <x:c r="I47" s="89"/>
      <x:c r="J47" s="89"/>
      <x:c r="K47" s="89" t="str">
        <x:f>IF(COUNT(I47:J47)=0,"",IF(MIN(I47:J47)&gt;=4,"CONFIRMED",IF(MIN(I47:J47)&gt;=3,"REPEAT","REWORK")))</x:f>
      </x:c>
      <x:c r="L47" s="89"/>
      <x:c r="M47" s="89"/>
      <x:c r="N47" s="89"/>
    </x:row>
    <x:row r="48">
      <x:c r="A48" s="89" t="str">
        <x:v>A012</x:v>
      </x:c>
      <x:c r="B48" s="536"/>
      <x:c r="C48" s="89"/>
      <x:c r="D48" s="537"/>
      <x:c r="E48" s="89"/>
      <x:c r="F48" s="89"/>
      <x:c r="G48" s="89"/>
      <x:c r="H48" s="537"/>
      <x:c r="I48" s="89"/>
      <x:c r="J48" s="89"/>
      <x:c r="K48" s="89" t="str">
        <x:f>IF(COUNT(I48:J48)=0,"",IF(MIN(I48:J48)&gt;=4,"CONFIRMED",IF(MIN(I48:J48)&gt;=3,"REPEAT","REWORK")))</x:f>
      </x:c>
      <x:c r="L48" s="89"/>
      <x:c r="M48" s="89"/>
      <x:c r="N48" s="89"/>
    </x:row>
    <x:row r="49">
      <x:c r="A49" s="89" t="str">
        <x:v>A013</x:v>
      </x:c>
      <x:c r="B49" s="536"/>
      <x:c r="C49" s="89"/>
      <x:c r="D49" s="537"/>
      <x:c r="E49" s="89"/>
      <x:c r="F49" s="89"/>
      <x:c r="G49" s="89"/>
      <x:c r="H49" s="537"/>
      <x:c r="I49" s="89"/>
      <x:c r="J49" s="89"/>
      <x:c r="K49" s="89" t="str">
        <x:f>IF(COUNT(I49:J49)=0,"",IF(MIN(I49:J49)&gt;=4,"CONFIRMED",IF(MIN(I49:J49)&gt;=3,"REPEAT","REWORK")))</x:f>
      </x:c>
      <x:c r="L49" s="89"/>
      <x:c r="M49" s="89"/>
      <x:c r="N49" s="89"/>
    </x:row>
    <x:row r="50">
      <x:c r="A50" s="89" t="str">
        <x:v>A014</x:v>
      </x:c>
      <x:c r="B50" s="536"/>
      <x:c r="C50" s="89"/>
      <x:c r="D50" s="537"/>
      <x:c r="E50" s="89"/>
      <x:c r="F50" s="89"/>
      <x:c r="G50" s="89"/>
      <x:c r="H50" s="537"/>
      <x:c r="I50" s="89"/>
      <x:c r="J50" s="89"/>
      <x:c r="K50" s="89" t="str">
        <x:f>IF(COUNT(I50:J50)=0,"",IF(MIN(I50:J50)&gt;=4,"CONFIRMED",IF(MIN(I50:J50)&gt;=3,"REPEAT","REWORK")))</x:f>
      </x:c>
      <x:c r="L50" s="89"/>
      <x:c r="M50" s="89"/>
      <x:c r="N50" s="89"/>
    </x:row>
    <x:row r="51">
      <x:c r="A51" s="89" t="str">
        <x:v>A015</x:v>
      </x:c>
      <x:c r="B51" s="536"/>
      <x:c r="C51" s="89"/>
      <x:c r="D51" s="537"/>
      <x:c r="E51" s="89"/>
      <x:c r="F51" s="89"/>
      <x:c r="G51" s="89"/>
      <x:c r="H51" s="537"/>
      <x:c r="I51" s="89"/>
      <x:c r="J51" s="89"/>
      <x:c r="K51" s="89" t="str">
        <x:f>IF(COUNT(I51:J51)=0,"",IF(MIN(I51:J51)&gt;=4,"CONFIRMED",IF(MIN(I51:J51)&gt;=3,"REPEAT","REWORK")))</x:f>
      </x:c>
      <x:c r="L51" s="89"/>
      <x:c r="M51" s="89"/>
      <x:c r="N51" s="89"/>
    </x:row>
    <x:row r="52">
      <x:c r="A52" s="89" t="str">
        <x:v>A016</x:v>
      </x:c>
      <x:c r="B52" s="536"/>
      <x:c r="C52" s="89"/>
      <x:c r="D52" s="537"/>
      <x:c r="E52" s="89"/>
      <x:c r="F52" s="89"/>
      <x:c r="G52" s="89"/>
      <x:c r="H52" s="537"/>
      <x:c r="I52" s="89"/>
      <x:c r="J52" s="89"/>
      <x:c r="K52" s="89" t="str">
        <x:f>IF(COUNT(I52:J52)=0,"",IF(MIN(I52:J52)&gt;=4,"CONFIRMED",IF(MIN(I52:J52)&gt;=3,"REPEAT","REWORK")))</x:f>
      </x:c>
      <x:c r="L52" s="89"/>
      <x:c r="M52" s="89"/>
      <x:c r="N52" s="89"/>
    </x:row>
  </x:sheetData>
  <x:mergeCells>
    <x:mergeCell ref="A1:R1"/>
    <x:mergeCell ref="A2:R2"/>
    <x:mergeCell ref="A35:N35"/>
  </x:mergeCells>
  <x:conditionalFormatting sqref="N8:N31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O8:O31">
    <x:cfRule type="expression" dxfId="83" priority="2">
      <x:formula>O8="PASS"</x:formula>
    </x:cfRule>
    <x:cfRule type="expression" dxfId="84" priority="3">
      <x:formula>O8="RETEST"</x:formula>
    </x:cfRule>
    <x:cfRule type="expression" dxfId="85" priority="4">
      <x:formula>O8="REJECT"</x:formula>
    </x:cfRule>
  </x:conditionalFormatting>
  <x:conditionalFormatting sqref="K37:K52">
    <x:cfRule type="expression" dxfId="89" priority="5">
      <x:formula>K37="CONFIRMED"</x:formula>
    </x:cfRule>
    <x:cfRule type="expression" dxfId="90" priority="6">
      <x:formula>K37="REPEAT"</x:formula>
    </x:cfRule>
    <x:cfRule type="expression" dxfId="91" priority="7">
      <x:formula>K37="REWORK"</x:formula>
    </x:cfRule>
  </x:conditionalFormatting>
  <x:dataValidations count="8">
    <x:dataValidation type="list" sqref="G8:G31">
      <x:formula1>"Кисть,Аэрограф,Комбинированно,Масла,Лак/финиш"</x:formula1>
    </x:dataValidation>
    <x:dataValidation type="list" sqref="H8:H31">
      <x:formula1>"0.2,0.3,0.4,0.5,—"</x:formula1>
    </x:dataValidation>
    <x:dataValidation type="list" sqref="I8:I31">
      <x:formula1>"10,12,14,16,18,20,22,—"</x:formula1>
    </x:dataValidation>
    <x:dataValidation type="list" sqref="K8:K31">
      <x:formula1>"1,2,3,4,5"</x:formula1>
    </x:dataValidation>
    <x:dataValidation type="list" sqref="L8:L31">
      <x:formula1>"1,2,3,4,5"</x:formula1>
    </x:dataValidation>
    <x:dataValidation type="list" sqref="M8:M31">
      <x:formula1>"1,2,3,4,5"</x:formula1>
    </x:dataValidation>
    <x:dataValidation type="list" sqref="I37:I52">
      <x:formula1>"1,2,3,4,5"</x:formula1>
    </x:dataValidation>
    <x:dataValidation type="list" sqref="J37:J52">
      <x:formula1>"1,2,3,4,5"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2171dc5320524bcf"/>
    <x:tablePart xmlns:r="http://schemas.openxmlformats.org/officeDocument/2006/relationships" r:id="R1f89428d261c4aed"/>
  </x:tableParts>
</x:worksheet>
</file>

<file path=xl/worksheets/sheet4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5" hidden="0" customWidth="1"/>
    <x:col min="3" max="3" width="24" hidden="0" customWidth="1"/>
    <x:col min="4" max="4" width="60" hidden="0" customWidth="1"/>
    <x:col min="5" max="5" width="78" hidden="0" customWidth="1"/>
    <x:col min="6" max="6" width="90" hidden="0" customWidth="1"/>
  </x:cols>
  <x:sheetData>
    <x:row r="1" ht="38" customHeight="1">
      <x:c r="A1" s="522" t="str">
        <x:v>Двенадцатый проход: композиция, армейские процессы и контроль качества</x:v>
      </x:c>
      <x:c r="B1" s="522"/>
      <x:c r="C1" s="522"/>
      <x:c r="D1" s="522"/>
      <x:c r="E1" s="522"/>
      <x:c r="F1" s="522"/>
    </x:row>
    <x:row r="3">
      <x:c r="A3" s="527" t="str">
        <x:v>Показатель</x:v>
      </x:c>
      <x:c r="B3" s="527" t="str">
        <x:v>Результат</x:v>
      </x:c>
    </x:row>
    <x:row r="4">
      <x:c r="A4" s="541" t="str">
        <x:v>Рецептов до прохода</x:v>
      </x:c>
      <x:c r="B4" s="542" t="n">
        <x:v>330</x:v>
      </x:c>
    </x:row>
    <x:row r="5">
      <x:c r="A5" s="541" t="str">
        <x:v>Новых рецептов</x:v>
      </x:c>
      <x:c r="B5" s="542" t="n">
        <x:v>30</x:v>
      </x:c>
    </x:row>
    <x:row r="6">
      <x:c r="A6" s="541" t="str">
        <x:v>Рецептов после прохода</x:v>
      </x:c>
      <x:c r="B6" s="542" t="n">
        <x:v>360</x:v>
      </x:c>
    </x:row>
    <x:row r="7">
      <x:c r="A7" s="541" t="str">
        <x:v>Новых схем света и композиции</x:v>
      </x:c>
      <x:c r="B7" s="542" t="n">
        <x:v>20</x:v>
      </x:c>
    </x:row>
    <x:row r="8">
      <x:c r="A8" s="541" t="str">
        <x:v>Полных армейских пайплайнов</x:v>
      </x:c>
      <x:c r="B8" s="542" t="n">
        <x:v>8</x:v>
      </x:c>
    </x:row>
    <x:row r="9">
      <x:c r="A9" s="541" t="str">
        <x:v>Процессов контроля качества</x:v>
      </x:c>
      <x:c r="B9" s="542" t="n">
        <x:v>2</x:v>
      </x:c>
    </x:row>
    <x:row r="10">
      <x:c r="A10" s="541" t="str">
        <x:v>Тестовых слотов с формулами</x:v>
      </x:c>
      <x:c r="B10" s="542" t="n">
        <x:v>24</x:v>
      </x:c>
    </x:row>
    <x:row r="11">
      <x:c r="A11" s="541" t="str">
        <x:v>Автоматические оценки тестов</x:v>
      </x:c>
      <x:c r="B11" s="542" t="str">
        <x:v>Средняя + PASS/RETEST/REJECT</x:v>
      </x:c>
    </x:row>
    <x:row r="12">
      <x:c r="A12" s="541" t="str">
        <x:v>Армии в готовых пайплайнах</x:v>
      </x:c>
      <x:c r="B12" s="542" t="str">
        <x:v>Custodes, Thousand Sons, daemons</x:v>
      </x:c>
    </x:row>
    <x:row r="13">
      <x:c r="A13" s="541" t="str">
        <x:v>Добавлены новые справочники</x:v>
      </x:c>
      <x:c r="B13" s="542" t="n">
        <x:v>3</x:v>
      </x:c>
    </x:row>
    <x:row r="14">
      <x:c r="A14" s="541" t="str">
        <x:v>Ключевой принцип</x:v>
      </x:c>
      <x:c r="B14" s="541" t="str">
        <x:v>Отдельные рецепты собраны в повторяемые процессы с единым светом, фокусом, тестированием и финишем</x:v>
      </x:c>
    </x:row>
    <x:row r="17">
      <x:c r="A17" s="530" t="str">
        <x:v>ID</x:v>
      </x:c>
      <x:c r="B17" s="530" t="str">
        <x:v>Область</x:v>
      </x:c>
      <x:c r="C17" s="530" t="str">
        <x:v>Статус</x:v>
      </x:c>
      <x:c r="D17" s="530" t="str">
        <x:v>Что обнаружено</x:v>
      </x:c>
      <x:c r="E17" s="530" t="str">
        <x:v>Действие</x:v>
      </x:c>
      <x:c r="F17" s="530" t="str">
        <x:v>Основание</x:v>
      </x:c>
    </x:row>
    <x:row r="18">
      <x:c r="A18" s="89" t="str">
        <x:v>AUD12-01</x:v>
      </x:c>
      <x:c r="B18" s="89" t="str">
        <x:v>Композиция</x:v>
      </x:c>
      <x:c r="C18" s="89" t="str">
        <x:v>Систематизировано</x:v>
      </x:c>
      <x:c r="D18" s="89" t="str">
        <x:v>База содержала OSL, NMM и edge highlights, но не связывала их единым главным источником.</x:v>
      </x:c>
      <x:c r="E18" s="89" t="str">
        <x:v>Добавлены зенитальная карта, направленный свет, температурные пары, rim и bounce.</x:v>
      </x:c>
      <x:c r="F18" s="89" t="str">
        <x:v>Синтез существующих рецептов 121–150, 139–143, 281–300 и 329–330.</x:v>
      </x:c>
    </x:row>
    <x:row r="19">
      <x:c r="A19" s="89" t="str">
        <x:v>AUD12-02</x:v>
      </x:c>
      <x:c r="B19" s="89" t="str">
        <x:v>Фокус</x:v>
      </x:c>
      <x:c r="C19" s="89" t="str">
        <x:v>Добавлено</x:v>
      </x:c>
      <x:c r="D19" s="89" t="str">
        <x:v>Не было общего способа отделить лицо и оружие от вторичных деталей.</x:v>
      </x:c>
      <x:c r="E19" s="89" t="str">
        <x:v>Добавлены локальное усиление лица/оружия, снижение фокуса нижней части и селективные кромки.</x:v>
      </x:c>
      <x:c r="F19" s="89" t="str">
        <x:v>Световые максимумы теперь распределяются иерархически, а не по каждой детали одинаково.</x:v>
      </x:c>
    </x:row>
    <x:row r="20">
      <x:c r="A20" s="89" t="str">
        <x:v>AUD12-03</x:v>
      </x:c>
      <x:c r="B20" s="89" t="str">
        <x:v>Цветовое единство отряда</x:v>
      </x:c>
      <x:c r="C20" s="89" t="str">
        <x:v>Добавлено</x:v>
      </x:c>
      <x:c r="D20" s="89" t="str">
        <x:v>Большое количество рецептов могло создавать визуально разрозненные модели.</x:v>
      </x:c>
      <x:c r="E20" s="89" t="str">
        <x:v>Добавлены сверхтонкий фракционный фильтр и контролируемая вариативность одного вторичного акцента.</x:v>
      </x:c>
      <x:c r="F20" s="89" t="str">
        <x:v>Custodes используют тёплый Sepia, Thousand Sons — холодный Blue, демоны — выбранный Violet/Green filter.</x:v>
      </x:c>
    </x:row>
    <x:row r="21">
      <x:c r="A21" s="89" t="str">
        <x:v>AUD12-04</x:v>
      </x:c>
      <x:c r="B21" s="89" t="str">
        <x:v>TMM/NMM hybrid</x:v>
      </x:c>
      <x:c r="C21" s="89" t="str">
        <x:v>Добавлено</x:v>
      </x:c>
      <x:c r="D21" s="89" t="str">
        <x:v>Настоящий металл и NMM существовали отдельными блоками.</x:v>
      </x:c>
      <x:c r="E21" s="89" t="str">
        <x:v>Добавлены гибридные золото и сталь с реальным блеском и нарисованной картой отражений.</x:v>
      </x:c>
      <x:c r="F21" s="89" t="str">
        <x:v>Синтез TMM-рецептов 52–60, 137–138 и NMM-рецептов 281–290.</x:v>
      </x:c>
    </x:row>
    <x:row r="22">
      <x:c r="A22" s="89" t="str">
        <x:v>AUD12-05</x:v>
      </x:c>
      <x:c r="B22" s="89" t="str">
        <x:v>Армейские пайплайны</x:v>
      </x:c>
      <x:c r="C22" s="89" t="str">
        <x:v>Добавлено</x:v>
      </x:c>
      <x:c r="D22" s="89" t="str">
        <x:v>Рецепты требовали ручного подбора для каждой модели.</x:v>
      </x:c>
      <x:c r="E22" s="89" t="str">
        <x:v>Созданы восемь полных процессов для Custodes, Thousand Sons, демонов и пяти-модельного batch.</x:v>
      </x:c>
      <x:c r="F22" s="89" t="str">
        <x:v>Каждый процесс ссылается на существующие ID, поэтому не дублирует цветовые цепочки.</x:v>
      </x:c>
    </x:row>
    <x:row r="23">
      <x:c r="A23" s="89" t="str">
        <x:v>AUD12-06</x:v>
      </x:c>
      <x:c r="B23" s="89" t="str">
        <x:v>Аэрографные тесты</x:v>
      </x:c>
      <x:c r="C23" s="89" t="str">
        <x:v>Добавлено</x:v>
      </x:c>
      <x:c r="D23" s="89" t="str">
        <x:v>Настройки thinner/PSI фиксировались только в текстовых заметках рецептов.</x:v>
      </x:c>
      <x:c r="E23" s="89" t="str">
        <x:v>Создан журнал на 24 теста с подложкой, соплом, PSI, ratio, тремя оценками и автоматическим итогом.</x:v>
      </x:c>
      <x:c r="F23" s="89" t="str">
        <x:v>PASS назначается при среднем результате не ниже 4, RETEST — от 3, ниже 3 — REJECT.</x:v>
      </x:c>
    </x:row>
    <x:row r="24">
      <x:c r="A24" s="89" t="str">
        <x:v>AUD12-07</x:v>
      </x:c>
      <x:c r="B24" s="89" t="str">
        <x:v>Финальный контроль</x:v>
      </x:c>
      <x:c r="C24" s="89" t="str">
        <x:v>Добавлено</x:v>
      </x:c>
      <x:c r="D24" s="89" t="str">
        <x:v>Не было ограничителя против бесконечной доработки.</x:v>
      </x:c>
      <x:c r="E24" s="89" t="str">
        <x:v>Введена проверка под лампой, на игровой дистанции и в grayscale с исправлением трёх главных проблем.</x:v>
      </x:c>
      <x:c r="F24" s="89" t="str">
        <x:v>После проверки применяется уже существующая карта локальных финишей.</x:v>
      </x:c>
    </x:row>
    <x:row r="25">
      <x:c r="A25" s="89" t="str">
        <x:v>AUD12-08</x:v>
      </x:c>
      <x:c r="B25" s="89" t="str">
        <x:v>Масштаб базы</x:v>
      </x:c>
      <x:c r="C25" s="89" t="str">
        <x:v>Уточнено</x:v>
      </x:c>
      <x:c r="D25" s="89" t="str">
        <x:v>После 330 рецептов дальнейшее механическое расширение начало давать меньшую практическую ценность.</x:v>
      </x:c>
      <x:c r="E25" s="89" t="str">
        <x:v>Следующий приоритет смещён к тестированию, применению по армиям и проверке реальных моделей.</x:v>
      </x:c>
      <x:c r="F25" s="89" t="str">
        <x:v>База достигла уровня системного справочника, а не только списка цветовых сочетаний.</x:v>
      </x:c>
    </x:row>
    <x:row r="29">
      <x:c r="A29" s="544" t="str">
        <x:v>Внутренний источник</x:v>
      </x:c>
      <x:c r="B29" s="544" t="str">
        <x:v>Использование</x:v>
      </x:c>
      <x:c r="C29" s="544" t="str">
        <x:v>Диапазон рецептов</x:v>
      </x:c>
    </x:row>
    <x:row r="30">
      <x:c r="A30" s="541" t="str">
        <x:v>Матрица слоёв</x:v>
      </x:c>
      <x:c r="B30" s="541" t="str">
        <x:v>Свет, OSL, металлы и NMM</x:v>
      </x:c>
      <x:c r="C30" s="541" t="str">
        <x:v>121–150, 281–300</x:v>
      </x:c>
    </x:row>
    <x:row r="31">
      <x:c r="A31" s="541" t="str">
        <x:v>Материалы и финиши</x:v>
      </x:c>
      <x:c r="B31" s="541" t="str">
        <x:v>Разделение Matt/Satin/Gloss/Metal</x:v>
      </x:c>
      <x:c r="C31" s="541" t="str">
        <x:v>181–210, 329–330</x:v>
      </x:c>
    </x:row>
    <x:row r="32">
      <x:c r="A32" s="541" t="str">
        <x:v>Карта оттенков кожи</x:v>
      </x:c>
      <x:c r="B32" s="541" t="str">
        <x:v>Фокус лица</x:v>
      </x:c>
      <x:c r="C32" s="541" t="str">
        <x:v>211–220</x:v>
      </x:c>
    </x:row>
    <x:row r="33">
      <x:c r="A33" s="541" t="str">
        <x:v>Масляные техники</x:v>
      </x:c>
      <x:c r="B33" s="541" t="str">
        <x:v>Pin-wash и mapping</x:v>
      </x:c>
      <x:c r="C33" s="541" t="str">
        <x:v>311–320</x:v>
      </x:c>
    </x:row>
    <x:row r="34">
      <x:c r="A34" s="541" t="str">
        <x:v>Камуфляж и финиш</x:v>
      </x:c>
      <x:c r="B34" s="541" t="str">
        <x:v>Фракционная вариативность и финиш</x:v>
      </x:c>
      <x:c r="C34" s="541" t="str">
        <x:v>321–330</x:v>
      </x:c>
    </x:row>
    <x:row r="35">
      <x:c r="A35" s="541" t="str">
        <x:v>Техники — выбор</x:v>
      </x:c>
      <x:c r="B35" s="541" t="str">
        <x:v>Общая классификация способов</x:v>
      </x:c>
      <x:c r="C35" s="541" t="str">
        <x:v>Весь диапазон</x:v>
      </x:c>
    </x:row>
  </x:sheetData>
  <x:mergeCells>
    <x:mergeCell ref="A1:F1"/>
  </x:mergeCell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42" hidden="0" customWidth="1"/>
    <x:col min="4" max="4" width="47" hidden="0" customWidth="1"/>
    <x:col min="5" max="5" width="44" hidden="0" customWidth="1"/>
    <x:col min="6" max="6" width="32" hidden="0" customWidth="1"/>
    <x:col min="7" max="7" width="28" hidden="0" customWidth="1"/>
    <x:col min="8" max="8" width="50" hidden="0" customWidth="1"/>
    <x:col min="9" max="9" width="35" hidden="0" customWidth="1"/>
    <x:col min="10" max="10" width="17" hidden="0" customWidth="1"/>
  </x:cols>
  <x:sheetData>
    <x:row r="1" ht="38" customHeight="1">
      <x:c r="A1" s="559" t="str">
        <x:v>Субсборки и маскирование: порядок окраски сложной модели</x:v>
      </x:c>
      <x:c r="B1" s="559"/>
      <x:c r="C1" s="559"/>
      <x:c r="D1" s="559"/>
      <x:c r="E1" s="559"/>
      <x:c r="F1" s="559"/>
      <x:c r="G1" s="559"/>
      <x:c r="H1" s="559"/>
      <x:c r="I1" s="559"/>
      <x:c r="J1" s="559"/>
    </x:row>
    <x:row r="2" ht="42" customHeight="1">
      <x:c r="A2" s="562" t="str">
        <x:v>Субсборка оправдана, когда после склейки зона станет недоступна, аэрографный overspray повредит готовый материал или отдельную деталь удобнее держать и вращать. Финальный направленный свет всегда проверяется сухой сборкой.</x:v>
      </x:c>
      <x:c r="B2" s="562"/>
      <x:c r="C2" s="562"/>
      <x:c r="D2" s="562"/>
      <x:c r="E2" s="562"/>
      <x:c r="F2" s="562"/>
      <x:c r="G2" s="562"/>
      <x:c r="H2" s="562"/>
      <x:c r="I2" s="562"/>
      <x:c r="J2" s="562"/>
    </x:row>
    <x:row r="4" ht="46" customHeight="1">
      <x:c r="A4" s="567" t="str">
        <x:v>Деталь</x:v>
      </x:c>
      <x:c r="B4" s="567" t="str">
        <x:v>Красить отдельно?</x:v>
      </x:c>
      <x:c r="C4" s="567" t="str">
        <x:v>Почему</x:v>
      </x:c>
      <x:c r="D4" s="567" t="str">
        <x:v>Что завершить до сборки</x:v>
      </x:c>
      <x:c r="E4" s="567" t="str">
        <x:v>Что оставить после сборки</x:v>
      </x:c>
      <x:c r="F4" s="567" t="str">
        <x:v>Место склейки</x:v>
      </x:c>
      <x:c r="G4" s="567" t="str">
        <x:v>Защита</x:v>
      </x:c>
      <x:c r="H4" s="567" t="str">
        <x:v>Главный риск</x:v>
      </x:c>
      <x:c r="I4" s="567" t="str">
        <x:v>Пример применения</x:v>
      </x:c>
      <x:c r="J4" s="567" t="str">
        <x:v>Рецепт</x:v>
      </x:c>
    </x:row>
    <x:row r="5">
      <x:c r="A5" s="89" t="str">
        <x:v>Голова</x:v>
      </x:c>
      <x:c r="B5" s="89" t="str">
        <x:v>Да, для персонажа</x:v>
      </x:c>
      <x:c r="C5" s="89" t="str">
        <x:v>Доступ к лицу и глазам</x:v>
      </x:c>
      <x:c r="D5" s="89" t="str">
        <x:v>Кожа, глаза, волосы/шлем</x:v>
      </x:c>
      <x:c r="E5" s="89" t="str">
        <x:v>Общий rim и фракционный filter</x:v>
      </x:c>
      <x:c r="F5" s="89" t="str">
        <x:v>Без толстого лака и краски</x:v>
      </x:c>
      <x:c r="G5" s="89" t="str">
        <x:v>Временная ручка</x:v>
      </x:c>
      <x:c r="H5" s="89" t="str">
        <x:v>Повредить лицо при установке</x:v>
      </x:c>
      <x:c r="I5" s="89" t="str">
        <x:v>Custodes character, sorcerer</x:v>
      </x:c>
      <x:c r="J5" s="89" t="str">
        <x:v>361</x:v>
      </x:c>
    </x:row>
    <x:row r="6">
      <x:c r="A6" s="89" t="str">
        <x:v>Оружие</x:v>
      </x:c>
      <x:c r="B6" s="89" t="str">
        <x:v>Часто да</x:v>
      </x:c>
      <x:c r="C6" s="89" t="str">
        <x:v>Удобный доступ к обеим сторонам</x:v>
      </x:c>
      <x:c r="D6" s="89" t="str">
        <x:v>База, тени, основной металл/цвет</x:v>
      </x:c>
      <x:c r="E6" s="89" t="str">
        <x:v>OSL, отражённый свет, финальные точки</x:v>
      </x:c>
      <x:c r="F6" s="89" t="str">
        <x:v>Оставить чистым</x:v>
      </x:c>
      <x:c r="G6" s="89" t="str">
        <x:v>Pin/держатель</x:v>
      </x:c>
      <x:c r="H6" s="89" t="str">
        <x:v>Неверное направление OSL</x:v>
      </x:c>
      <x:c r="I6" s="89" t="str">
        <x:v>Клинки, копья, посохи</x:v>
      </x:c>
      <x:c r="J6" s="89" t="str">
        <x:v>362</x:v>
      </x:c>
    </x:row>
    <x:row r="7">
      <x:c r="A7" s="89" t="str">
        <x:v>Щит</x:v>
      </x:c>
      <x:c r="B7" s="89" t="str">
        <x:v>Да</x:v>
      </x:c>
      <x:c r="C7" s="89" t="str">
        <x:v>Внутренняя сторона закрывается рукой</x:v>
      </x:c>
      <x:c r="D7" s="89" t="str">
        <x:v>Ремни, внутренняя броня, лицевая геральдика</x:v>
      </x:c>
      <x:c r="E7" s="89" t="str">
        <x:v>Общий light/filter</x:v>
      </x:c>
      <x:c r="F7" s="89" t="str">
        <x:v>Кисть/рука без краски</x:v>
      </x:c>
      <x:c r="G7" s="89" t="str">
        <x:v>Маска на креплении</x:v>
      </x:c>
      <x:c r="H7" s="89" t="str">
        <x:v>Непрокрас под рукой</x:v>
      </x:c>
      <x:c r="I7" s="89" t="str">
        <x:v>Custodes shield, heraldry</x:v>
      </x:c>
      <x:c r="J7" s="89" t="str">
        <x:v>363</x:v>
      </x:c>
    </x:row>
    <x:row r="8">
      <x:c r="A8" s="89" t="str">
        <x:v>Плащ</x:v>
      </x:c>
      <x:c r="B8" s="89" t="str">
        <x:v>Да при сложной внутренней стороне</x:v>
      </x:c>
      <x:c r="C8" s="89" t="str">
        <x:v>После сборки внутренние складки недоступны</x:v>
      </x:c>
      <x:c r="D8" s="89" t="str">
        <x:v>Внутри, основная внешняя масса, орнамент</x:v>
      </x:c>
      <x:c r="E8" s="89" t="str">
        <x:v>Верхние края и общий свет</x:v>
      </x:c>
      <x:c r="F8" s="89" t="str">
        <x:v>Край крепления чистый</x:v>
      </x:c>
      <x:c r="G8" s="89" t="str">
        <x:v>Масса/лента</x:v>
      </x:c>
      <x:c r="H8" s="89" t="str">
        <x:v>Разный свет корпуса и плаща</x:v>
      </x:c>
      <x:c r="I8" s="89" t="str">
        <x:v>Sorcerer, daemon cloak</x:v>
      </x:c>
      <x:c r="J8" s="89" t="str">
        <x:v>364</x:v>
      </x:c>
    </x:row>
    <x:row r="9">
      <x:c r="A9" s="89" t="str">
        <x:v>Крылья</x:v>
      </x:c>
      <x:c r="B9" s="89" t="str">
        <x:v>Да</x:v>
      </x:c>
      <x:c r="C9" s="89" t="str">
        <x:v>Размер, доступ, аэрограф</x:v>
      </x:c>
      <x:c r="D9" s="89" t="str">
        <x:v>Кожа/мембрана, жилки, фактура</x:v>
      </x:c>
      <x:c r="E9" s="89" t="str">
        <x:v>Общий направленный свет и интеграция</x:v>
      </x:c>
      <x:c r="F9" s="89" t="str">
        <x:v>Штифт/магнит/чистая площадка</x:v>
      </x:c>
      <x:c r="G9" s="89" t="str">
        <x:v>Съёмное крепление</x:v>
      </x:c>
      <x:c r="H9" s="89" t="str">
        <x:v>Несовпадающий свет крыльев</x:v>
      </x:c>
      <x:c r="I9" s="89" t="str">
        <x:v>Demon Prince</x:v>
      </x:c>
      <x:c r="J9" s="89" t="str">
        <x:v>365</x:v>
      </x:c>
    </x:row>
    <x:row r="10">
      <x:c r="A10" s="89" t="str">
        <x:v>Лицо при окраске брони</x:v>
      </x:c>
      <x:c r="B10" s="89" t="str">
        <x:v>Уже установлено</x:v>
      </x:c>
      <x:c r="C10" s="89" t="str">
        <x:v>Нужно защитить готовый фокус</x:v>
      </x:c>
      <x:c r="D10" s="89" t="str">
        <x:v>Полностью завершить и покрыть Matt</x:v>
      </x:c>
      <x:c r="E10" s="89" t="str">
        <x:v>Локальный rim/filter</x:v>
      </x:c>
      <x:c r="F10" s="89" t="str">
        <x:v>—</x:v>
      </x:c>
      <x:c r="G10" s="89" t="str">
        <x:v>Масса + карточка</x:v>
      </x:c>
      <x:c r="H10" s="89" t="str">
        <x:v>Сорвать тонкие детали лентой</x:v>
      </x:c>
      <x:c r="I10" s="89" t="str">
        <x:v>Собранная модель</x:v>
      </x:c>
      <x:c r="J10" s="89" t="str">
        <x:v>367</x:v>
      </x:c>
    </x:row>
    <x:row r="11">
      <x:c r="A11" s="89" t="str">
        <x:v>Готовый металл</x:v>
      </x:c>
      <x:c r="B11" s="89" t="str">
        <x:v>По ситуации</x:v>
      </x:c>
      <x:c r="C11" s="89" t="str">
        <x:v>Металлическая пыль трудно исправляется</x:v>
      </x:c>
      <x:c r="D11" s="89" t="str">
        <x:v>Base, shade, reflections, Metal Varnish</x:v>
      </x:c>
      <x:c r="E11" s="89" t="str">
        <x:v>Pin-wash и край стыка</x:v>
      </x:c>
      <x:c r="F11" s="89" t="str">
        <x:v>—</x:v>
      </x:c>
      <x:c r="G11" s="89" t="str">
        <x:v>Масса/лента</x:v>
      </x:c>
      <x:c r="H11" s="89" t="str">
        <x:v>Цветной overspray убивает блеск</x:v>
      </x:c>
      <x:c r="I11" s="89" t="str">
        <x:v>Gold armour + robes</x:v>
      </x:c>
      <x:c r="J11" s="89" t="str">
        <x:v>368</x:v>
      </x:c>
    </x:row>
    <x:row r="12">
      <x:c r="A12" s="89" t="str">
        <x:v>Готовая ткань</x:v>
      </x:c>
      <x:c r="B12" s="89" t="str">
        <x:v>По ситуации</x:v>
      </x:c>
      <x:c r="C12" s="89" t="str">
        <x:v>Металлик заметен на матовой ткани</x:v>
      </x:c>
      <x:c r="D12" s="89" t="str">
        <x:v>Ткань, glaze, Matt Varnish</x:v>
      </x:c>
      <x:c r="E12" s="89" t="str">
        <x:v>Граница и общий filter</x:v>
      </x:c>
      <x:c r="F12" s="89" t="str">
        <x:v>—</x:v>
      </x:c>
      <x:c r="G12" s="89" t="str">
        <x:v>Масса + карточка</x:v>
      </x:c>
      <x:c r="H12" s="89" t="str">
        <x:v>Металлическая пыль</x:v>
      </x:c>
      <x:c r="I12" s="89" t="str">
        <x:v>Robes next to armour</x:v>
      </x:c>
      <x:c r="J12" s="89" t="str">
        <x:v>369</x:v>
      </x:c>
    </x:row>
    <x:row r="13">
      <x:c r="A13" s="89" t="str">
        <x:v>Крупный демон после масел</x:v>
      </x:c>
      <x:c r="B13" s="89" t="str">
        <x:v>Собран</x:v>
      </x:c>
      <x:c r="C13" s="89" t="str">
        <x:v>Нужно восстановить только свет</x:v>
      </x:c>
      <x:c r="D13" s="89" t="str">
        <x:v>Полностью высушить масла</x:v>
      </x:c>
      <x:c r="E13" s="89" t="str">
        <x:v>Средние тона, фактура, OSL, finish</x:v>
      </x:c>
      <x:c r="F13" s="89" t="str">
        <x:v>—</x:v>
      </x:c>
      <x:c r="G13" s="89" t="str">
        <x:v>Карточки для локального аэрографа</x:v>
      </x:c>
      <x:c r="H13" s="89" t="str">
        <x:v>Перекрыть всю масляную тень</x:v>
      </x:c>
      <x:c r="I13" s="89" t="str">
        <x:v>Current Demon Prince workflow</x:v>
      </x:c>
      <x:c r="J13" s="89" t="str">
        <x:v>366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1831f4514904ba3"/>
  </x:tableParts>
</x:worksheet>
</file>

<file path=xl/worksheets/sheet4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9" hidden="0" customWidth="1"/>
    <x:col min="3" max="3" width="44" hidden="0" customWidth="1"/>
    <x:col min="4" max="4" width="34" hidden="0" customWidth="1"/>
    <x:col min="5" max="5" width="35" hidden="0" customWidth="1"/>
    <x:col min="6" max="6" width="39" hidden="0" customWidth="1"/>
    <x:col min="7" max="7" width="37" hidden="0" customWidth="1"/>
    <x:col min="8" max="8" width="25" hidden="0" customWidth="1"/>
    <x:col min="9" max="9" width="50" hidden="0" customWidth="1"/>
    <x:col min="10" max="10" width="17" hidden="0" customWidth="1"/>
  </x:cols>
  <x:sheetData>
    <x:row r="1" ht="38" customHeight="1">
      <x:c r="A1" s="559" t="str">
        <x:v>Декали и интеграция: от гладкой основы до общего weathering</x:v>
      </x:c>
      <x:c r="B1" s="559"/>
      <x:c r="C1" s="559"/>
      <x:c r="D1" s="559"/>
      <x:c r="E1" s="559"/>
      <x:c r="F1" s="559"/>
      <x:c r="G1" s="559"/>
      <x:c r="H1" s="559"/>
      <x:c r="I1" s="559"/>
      <x:c r="J1" s="559"/>
    </x:row>
    <x:row r="2" ht="42" customHeight="1">
      <x:c r="A2" s="562" t="str">
        <x:v>Декаль является частью окрашенной поверхности. После переноса она получает те же свет, фильтры, сколы, пыль и OSL, что и окружающая панель. Прозрачная плёнка скрывается локальной Gloss-основой и последующим финишем.</x:v>
      </x:c>
      <x:c r="B2" s="562"/>
      <x:c r="C2" s="562"/>
      <x:c r="D2" s="562"/>
      <x:c r="E2" s="562"/>
      <x:c r="F2" s="562"/>
      <x:c r="G2" s="562"/>
      <x:c r="H2" s="562"/>
      <x:c r="I2" s="562"/>
      <x:c r="J2" s="562"/>
    </x:row>
    <x:row r="4" ht="46" customHeight="1">
      <x:c r="A4" s="567" t="str">
        <x:v>Этап</x:v>
      </x:c>
      <x:c r="B4" s="567" t="str">
        <x:v>Поверхность</x:v>
      </x:c>
      <x:c r="C4" s="567" t="str">
        <x:v>Действие</x:v>
      </x:c>
      <x:c r="D4" s="567" t="str">
        <x:v>Материал коллекции</x:v>
      </x:c>
      <x:c r="E4" s="567" t="str">
        <x:v>Когда продолжать</x:v>
      </x:c>
      <x:c r="F4" s="567" t="str">
        <x:v>Интеграция</x:v>
      </x:c>
      <x:c r="G4" s="567" t="str">
        <x:v>Weathering</x:v>
      </x:c>
      <x:c r="H4" s="567" t="str">
        <x:v>Финиш</x:v>
      </x:c>
      <x:c r="I4" s="567" t="str">
        <x:v>Главная ошибка</x:v>
      </x:c>
      <x:c r="J4" s="567" t="str">
        <x:v>Рецепт</x:v>
      </x:c>
    </x:row>
    <x:row r="5">
      <x:c r="A5" s="89" t="str">
        <x:v>Подготовка</x:v>
      </x:c>
      <x:c r="B5" s="89" t="str">
        <x:v>Окрашенная панель</x:v>
      </x:c>
      <x:c r="C5" s="89" t="str">
        <x:v>Локальный гладкий слой</x:v>
      </x:c>
      <x:c r="D5" s="89" t="str">
        <x:v>Gloss Varnish</x:v>
      </x:c>
      <x:c r="E5" s="89" t="str">
        <x:v>После полного высыхания</x:v>
      </x:c>
      <x:c r="F5" s="89" t="str">
        <x:v>—</x:v>
      </x:c>
      <x:c r="G5" s="89" t="str">
        <x:v>—</x:v>
      </x:c>
      <x:c r="H5" s="89" t="str">
        <x:v>Gloss</x:v>
      </x:c>
      <x:c r="I5" s="89" t="str">
        <x:v>Декаль на грубом Matt</x:v>
      </x:c>
      <x:c r="J5" s="89" t="str">
        <x:v>371</x:v>
      </x:c>
    </x:row>
    <x:row r="6">
      <x:c r="A6" s="89" t="str">
        <x:v>Перенос</x:v>
      </x:c>
      <x:c r="B6" s="89" t="str">
        <x:v>Влажный Gloss</x:v>
      </x:c>
      <x:c r="C6" s="89" t="str">
        <x:v>Разместить и удалить воду</x:v>
      </x:c>
      <x:c r="D6" s="89" t="str">
        <x:v>Вода, мягкая кисть</x:v>
      </x:c>
      <x:c r="E6" s="89" t="str">
        <x:v>После неподвижной фиксации</x:v>
      </x:c>
      <x:c r="F6" s="89" t="str">
        <x:v>Прижимать от центра</x:v>
      </x:c>
      <x:c r="G6" s="89" t="str">
        <x:v>—</x:v>
      </x:c>
      <x:c r="H6" s="89" t="str">
        <x:v>Временно Gloss</x:v>
      </x:c>
      <x:c r="I6" s="89" t="str">
        <x:v>Тереть рисунок</x:v>
      </x:c>
      <x:c r="J6" s="89" t="str">
        <x:v>371</x:v>
      </x:c>
    </x:row>
    <x:row r="7">
      <x:c r="A7" s="89" t="str">
        <x:v>Криволинейная поверхность</x:v>
      </x:c>
      <x:c r="B7" s="89" t="str">
        <x:v>Наплечник/щит</x:v>
      </x:c>
      <x:c r="C7" s="89" t="str">
        <x:v>Подрезать плёнку и сделать малые надрезы</x:v>
      </x:c>
      <x:c r="D7" s="89" t="str">
        <x:v>Нож/ножницы</x:v>
      </x:c>
      <x:c r="E7" s="89" t="str">
        <x:v>После укладки каждого сектора</x:v>
      </x:c>
      <x:c r="F7" s="89" t="str">
        <x:v>Центр → края</x:v>
      </x:c>
      <x:c r="G7" s="89" t="str">
        <x:v>—</x:v>
      </x:c>
      <x:c r="H7" s="89" t="str">
        <x:v>Gloss seal</x:v>
      </x:c>
      <x:c r="I7" s="89" t="str">
        <x:v>Растягивать складки силой</x:v>
      </x:c>
      <x:c r="J7" s="89" t="str">
        <x:v>372</x:v>
      </x:c>
    </x:row>
    <x:row r="8">
      <x:c r="A8" s="89" t="str">
        <x:v>Серебрение</x:v>
      </x:c>
      <x:c r="B8" s="89" t="str">
        <x:v>Высохшая декаль</x:v>
      </x:c>
      <x:c r="C8" s="89" t="str">
        <x:v>Прокол пузыря и повторное прижатие</x:v>
      </x:c>
      <x:c r="D8" s="89" t="str">
        <x:v>Игла + Gloss</x:v>
      </x:c>
      <x:c r="E8" s="89" t="str">
        <x:v>После высыхания</x:v>
      </x:c>
      <x:c r="F8" s="89" t="str">
        <x:v>Цветом фона скрыть край</x:v>
      </x:c>
      <x:c r="G8" s="89" t="str">
        <x:v>—</x:v>
      </x:c>
      <x:c r="H8" s="89" t="str">
        <x:v>Вернуть Matt/Satin</x:v>
      </x:c>
      <x:c r="I8" s="89" t="str">
        <x:v>Много проколов</x:v>
      </x:c>
      <x:c r="J8" s="89" t="str">
        <x:v>373</x:v>
      </x:c>
    </x:row>
    <x:row r="9">
      <x:c r="A9" s="89" t="str">
        <x:v>Край плёнки</x:v>
      </x:c>
      <x:c r="B9" s="89" t="str">
        <x:v>Запечатанная декаль</x:v>
      </x:c>
      <x:c r="C9" s="89" t="str">
        <x:v>Glaze фона вокруг плёнки</x:v>
      </x:c>
      <x:c r="D9" s="89" t="str">
        <x:v>Base + Medium</x:v>
      </x:c>
      <x:c r="E9" s="89" t="str">
        <x:v>После каждого тонкого слоя</x:v>
      </x:c>
      <x:c r="F9" s="89" t="str">
        <x:v>Вернуть edge через декаль</x:v>
      </x:c>
      <x:c r="G9" s="89" t="str">
        <x:v>—</x:v>
      </x:c>
      <x:c r="H9" s="89" t="str">
        <x:v>Matt/Satin</x:v>
      </x:c>
      <x:c r="I9" s="89" t="str">
        <x:v>Перекрыть рисунок</x:v>
      </x:c>
      <x:c r="J9" s="89" t="str">
        <x:v>374</x:v>
      </x:c>
    </x:row>
    <x:row r="10">
      <x:c r="A10" s="89" t="str">
        <x:v>Выцветание</x:v>
      </x:c>
      <x:c r="B10" s="89" t="str">
        <x:v>Запечатанная декаль</x:v>
      </x:c>
      <x:c r="C10" s="89" t="str">
        <x:v>Один слабый фильтр</x:v>
      </x:c>
      <x:c r="D10" s="89" t="str">
        <x:v>Basilicanum или Sepia</x:v>
      </x:c>
      <x:c r="E10" s="89" t="str">
        <x:v>После полного высыхания</x:v>
      </x:c>
      <x:c r="F10" s="89" t="str">
        <x:v>Часть рисунка оставить чистой</x:v>
      </x:c>
      <x:c r="G10" s="89" t="str">
        <x:v>Позже общий weathering</x:v>
      </x:c>
      <x:c r="H10" s="89" t="str">
        <x:v>Matt/Satin</x:v>
      </x:c>
      <x:c r="I10" s="89" t="str">
        <x:v>Два сильных фильтра</x:v>
      </x:c>
      <x:c r="J10" s="89" t="str">
        <x:v>375</x:v>
      </x:c>
    </x:row>
    <x:row r="11">
      <x:c r="A11" s="89" t="str">
        <x:v>Сколы</x:v>
      </x:c>
      <x:c r="B11" s="89" t="str">
        <x:v>Полностью завершённая декаль</x:v>
      </x:c>
      <x:c r="C11" s="89" t="str">
        <x:v>Повредить цветом панели</x:v>
      </x:c>
      <x:c r="D11" s="89" t="str">
        <x:v>Base, Deep Brown, metal</x:v>
      </x:c>
      <x:c r="E11" s="89" t="str">
        <x:v>После Seal</x:v>
      </x:c>
      <x:c r="F11" s="89" t="str">
        <x:v>Сколы проходят через рисунок</x:v>
      </x:c>
      <x:c r="G11" s="89" t="str">
        <x:v>Связать с панелью</x:v>
      </x:c>
      <x:c r="H11" s="89" t="str">
        <x:v>Matt/Satin</x:v>
      </x:c>
      <x:c r="I11" s="89" t="str">
        <x:v>Сначала сколы, потом декаль</x:v>
      </x:c>
      <x:c r="J11" s="89" t="str">
        <x:v>376</x:v>
      </x:c>
    </x:row>
    <x:row r="12">
      <x:c r="A12" s="89" t="str">
        <x:v>Пыль/грязь</x:v>
      </x:c>
      <x:c r="B12" s="89" t="str">
        <x:v>Декаль и панель</x:v>
      </x:c>
      <x:c r="C12" s="89" t="str">
        <x:v>Общий фильтр</x:v>
      </x:c>
      <x:c r="D12" s="89" t="str">
        <x:v>Dark/Pale Sand, Burnt Umber</x:v>
      </x:c>
      <x:c r="E12" s="89" t="str">
        <x:v>После Seal</x:v>
      </x:c>
      <x:c r="F12" s="89" t="str">
        <x:v>Одинаковая грязь на рисунке и фоне</x:v>
      </x:c>
      <x:c r="G12" s="89" t="str">
        <x:v>Очистить часть символа</x:v>
      </x:c>
      <x:c r="H12" s="89" t="str">
        <x:v>Matt</x:v>
      </x:c>
      <x:c r="I12" s="89" t="str">
        <x:v>Идеально чистая декаль</x:v>
      </x:c>
      <x:c r="J12" s="89" t="str">
        <x:v>377</x:v>
      </x:c>
    </x:row>
    <x:row r="13">
      <x:c r="A13" s="89" t="str">
        <x:v>OSL</x:v>
      </x:c>
      <x:c r="B13" s="89" t="str">
        <x:v>Декаль в световой зоне</x:v>
      </x:c>
      <x:c r="C13" s="89" t="str">
        <x:v>Прозрачный цвет источника</x:v>
      </x:c>
      <x:c r="D13" s="89" t="str">
        <x:v>Ink/Contrast glaze</x:v>
      </x:c>
      <x:c r="E13" s="89" t="str">
        <x:v>После обычной интеграции</x:v>
      </x:c>
      <x:c r="F13" s="89" t="str">
        <x:v>Вернуть светлую сторону символа</x:v>
      </x:c>
      <x:c r="G13" s="89" t="str">
        <x:v>—</x:v>
      </x:c>
      <x:c r="H13" s="89" t="str">
        <x:v>Satin/Gloss</x:v>
      </x:c>
      <x:c r="I13" s="89" t="str">
        <x:v>Нейтральный символ внутри OSL</x:v>
      </x:c>
      <x:c r="J13" s="89" t="str">
        <x:v>378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01d1536f7a6e48e9"/>
  </x:tableParts>
</x:worksheet>
</file>

<file path=xl/worksheets/sheet4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1" hidden="0" customWidth="1"/>
    <x:col min="3" max="3" width="36" hidden="0" customWidth="1"/>
    <x:col min="4" max="4" width="38" hidden="0" customWidth="1"/>
    <x:col min="5" max="5" width="34" hidden="0" customWidth="1"/>
    <x:col min="6" max="6" width="24" hidden="0" customWidth="1"/>
    <x:col min="7" max="7" width="51" hidden="0" customWidth="1"/>
    <x:col min="8" max="8" width="17" hidden="0" customWidth="1"/>
    <x:col min="9" max="9" width="36" hidden="0" customWidth="1"/>
    <x:col min="10" max="10" width="17" hidden="0" customWidth="1"/>
  </x:cols>
  <x:sheetData>
    <x:row r="1" ht="38" customHeight="1">
      <x:c r="A1" s="559" t="str">
        <x:v>Ремонт и коррекция: исправление без полной перекраски</x:v>
      </x:c>
      <x:c r="B1" s="559"/>
      <x:c r="C1" s="559"/>
      <x:c r="D1" s="559"/>
      <x:c r="E1" s="559"/>
      <x:c r="F1" s="559"/>
      <x:c r="G1" s="559"/>
      <x:c r="H1" s="559"/>
      <x:c r="I1" s="559"/>
      <x:c r="J1" s="559"/>
    </x:row>
    <x:row r="2" ht="42" customHeight="1">
      <x:c r="A2" s="562" t="str">
        <x:v>Исправление повторяет первоначальную структуру материала: вернуть базу, восстановить средний тон и свет, затем объединить glaze и локальным финишем. Толстая укрывистая заплата почти всегда заметнее исходной ошибки.</x:v>
      </x:c>
      <x:c r="B2" s="562"/>
      <x:c r="C2" s="562"/>
      <x:c r="D2" s="562"/>
      <x:c r="E2" s="562"/>
      <x:c r="F2" s="562"/>
      <x:c r="G2" s="562"/>
      <x:c r="H2" s="562"/>
      <x:c r="I2" s="562"/>
      <x:c r="J2" s="562"/>
    </x:row>
    <x:row r="4" ht="46" customHeight="1">
      <x:c r="A4" s="567" t="str">
        <x:v>Проблема</x:v>
      </x:c>
      <x:c r="B4" s="567" t="str">
        <x:v>Первое действие</x:v>
      </x:c>
      <x:c r="C4" s="567" t="str">
        <x:v>Восстановить базу</x:v>
      </x:c>
      <x:c r="D4" s="567" t="str">
        <x:v>Восстановить свет</x:v>
      </x:c>
      <x:c r="E4" s="567" t="str">
        <x:v>Объединить</x:v>
      </x:c>
      <x:c r="F4" s="567" t="str">
        <x:v>Финиш</x:v>
      </x:c>
      <x:c r="G4" s="567" t="str">
        <x:v>Не делать</x:v>
      </x:c>
      <x:c r="H4" s="567" t="str">
        <x:v>Сложность</x:v>
      </x:c>
      <x:c r="I4" s="567" t="str">
        <x:v>Связанный справочник</x:v>
      </x:c>
      <x:c r="J4" s="567" t="str">
        <x:v>Рецепт</x:v>
      </x:c>
    </x:row>
    <x:row r="5">
      <x:c r="A5" s="89" t="str">
        <x:v>Overspray</x:v>
      </x:c>
      <x:c r="B5" s="89" t="str">
        <x:v>Полностью высушить</x:v>
      </x:c>
      <x:c r="C5" s="89" t="str">
        <x:v>Исходный Base тонко</x:v>
      </x:c>
      <x:c r="D5" s="89" t="str">
        <x:v>Средний → направленный свет → edge</x:v>
      </x:c>
      <x:c r="E5" s="89" t="str">
        <x:v>Glaze Base</x:v>
      </x:c>
      <x:c r="F5" s="89" t="str">
        <x:v>Локальный</x:v>
      </x:c>
      <x:c r="G5" s="89" t="str">
        <x:v>Одна толстая заплата</x:v>
      </x:c>
      <x:c r="H5" s="89" t="str">
        <x:v>Низкая</x:v>
      </x:c>
      <x:c r="I5" s="89" t="str">
        <x:v>Диагностика поверхности</x:v>
      </x:c>
      <x:c r="J5" s="89" t="str">
        <x:v>379</x:v>
      </x:c>
    </x:row>
    <x:row r="6">
      <x:c r="A6" s="89" t="str">
        <x:v>Толстый edge</x:v>
      </x:c>
      <x:c r="B6" s="89" t="str">
        <x:v>Не стирать мокрым</x:v>
      </x:c>
      <x:c r="C6" s="89" t="str">
        <x:v>Base по внутренней стороне линии</x:v>
      </x:c>
      <x:c r="D6" s="89" t="str">
        <x:v>Оставить тонкий внешний край</x:v>
      </x:c>
      <x:c r="E6" s="89" t="str">
        <x:v>Glaze при необходимости</x:v>
      </x:c>
      <x:c r="F6" s="89" t="str">
        <x:v>Без изменения</x:v>
      </x:c>
      <x:c r="G6" s="89" t="str">
        <x:v>Перерисовать весь edge шире</x:v>
      </x:c>
      <x:c r="H6" s="89" t="str">
        <x:v>Средняя</x:v>
      </x:c>
      <x:c r="I6" s="89" t="str">
        <x:v>Освещение и фокус</x:v>
      </x:c>
      <x:c r="J6" s="89" t="str">
        <x:v>380</x:v>
      </x:c>
    </x:row>
    <x:row r="7">
      <x:c r="A7" s="89" t="str">
        <x:v>Меловой свет</x:v>
      </x:c>
      <x:c r="B7" s="89" t="str">
        <x:v>Высушить</x:v>
      </x:c>
      <x:c r="C7" s="89" t="str">
        <x:v>Не перекрывать всю область</x:v>
      </x:c>
      <x:c r="D7" s="89" t="str">
        <x:v>Оставить малый clean maximum</x:v>
      </x:c>
      <x:c r="E7" s="89" t="str">
        <x:v>Средний цвет + Medium</x:v>
      </x:c>
      <x:c r="F7" s="89" t="str">
        <x:v>Matt</x:v>
      </x:c>
      <x:c r="G7" s="89" t="str">
        <x:v>Чистый White по большой площади</x:v>
      </x:c>
      <x:c r="H7" s="89" t="str">
        <x:v>Низкая</x:v>
      </x:c>
      <x:c r="I7" s="89" t="str">
        <x:v>Материалы и финиши</x:v>
      </x:c>
      <x:c r="J7" s="89" t="str">
        <x:v>381</x:v>
      </x:c>
    </x:row>
    <x:row r="8">
      <x:c r="A8" s="89" t="str">
        <x:v>Пятнистый Contrast/Xpress</x:v>
      </x:c>
      <x:c r="B8" s="89" t="str">
        <x:v>Высушить</x:v>
      </x:c>
      <x:c r="C8" s="89" t="str">
        <x:v>Непрозрачный средний тон по пятнам</x:v>
      </x:c>
      <x:c r="D8" s="89" t="str">
        <x:v>Вернуть светлую подложку</x:v>
      </x:c>
      <x:c r="E8" s="89" t="str">
        <x:v>Contrast/Xpress + Medium по всей панели</x:v>
      </x:c>
      <x:c r="F8" s="89" t="str">
        <x:v>По материалу</x:v>
      </x:c>
      <x:c r="G8" s="89" t="str">
        <x:v>Ещё один чистый Contrast на пятна</x:v>
      </x:c>
      <x:c r="H8" s="89" t="str">
        <x:v>Средняя</x:v>
      </x:c>
      <x:c r="I8" s="89" t="str">
        <x:v>Xpress и яркие Contrast</x:v>
      </x:c>
      <x:c r="J8" s="89" t="str">
        <x:v>382</x:v>
      </x:c>
    </x:row>
    <x:row r="9">
      <x:c r="A9" s="89" t="str">
        <x:v>Потерянный panel line</x:v>
      </x:c>
      <x:c r="B9" s="89" t="str">
        <x:v>Очистить углубление</x:v>
      </x:c>
      <x:c r="C9" s="89" t="str">
        <x:v>Base по сторонам</x:v>
      </x:c>
      <x:c r="D9" s="89" t="str">
        <x:v>Edge верхней стороны</x:v>
      </x:c>
      <x:c r="E9" s="89" t="str">
        <x:v>Shade/Ink только внутрь</x:v>
      </x:c>
      <x:c r="F9" s="89" t="str">
        <x:v>По материалу</x:v>
      </x:c>
      <x:c r="G9" s="89" t="str">
        <x:v>Широкая чёрная линия</x:v>
      </x:c>
      <x:c r="H9" s="89" t="str">
        <x:v>Низкая</x:v>
      </x:c>
      <x:c r="I9" s="89" t="str">
        <x:v>Масляные техники</x:v>
      </x:c>
      <x:c r="J9" s="89" t="str">
        <x:v>383</x:v>
      </x:c>
    </x:row>
    <x:row r="10">
      <x:c r="A10" s="89" t="str">
        <x:v>Слишком широкий OSL</x:v>
      </x:c>
      <x:c r="B10" s="89" t="str">
        <x:v>Проверить источник</x:v>
      </x:c>
      <x:c r="C10" s="89" t="str">
        <x:v>Base от внешнего края к центру</x:v>
      </x:c>
      <x:c r="D10" s="89" t="str">
        <x:v>Оставить меньший яркий ореол</x:v>
      </x:c>
      <x:c r="E10" s="89" t="str">
        <x:v>Слабая glaze</x:v>
      </x:c>
      <x:c r="F10" s="89" t="str">
        <x:v>По материалу</x:v>
      </x:c>
      <x:c r="G10" s="89" t="str">
        <x:v>Приглушить сам источник</x:v>
      </x:c>
      <x:c r="H10" s="89" t="str">
        <x:v>Средняя</x:v>
      </x:c>
      <x:c r="I10" s="89" t="str">
        <x:v>Освещение и фокус</x:v>
      </x:c>
      <x:c r="J10" s="89" t="str">
        <x:v>384</x:v>
      </x:c>
    </x:row>
    <x:row r="11">
      <x:c r="A11" s="89" t="str">
        <x:v>Глянцевое пятно</x:v>
      </x:c>
      <x:c r="B11" s="89" t="str">
        <x:v>Высушить</x:v>
      </x:c>
      <x:c r="C11" s="89" t="str">
        <x:v>Вернуть цвет при изменении</x:v>
      </x:c>
      <x:c r="D11" s="89" t="str">
        <x:v>Вернуть фактуру</x:v>
      </x:c>
      <x:c r="E11" s="89" t="str">
        <x:v>Тонкий Matt вокруг</x:v>
      </x:c>
      <x:c r="F11" s="89" t="str">
        <x:v>Matt</x:v>
      </x:c>
      <x:c r="G11" s="89" t="str">
        <x:v>Толстая матовая капля</x:v>
      </x:c>
      <x:c r="H11" s="89" t="str">
        <x:v>Низкая</x:v>
      </x:c>
      <x:c r="I11" s="89" t="str">
        <x:v>Материалы и финиши</x:v>
      </x:c>
      <x:c r="J11" s="89" t="str">
        <x:v>385</x:v>
      </x:c>
    </x:row>
    <x:row r="12">
      <x:c r="A12" s="89" t="str">
        <x:v>Тусклый металл</x:v>
      </x:c>
      <x:c r="B12" s="89" t="str">
        <x:v>Высушить лак</x:v>
      </x:c>
      <x:c r="C12" s="89" t="str">
        <x:v>Не нужен</x:v>
      </x:c>
      <x:c r="D12" s="89" t="str">
        <x:v>Ironbreaker/Runefang/Silver</x:v>
      </x:c>
      <x:c r="E12" s="89" t="str">
        <x:v>Shade в стыки</x:v>
      </x:c>
      <x:c r="F12" s="89" t="str">
        <x:v>Metal Varnish</x:v>
      </x:c>
      <x:c r="G12" s="89" t="str">
        <x:v>Общий Gloss по модели</x:v>
      </x:c>
      <x:c r="H12" s="89" t="str">
        <x:v>Низкая</x:v>
      </x:c>
      <x:c r="I12" s="89" t="str">
        <x:v>Камуфляж и финиш</x:v>
      </x:c>
      <x:c r="J12" s="89" t="str">
        <x:v>386</x:v>
      </x:c>
    </x:row>
    <x:row r="13">
      <x:c r="A13" s="89" t="str">
        <x:v>Резкий масляный streak</x:v>
      </x:c>
      <x:c r="B13" s="89" t="str">
        <x:v>Работать пока масло снимается</x:v>
      </x:c>
      <x:c r="C13" s="89" t="str">
        <x:v>—</x:v>
      </x:c>
      <x:c r="D13" s="89" t="str">
        <x:v>Вернуть тёмное начало</x:v>
      </x:c>
      <x:c r="E13" s="89" t="str">
        <x:v>Растянуть нижний конец</x:v>
      </x:c>
      <x:c r="F13" s="89" t="str">
        <x:v>После высыхания</x:v>
      </x:c>
      <x:c r="G13" s="89" t="str">
        <x:v>Размазать источник</x:v>
      </x:c>
      <x:c r="H13" s="89" t="str">
        <x:v>Средняя</x:v>
      </x:c>
      <x:c r="I13" s="89" t="str">
        <x:v>Масляные техники</x:v>
      </x:c>
      <x:c r="J13" s="89" t="str">
        <x:v>387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5f7036781e94f6d"/>
  </x:tableParts>
</x:worksheet>
</file>

<file path=xl/worksheets/sheet5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6" hidden="0" customWidth="1"/>
    <x:col min="3" max="3" width="28" hidden="0" customWidth="1"/>
    <x:col min="4" max="4" width="60" hidden="0" customWidth="1"/>
    <x:col min="5" max="5" width="80" hidden="0" customWidth="1"/>
    <x:col min="6" max="6" width="92" hidden="0" customWidth="1"/>
  </x:cols>
  <x:sheetData>
    <x:row r="1" ht="38" customHeight="1">
      <x:c r="A1" s="559" t="str">
        <x:v>Тринадцатый проход: субсборки, декали, ремонт и персональная валидация</x:v>
      </x:c>
      <x:c r="B1" s="559"/>
      <x:c r="C1" s="559"/>
      <x:c r="D1" s="559"/>
      <x:c r="E1" s="559"/>
      <x:c r="F1" s="559"/>
    </x:row>
    <x:row r="3">
      <x:c r="A3" s="564" t="str">
        <x:v>Показатель</x:v>
      </x:c>
      <x:c r="B3" s="564" t="str">
        <x:v>Результат</x:v>
      </x:c>
    </x:row>
    <x:row r="4">
      <x:c r="A4" s="574" t="str">
        <x:v>Рецептов до прохода</x:v>
      </x:c>
      <x:c r="B4" s="575" t="n">
        <x:v>360</x:v>
      </x:c>
    </x:row>
    <x:row r="5">
      <x:c r="A5" s="574" t="str">
        <x:v>Новых рецептов</x:v>
      </x:c>
      <x:c r="B5" s="575" t="n">
        <x:v>30</x:v>
      </x:c>
    </x:row>
    <x:row r="6">
      <x:c r="A6" s="574" t="str">
        <x:v>Рецептов после прохода</x:v>
      </x:c>
      <x:c r="B6" s="575" t="n">
        <x:v>390</x:v>
      </x:c>
    </x:row>
    <x:row r="7">
      <x:c r="A7" s="574" t="str">
        <x:v>Новых процессов субсборки/маскирования</x:v>
      </x:c>
      <x:c r="B7" s="575" t="n">
        <x:v>10</x:v>
      </x:c>
    </x:row>
    <x:row r="8">
      <x:c r="A8" s="574" t="str">
        <x:v>Новых процессов декалей</x:v>
      </x:c>
      <x:c r="B8" s="575" t="n">
        <x:v>8</x:v>
      </x:c>
    </x:row>
    <x:row r="9">
      <x:c r="A9" s="574" t="str">
        <x:v>Новых процессов ремонта</x:v>
      </x:c>
      <x:c r="B9" s="575" t="n">
        <x:v>9</x:v>
      </x:c>
    </x:row>
    <x:row r="10">
      <x:c r="A10" s="574" t="str">
        <x:v>Редкие краски получили основную роль</x:v>
      </x:c>
      <x:c r="B10" s="575" t="n">
        <x:v>2</x:v>
      </x:c>
    </x:row>
    <x:row r="11">
      <x:c r="A11" s="574" t="str">
        <x:v>Добавлен журнал применения</x:v>
      </x:c>
      <x:c r="B11" s="575" t="str">
        <x:v>16 записей</x:v>
      </x:c>
    </x:row>
    <x:row r="12">
      <x:c r="A12" s="574" t="str">
        <x:v>Автоматические статусы журнала</x:v>
      </x:c>
      <x:c r="B12" s="575" t="str">
        <x:v>CONFIRMED / REPEAT / REWORK</x:v>
      </x:c>
    </x:row>
    <x:row r="13">
      <x:c r="A13" s="574" t="str">
        <x:v>Новых справочных листов</x:v>
      </x:c>
      <x:c r="B13" s="575" t="n">
        <x:v>3</x:v>
      </x:c>
    </x:row>
    <x:row r="14">
      <x:c r="A14" s="574" t="str">
        <x:v>Ключевой принцип</x:v>
      </x:c>
      <x:c r="B14" s="574" t="str">
        <x:v>Сложная окраска сохраняется через планирование доступа, защиту готовых зон и восстановление исходной последовательности слоёв</x:v>
      </x:c>
    </x:row>
    <x:row r="17">
      <x:c r="A17" s="567" t="str">
        <x:v>ID</x:v>
      </x:c>
      <x:c r="B17" s="567" t="str">
        <x:v>Область</x:v>
      </x:c>
      <x:c r="C17" s="567" t="str">
        <x:v>Статус</x:v>
      </x:c>
      <x:c r="D17" s="567" t="str">
        <x:v>Что обнаружено</x:v>
      </x:c>
      <x:c r="E17" s="567" t="str">
        <x:v>Действие</x:v>
      </x:c>
      <x:c r="F17" s="567" t="str">
        <x:v>Основание</x:v>
      </x:c>
    </x:row>
    <x:row r="18">
      <x:c r="A18" s="89" t="str">
        <x:v>AUD13-01</x:v>
      </x:c>
      <x:c r="B18" s="89" t="str">
        <x:v>Субсборки</x:v>
      </x:c>
      <x:c r="C18" s="89" t="str">
        <x:v>Систематизировано</x:v>
      </x:c>
      <x:c r="D18" s="89" t="str">
        <x:v>Пайплайны указывали цвета, но не решали доступ к закрытым зонам.</x:v>
      </x:c>
      <x:c r="E18" s="89" t="str">
        <x:v>Добавлены отдельные процессы головы, оружия, щита, плаща, крыльев и большого демона после масел.</x:v>
      </x:c>
      <x:c r="F18" s="89" t="str">
        <x:v>Каждый процесс разделяет этапы до и после окончательной сборки.</x:v>
      </x:c>
    </x:row>
    <x:row r="19">
      <x:c r="A19" s="89" t="str">
        <x:v>AUD13-02</x:v>
      </x:c>
      <x:c r="B19" s="89" t="str">
        <x:v>Направленный свет субсборок</x:v>
      </x:c>
      <x:c r="C19" s="89" t="str">
        <x:v>Уточнено</x:v>
      </x:c>
      <x:c r="D19" s="89" t="str">
        <x:v>Отдельно окрашенные детали могли получать несовместимый свет.</x:v>
      </x:c>
      <x:c r="E19" s="89" t="str">
        <x:v>Сухая сборка обязательна перед финальными rim, bounce и фильтрами.</x:v>
      </x:c>
      <x:c r="F19" s="89" t="str">
        <x:v>Свет теперь проверяется на целой геометрии модели.</x:v>
      </x:c>
    </x:row>
    <x:row r="20">
      <x:c r="A20" s="89" t="str">
        <x:v>AUD13-03</x:v>
      </x:c>
      <x:c r="B20" s="89" t="str">
        <x:v>Маскирование</x:v>
      </x:c>
      <x:c r="C20" s="89" t="str">
        <x:v>Расширено</x:v>
      </x:c>
      <x:c r="D20" s="89" t="str">
        <x:v>Были общие камуфляжные маски, но не защита уже готовых материалов.</x:v>
      </x:c>
      <x:c r="E20" s="89" t="str">
        <x:v>Добавлены защита лица, металла и ткани, а также жидкая маска для сколов.</x:v>
      </x:c>
      <x:c r="F20" s="89" t="str">
        <x:v>Особое внимание уделено металлической пыли и риску срыва мелких деталей.</x:v>
      </x:c>
    </x:row>
    <x:row r="21">
      <x:c r="A21" s="89" t="str">
        <x:v>AUD13-04</x:v>
      </x:c>
      <x:c r="B21" s="89" t="str">
        <x:v>Декали</x:v>
      </x:c>
      <x:c r="C21" s="89" t="str">
        <x:v>Добавлено</x:v>
      </x:c>
      <x:c r="D21" s="89" t="str">
        <x:v>Freehand был подробно описан, но декали не имели полного жизненного цикла.</x:v>
      </x:c>
      <x:c r="E21" s="89" t="str">
        <x:v>Созданы Gloss-основа, curved transfer, repair silvering, hide carrier film, fading, chips, dust и OSL.</x:v>
      </x:c>
      <x:c r="F21" s="89" t="str">
        <x:v>Маркировка рассматривается как часть той же панели и получает общий свет и weathering.</x:v>
      </x:c>
    </x:row>
    <x:row r="22">
      <x:c r="A22" s="89" t="str">
        <x:v>AUD13-05</x:v>
      </x:c>
      <x:c r="B22" s="89" t="str">
        <x:v>Коррекция</x:v>
      </x:c>
      <x:c r="C22" s="89" t="str">
        <x:v>Систематизировано</x:v>
      </x:c>
      <x:c r="D22" s="89" t="str">
        <x:v>Диагностика объясняла причины дефектов, но не всегда давала полный восстановительный процесс.</x:v>
      </x:c>
      <x:c r="E22" s="89" t="str">
        <x:v>Добавлена схема Base → midtone → light → glaze → local finish.</x:v>
      </x:c>
      <x:c r="F22" s="89" t="str">
        <x:v>Исправление повторяет структуру исходного материала и не создаёт укрывистую заплату.</x:v>
      </x:c>
    </x:row>
    <x:row r="23">
      <x:c r="A23" s="89" t="str">
        <x:v>AUD13-06</x:v>
      </x:c>
      <x:c r="B23" s="89" t="str">
        <x:v>Daemon Prince</x:v>
      </x:c>
      <x:c r="C23" s="89" t="str">
        <x:v>Добавлено</x:v>
      </x:c>
      <x:c r="D23" s="89" t="str">
        <x:v>Текущий крупный демон после масляной проливки не имел отдельного следующего этапа.</x:v>
      </x:c>
      <x:c r="E23" s="89" t="str">
        <x:v>Добавлен процесс частичного восстановления среднего тона, света, фактуры, ран и локальных финишей.</x:v>
      </x:c>
      <x:c r="F23" s="89" t="str">
        <x:v>Масляная тень сохраняется в углублениях и не перекрывается полностью.</x:v>
      </x:c>
    </x:row>
    <x:row r="24">
      <x:c r="A24" s="89" t="str">
        <x:v>AUD13-07</x:v>
      </x:c>
      <x:c r="B24" s="89" t="str">
        <x:v>Редкие краски</x:v>
      </x:c>
      <x:c r="C24" s="89" t="str">
        <x:v>Закрыто</x:v>
      </x:c>
      <x:c r="D24" s="89" t="str">
        <x:v>После v19 минимально использовались Daemonette Hide и Reikland Fleshshade Gloss.</x:v>
      </x:c>
      <x:c r="E24" s="89" t="str">
        <x:v>Daemonette Hide назначена основной холодной кожей, Reikland Gloss — полированной бронзой.</x:v>
      </x:c>
      <x:c r="F24" s="89" t="str">
        <x:v>У всех уникальных красок коллекции теперь есть практическая самостоятельная роль.</x:v>
      </x:c>
    </x:row>
    <x:row r="25">
      <x:c r="A25" s="89" t="str">
        <x:v>AUD13-08</x:v>
      </x:c>
      <x:c r="B25" s="89" t="str">
        <x:v>Персональная проверка</x:v>
      </x:c>
      <x:c r="C25" s="89" t="str">
        <x:v>Добавлено</x:v>
      </x:c>
      <x:c r="D25" s="89" t="str">
        <x:v>Тестовые карточки оценивали смеси, но не повторяемость целого рецепта на модели.</x:v>
      </x:c>
      <x:c r="E25" s="89" t="str">
        <x:v>Добавлен журнал Recipe ID, фактических красок, времени, качества, повторяемости и фото.</x:v>
      </x:c>
      <x:c r="F25" s="89" t="str">
        <x:v>CONFIRMED требует оценки не ниже 4 одновременно по качеству и повторяемости.</x:v>
      </x:c>
    </x:row>
    <x:row r="29">
      <x:c r="A29" s="576" t="str">
        <x:v>Внутренний источник</x:v>
      </x:c>
      <x:c r="B29" s="576" t="str">
        <x:v>Новая связь</x:v>
      </x:c>
      <x:c r="C29" s="576" t="str">
        <x:v>Рецепты/лист</x:v>
      </x:c>
    </x:row>
    <x:row r="30">
      <x:c r="A30" s="574" t="str">
        <x:v>Армейские пайплайны</x:v>
      </x:c>
      <x:c r="B30" s="574" t="str">
        <x:v>Порядок окраски дополнен планом субсборок</x:v>
      </x:c>
      <x:c r="C30" s="574" t="str">
        <x:v>351–358 / Субсборки и маскирование</x:v>
      </x:c>
    </x:row>
    <x:row r="31">
      <x:c r="A31" s="574" t="str">
        <x:v>Освещение и фокус</x:v>
      </x:c>
      <x:c r="B31" s="574" t="str">
        <x:v>Финальный свет проверяется на сухой сборке</x:v>
      </x:c>
      <x:c r="C31" s="574" t="str">
        <x:v>331–350</x:v>
      </x:c>
    </x:row>
    <x:row r="32">
      <x:c r="A32" s="574" t="str">
        <x:v>Freehand и маркировка</x:v>
      </x:c>
      <x:c r="B32" s="574" t="str">
        <x:v>Декали получили аналогичный этап интеграции</x:v>
      </x:c>
      <x:c r="C32" s="574" t="str">
        <x:v>221–230 / 371–378</x:v>
      </x:c>
    </x:row>
    <x:row r="33">
      <x:c r="A33" s="574" t="str">
        <x:v>Диагностика поверхности</x:v>
      </x:c>
      <x:c r="B33" s="574" t="str">
        <x:v>Причины дефектов связаны с восстановительными рецептами</x:v>
      </x:c>
      <x:c r="C33" s="574" t="str">
        <x:v>379–387</x:v>
      </x:c>
    </x:row>
    <x:row r="34">
      <x:c r="A34" s="574" t="str">
        <x:v>Масляные техники</x:v>
      </x:c>
      <x:c r="B34" s="574" t="str">
        <x:v>Большой демон после масел получил следующий акриловый этап</x:v>
      </x:c>
      <x:c r="C34" s="574" t="str">
        <x:v>311–320 / 366</x:v>
      </x:c>
    </x:row>
    <x:row r="35">
      <x:c r="A35" s="574" t="str">
        <x:v>Тестовые карты</x:v>
      </x:c>
      <x:c r="B35" s="574" t="str">
        <x:v>Добавлен журнал применения полного Recipe ID</x:v>
      </x:c>
      <x:c r="C35" s="574" t="str">
        <x:v>Тестовые карты!A35:N52</x:v>
      </x:c>
    </x:row>
    <x:row r="36">
      <x:c r="A36" s="574" t="str">
        <x:v>Инвентаризация</x:v>
      </x:c>
      <x:c r="B36" s="574" t="str">
        <x:v>Последние слабо используемые краски получили основные роли</x:v>
      </x:c>
      <x:c r="C36" s="574" t="str">
        <x:v>388–389</x:v>
      </x:c>
    </x:row>
  </x:sheetData>
  <x:mergeCells>
    <x:mergeCell ref="A1:F1"/>
  </x:mergeCell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30" hidden="0" customWidth="1"/>
    <x:col min="3" max="3" width="43" hidden="0" customWidth="1"/>
    <x:col min="4" max="4" width="32" hidden="0" customWidth="1"/>
    <x:col min="5" max="5" width="40" hidden="0" customWidth="1"/>
    <x:col min="6" max="6" width="31" hidden="0" customWidth="1"/>
    <x:col min="7" max="7" width="42" hidden="0" customWidth="1"/>
    <x:col min="8" max="8" width="52" hidden="0" customWidth="1"/>
    <x:col min="9" max="9" width="50" hidden="0" customWidth="1"/>
    <x:col min="10" max="10" width="18" hidden="0" customWidth="1"/>
  </x:cols>
  <x:sheetData>
    <x:row r="1" ht="38" customHeight="1">
      <x:c r="A1" s="586" t="str">
        <x:v>Переходы материалов на крупном монстре</x:v>
      </x:c>
      <x:c r="B1" s="586"/>
      <x:c r="C1" s="586"/>
      <x:c r="D1" s="586"/>
      <x:c r="E1" s="586"/>
      <x:c r="F1" s="586"/>
      <x:c r="G1" s="586"/>
      <x:c r="H1" s="586"/>
      <x:c r="I1" s="586"/>
      <x:c r="J1" s="586"/>
    </x:row>
    <x:row r="2" ht="40" customHeight="1">
      <x:c r="A2" s="603" t="str">
        <x:v>Убедительный переход меняет сразу три параметра: цвет, фактуру и финиш. Одна только плавная смесь цвета не отделяет кожу от перепонки, хитина, рога, металла или влажной раны.</x:v>
      </x:c>
      <x:c r="B2" s="603"/>
      <x:c r="C2" s="603"/>
      <x:c r="D2" s="603"/>
      <x:c r="E2" s="603"/>
      <x:c r="F2" s="603"/>
      <x:c r="G2" s="603"/>
      <x:c r="H2" s="603"/>
      <x:c r="I2" s="603"/>
      <x:c r="J2" s="603"/>
    </x:row>
    <x:row r="4" ht="44" customHeight="1">
      <x:c r="A4" s="600" t="str">
        <x:v>Переход</x:v>
      </x:c>
      <x:c r="B4" s="600" t="str">
        <x:v>Зона A</x:v>
      </x:c>
      <x:c r="C4" s="600" t="str">
        <x:v>Промежуточная зона</x:v>
      </x:c>
      <x:c r="D4" s="600" t="str">
        <x:v>Зона B</x:v>
      </x:c>
      <x:c r="E4" s="600" t="str">
        <x:v>Изменение фактуры</x:v>
      </x:c>
      <x:c r="F4" s="600" t="str">
        <x:v>Изменение финиша</x:v>
      </x:c>
      <x:c r="G4" s="600" t="str">
        <x:v>Общий свет</x:v>
      </x:c>
      <x:c r="H4" s="600" t="str">
        <x:v>Главный риск</x:v>
      </x:c>
      <x:c r="I4" s="600" t="str">
        <x:v>Материалы</x:v>
      </x:c>
      <x:c r="J4" s="600" t="str">
        <x:v>Рецепт</x:v>
      </x:c>
    </x:row>
    <x:row r="5">
      <x:c r="A5" s="89" t="str">
        <x:v>Кожа → рог</x:v>
      </x:c>
      <x:c r="B5" s="89" t="str">
        <x:v>Матовая кожа</x:v>
      </x:c>
      <x:c r="C5" s="89" t="str">
        <x:v>Воспалённый красно-розовый корень</x:v>
      </x:c>
      <x:c r="D5" s="89" t="str">
        <x:v>Продольный твёрдый рог</x:v>
      </x:c>
      <x:c r="E5" s="89" t="str">
        <x:v>Гладкая кожа → борозды</x:v>
      </x:c>
      <x:c r="F5" s="89" t="str">
        <x:v>Matt → Matt/Satin</x:v>
      </x:c>
      <x:c r="G5" s="89" t="str">
        <x:v>Одна световая сторона</x:v>
      </x:c>
      <x:c r="H5" s="89" t="str">
        <x:v>Ровное красное кольцо</x:v>
      </x:c>
      <x:c r="I5" s="89" t="str">
        <x:v>Carroburg, Sickly Pink, Rhinox, Gorthor</x:v>
      </x:c>
      <x:c r="J5" s="89" t="str">
        <x:v>401–402</x:v>
      </x:c>
    </x:row>
    <x:row r="6">
      <x:c r="A6" s="89" t="str">
        <x:v>Кожа → коготь</x:v>
      </x:c>
      <x:c r="B6" s="89" t="str">
        <x:v>Skin tone</x:v>
      </x:c>
      <x:c r="C6" s="89" t="str">
        <x:v>Rakarth/Snakebite полупрозрачно</x:v>
      </x:c>
      <x:c r="D6" s="89" t="str">
        <x:v>Rhinox/Black tip</x:v>
      </x:c>
      <x:c r="E6" s="89" t="str">
        <x:v>Мягкая кожа → гладкий коготь</x:v>
      </x:c>
      <x:c r="F6" s="89" t="str">
        <x:v>Matt → Satin</x:v>
      </x:c>
      <x:c r="G6" s="89" t="str">
        <x:v>Отражённая линия продолжается по когтю</x:v>
      </x:c>
      <x:c r="H6" s="89" t="str">
        <x:v>Просто чёрный кончик</x:v>
      </x:c>
      <x:c r="I6" s="89" t="str">
        <x:v>Rakarth, Snakebite, Rhinox, Black</x:v>
      </x:c>
      <x:c r="J6" s="89" t="str">
        <x:v>403</x:v>
      </x:c>
    </x:row>
    <x:row r="7">
      <x:c r="A7" s="89" t="str">
        <x:v>Кожа → перепонка</x:v>
      </x:c>
      <x:c r="B7" s="89" t="str">
        <x:v>Stippling skin</x:v>
      </x:c>
      <x:c r="C7" s="89" t="str">
        <x:v>Смеси 3:1 / 1:1 / 1:3</x:v>
      </x:c>
      <x:c r="D7" s="89" t="str">
        <x:v>Smooth membrane glaze</x:v>
      </x:c>
      <x:c r="E7" s="89" t="str">
        <x:v>Точки → гладкий слой</x:v>
      </x:c>
      <x:c r="F7" s="89" t="str">
        <x:v>Matt → Satin</x:v>
      </x:c>
      <x:c r="G7" s="89" t="str">
        <x:v>Свет проходит через обе зоны</x:v>
      </x:c>
      <x:c r="H7" s="89" t="str">
        <x:v>Только цветовой градиент</x:v>
      </x:c>
      <x:c r="I7" s="89" t="str">
        <x:v>Skin base, membrane colour, Medium</x:v>
      </x:c>
      <x:c r="J7" s="89" t="str">
        <x:v>406</x:v>
      </x:c>
    </x:row>
    <x:row r="8">
      <x:c r="A8" s="89" t="str">
        <x:v>Кожа → хитин</x:v>
      </x:c>
      <x:c r="B8" s="89" t="str">
        <x:v>Матовая органика</x:v>
      </x:c>
      <x:c r="C8" s="89" t="str">
        <x:v>Тёмная узкая граница</x:v>
      </x:c>
      <x:c r="D8" s="89" t="str">
        <x:v>Гладкие пластины</x:v>
      </x:c>
      <x:c r="E8" s="89" t="str">
        <x:v>Stipple → чистые отражения</x:v>
      </x:c>
      <x:c r="F8" s="89" t="str">
        <x:v>Matt → Satin/Gloss</x:v>
      </x:c>
      <x:c r="G8" s="89" t="str">
        <x:v>Хитин имеет более резкий блик</x:v>
      </x:c>
      <x:c r="H8" s="89" t="str">
        <x:v>Одинаковая фактура</x:v>
      </x:c>
      <x:c r="I8" s="89" t="str">
        <x:v>Black Lotus/Incubi, Purple/Green chain</x:v>
      </x:c>
      <x:c r="J8" s="89" t="str">
        <x:v>408</x:v>
      </x:c>
    </x:row>
    <x:row r="9">
      <x:c r="A9" s="89" t="str">
        <x:v>Кожа → вросшая броня</x:v>
      </x:c>
      <x:c r="B9" s="89" t="str">
        <x:v>Обычная кожа</x:v>
      </x:c>
      <x:c r="C9" s="89" t="str">
        <x:v>Воспаление и разрыв</x:v>
      </x:c>
      <x:c r="D9" s="89" t="str">
        <x:v>Чистый металл</x:v>
      </x:c>
      <x:c r="E9" s="89" t="str">
        <x:v>Кожа/рана → гладкий металл</x:v>
      </x:c>
      <x:c r="F9" s="89" t="str">
        <x:v>Matt/local Gloss → Metal</x:v>
      </x:c>
      <x:c r="G9" s="89" t="str">
        <x:v>Отражения металла независимы</x:v>
      </x:c>
      <x:c r="H9" s="89" t="str">
        <x:v>Красный фильтр по металлу</x:v>
      </x:c>
      <x:c r="I9" s="89" t="str">
        <x:v>Carroburg, Gory, skin tones, TMM</x:v>
      </x:c>
      <x:c r="J9" s="89" t="str">
        <x:v>407</x:v>
      </x:c>
    </x:row>
    <x:row r="10">
      <x:c r="A10" s="89" t="str">
        <x:v>Кожа → шрам</x:v>
      </x:c>
      <x:c r="B10" s="89" t="str">
        <x:v>Основной skin tone</x:v>
      </x:c>
      <x:c r="C10" s="89" t="str">
        <x:v>Холодная полость</x:v>
      </x:c>
      <x:c r="D10" s="89" t="str">
        <x:v>Светлый поднятый рубец</x:v>
      </x:c>
      <x:c r="E10" s="89" t="str">
        <x:v>Гладкая → тонкая линия</x:v>
      </x:c>
      <x:c r="F10" s="89" t="str">
        <x:v>Matt</x:v>
      </x:c>
      <x:c r="G10" s="89" t="str">
        <x:v>Рубец ловит верхний свет</x:v>
      </x:c>
      <x:c r="H10" s="89" t="str">
        <x:v>Ярко-розовая полоса</x:v>
      </x:c>
      <x:c r="I10" s="89" t="str">
        <x:v>Targor/Dreadful, Rakarth, Pale Flesh</x:v>
      </x:c>
      <x:c r="J10" s="89" t="str">
        <x:v>411</x:v>
      </x:c>
    </x:row>
    <x:row r="11">
      <x:c r="A11" s="89" t="str">
        <x:v>Кожа → ожог</x:v>
      </x:c>
      <x:c r="B11" s="89" t="str">
        <x:v>Обычная кожа</x:v>
      </x:c>
      <x:c r="C11" s="89" t="str">
        <x:v>Burnt Umber/Deep Brown</x:v>
      </x:c>
      <x:c r="D11" s="89" t="str">
        <x:v>Corvus/Black char</x:v>
      </x:c>
      <x:c r="E11" s="89" t="str">
        <x:v>Skin texture → сухая корка</x:v>
      </x:c>
      <x:c r="F11" s="89" t="str">
        <x:v>Matt → более сухой Matt</x:v>
      </x:c>
      <x:c r="G11" s="89" t="str">
        <x:v>Поднятые края сохраняют свет</x:v>
      </x:c>
      <x:c r="H11" s="89" t="str">
        <x:v>Сплошное чёрное пятно</x:v>
      </x:c>
      <x:c r="I11" s="89" t="str">
        <x:v>Black, Corvus, Deep Brown, Gory</x:v>
      </x:c>
      <x:c r="J11" s="89" t="str">
        <x:v>409</x:v>
      </x:c>
    </x:row>
    <x:row r="12">
      <x:c r="A12" s="89" t="str">
        <x:v>Кожа → гнойник</x:v>
      </x:c>
      <x:c r="B12" s="89" t="str">
        <x:v>Матовая кожа</x:v>
      </x:c>
      <x:c r="C12" s="89" t="str">
        <x:v>Carroburg inflammation</x:v>
      </x:c>
      <x:c r="D12" s="89" t="str">
        <x:v>Sickly/Plaguebearer/Pale centre</x:v>
      </x:c>
      <x:c r="E12" s="89" t="str">
        <x:v>Гладкая → натянутая вершина</x:v>
      </x:c>
      <x:c r="F12" s="89" t="str">
        <x:v>Matt → local Gloss</x:v>
      </x:c>
      <x:c r="G12" s="89" t="str">
        <x:v>White point на вершине</x:v>
      </x:c>
      <x:c r="H12" s="89" t="str">
        <x:v>Глянцевая вся кожа</x:v>
      </x:c>
      <x:c r="I12" s="89" t="str">
        <x:v>Carroburg, Sickly Pink, Plaguebearer, Reikland Gloss</x:v>
      </x:c>
      <x:c r="J12" s="89" t="str">
        <x:v>412</x:v>
      </x:c>
    </x:row>
    <x:row r="13">
      <x:c r="A13" s="89" t="str">
        <x:v>Кожа → чешуя</x:v>
      </x:c>
      <x:c r="B13" s="89" t="str">
        <x:v>Крупная гладкая зона</x:v>
      </x:c>
      <x:c r="C13" s="89" t="str">
        <x:v>Редкие кластеры</x:v>
      </x:c>
      <x:c r="D13" s="89" t="str">
        <x:v>Satin scale plates</x:v>
      </x:c>
      <x:c r="E13" s="89" t="str">
        <x:v>Skin stipple → edge-lit scales</x:v>
      </x:c>
      <x:c r="F13" s="89" t="str">
        <x:v>Matt → Satin</x:v>
      </x:c>
      <x:c r="G13" s="89" t="str">
        <x:v>Кластеры подчиняются общей форме</x:v>
      </x:c>
      <x:c r="H13" s="89" t="str">
        <x:v>Одинаковые чешуйки везде</x:v>
      </x:c>
      <x:c r="I13" s="89" t="str">
        <x:v>Dark/mid/light scale colours</x:v>
      </x:c>
      <x:c r="J13" s="89" t="str">
        <x:v>413</x:v>
      </x:c>
    </x:row>
    <x:row r="14">
      <x:c r="A14" s="89" t="str">
        <x:v>Кожа → металл украшения</x:v>
      </x:c>
      <x:c r="B14" s="89" t="str">
        <x:v>Матовая кожа</x:v>
      </x:c>
      <x:c r="C14" s="89" t="str">
        <x:v>Прокол/реакция кожи</x:v>
      </x:c>
      <x:c r="D14" s="89" t="str">
        <x:v>Metal highlight</x:v>
      </x:c>
      <x:c r="E14" s="89" t="str">
        <x:v>Органика → чистая деталь</x:v>
      </x:c>
      <x:c r="F14" s="89" t="str">
        <x:v>Matt/local Gloss → Metal</x:v>
      </x:c>
      <x:c r="G14" s="89" t="str">
        <x:v>Металл получает отдельное отражение</x:v>
      </x:c>
      <x:c r="H14" s="89" t="str">
        <x:v>Одинаковый финиш</x:v>
      </x:c>
      <x:c r="I14" s="89" t="str">
        <x:v>Carroburg, Pale Flesh, TMM, Blood</x:v>
      </x:c>
      <x:c r="J14" s="89" t="str">
        <x:v>415</x:v>
      </x:c>
    </x:row>
    <x:row r="15">
      <x:c r="A15" s="89" t="str">
        <x:v>Пасть → зуб</x:v>
      </x:c>
      <x:c r="B15" s="89" t="str">
        <x:v>Влажные дёсны</x:v>
      </x:c>
      <x:c r="C15" s="89" t="str">
        <x:v>Carroburg/Skeleton Horde root</x:v>
      </x:c>
      <x:c r="D15" s="89" t="str">
        <x:v>Сухой светлый зуб</x:v>
      </x:c>
      <x:c r="E15" s="89" t="str">
        <x:v>Мягкая органика → твёрдая кость</x:v>
      </x:c>
      <x:c r="F15" s="89" t="str">
        <x:v>Satin → Matt</x:v>
      </x:c>
      <x:c r="G15" s="89" t="str">
        <x:v>Кончики зубов ловят свет</x:v>
      </x:c>
      <x:c r="H15" s="89" t="str">
        <x:v>Чисто-белые основания</x:v>
      </x:c>
      <x:c r="I15" s="89" t="str">
        <x:v>Carroburg, Rakarth, Skeleton, Pallid</x:v>
      </x:c>
      <x:c r="J15" s="89" t="str">
        <x:v>398–400</x:v>
      </x:c>
    </x:row>
    <x:row r="16">
      <x:c r="A16" s="89" t="str">
        <x:v>Кожа → светящаяся трещина</x:v>
      </x:c>
      <x:c r="B16" s="89" t="str">
        <x:v>Матовая кожа</x:v>
      </x:c>
      <x:c r="C16" s="89" t="str">
        <x:v>Цветной слабый ореол</x:v>
      </x:c>
      <x:c r="D16" s="89" t="str">
        <x:v>White luminous core</x:v>
      </x:c>
      <x:c r="E16" s="89" t="str">
        <x:v>Skin texture → резкая линия</x:v>
      </x:c>
      <x:c r="F16" s="89" t="str">
        <x:v>Matt → Satin core</x:v>
      </x:c>
      <x:c r="G16" s="89" t="str">
        <x:v>Источник ярче отражения</x:v>
      </x:c>
      <x:c r="H16" s="89" t="str">
        <x:v>Ореол шире и ярче трещины</x:v>
      </x:c>
      <x:c r="I16" s="89" t="str">
        <x:v>White, Contrast/Fluo, skin glaze</x:v>
      </x:c>
      <x:c r="J16" s="89" t="str">
        <x:v>410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ab058ebd7134e53"/>
  </x:tableParts>
</x:worksheet>
</file>

<file path=xl/worksheets/sheet5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58" hidden="0" customWidth="1"/>
    <x:col min="7" max="7" width="18" hidden="0" customWidth="1"/>
    <x:col min="8" max="8" width="18" hidden="0" customWidth="1"/>
  </x:cols>
  <x:sheetData>
    <x:row r="1" ht="38" customHeight="1">
      <x:c r="A1" s="586" t="str">
        <x:v>Навигатор базы техник</x:v>
      </x:c>
      <x:c r="B1" s="586"/>
      <x:c r="C1" s="586"/>
      <x:c r="D1" s="586"/>
      <x:c r="E1" s="586"/>
      <x:c r="F1" s="586"/>
      <x:c r="G1" s="586"/>
      <x:c r="H1" s="586"/>
    </x:row>
    <x:row r="2" ht="36" customHeight="1">
      <x:c r="A2" s="603" t="str">
        <x:v>Введите Recipe ID в жёлтую ячейку. Карточка ниже автоматически подтянет семейство, название, метод, основные слои, финиш и примечание.</x:v>
      </x:c>
      <x:c r="B2" s="603"/>
      <x:c r="C2" s="603"/>
      <x:c r="D2" s="603"/>
      <x:c r="E2" s="603"/>
      <x:c r="F2" s="603"/>
      <x:c r="G2" s="603"/>
      <x:c r="H2" s="603"/>
    </x:row>
    <x:row r="4">
      <x:c r="A4" s="591" t="str">
        <x:v>Recipe ID</x:v>
      </x:c>
      <x:c r="B4" s="606" t="n">
        <x:v>451</x:v>
      </x:c>
    </x:row>
    <x:row r="6">
      <x:c r="A6" s="607" t="str">
        <x:v>Семейство</x:v>
      </x:c>
      <x:c r="B6" s="608" t="str">
        <x:f>IFERROR(INDEX('Матрица слоёв'!$B$5:$B$544,MATCH($B$4,'Матрица слоёв'!$A$5:$A$544,0)),"")</x:f>
        <x:v>Сессионный процесс</x:v>
      </x:c>
      <x:c r="C6" s="608"/>
      <x:c r="D6" s="608"/>
      <x:c r="E6" s="608"/>
      <x:c r="F6" s="608"/>
      <x:c r="G6" s="608"/>
      <x:c r="H6" s="608"/>
    </x:row>
    <x:row r="7">
      <x:c r="A7" s="607" t="str">
        <x:v>Рецепт</x:v>
      </x:c>
      <x:c r="B7" s="608" t="str">
        <x:f>IFERROR(INDEX('Матрица слоёв'!$C$5:$C$544,MATCH($B$4,'Матрица слоёв'!$A$5:$A$544,0)),"")</x:f>
        <x:v>Тестовый участок S01 после масляной проливки</x:v>
      </x:c>
      <x:c r="C7" s="608"/>
      <x:c r="D7" s="608"/>
      <x:c r="E7" s="608"/>
      <x:c r="F7" s="608"/>
      <x:c r="G7" s="608"/>
      <x:c r="H7" s="608"/>
    </x:row>
    <x:row r="8">
      <x:c r="A8" s="607" t="str">
        <x:v>Метод</x:v>
      </x:c>
      <x:c r="B8" s="608" t="str">
        <x:f>IFERROR(INDEX('Матрица слоёв'!$D$5:$D$544,MATCH($B$4,'Матрица слоёв'!$A$5:$A$544,0)),"")</x:f>
        <x:v>Один сегмент перед всей моделью</x:v>
      </x:c>
      <x:c r="C8" s="608"/>
      <x:c r="D8" s="608"/>
      <x:c r="E8" s="608"/>
      <x:c r="F8" s="608"/>
      <x:c r="G8" s="608"/>
      <x:c r="H8" s="608"/>
    </x:row>
    <x:row r="9">
      <x:c r="A9" s="607" t="str">
        <x:v>Подложка</x:v>
      </x:c>
      <x:c r="B9" s="608" t="str">
        <x:f>IFERROR(INDEX('Матрица слоёв'!$E$5:$E$544,MATCH($B$4,'Матрица слоёв'!$A$5:$A$544,0)),"")</x:f>
        <x:v>Полностью высохшая масляная поверхность</x:v>
      </x:c>
      <x:c r="C9" s="608"/>
      <x:c r="D9" s="608"/>
      <x:c r="E9" s="608"/>
      <x:c r="F9" s="608"/>
      <x:c r="G9" s="608"/>
      <x:c r="H9" s="608"/>
    </x:row>
    <x:row r="10">
      <x:c r="A10" s="607" t="str">
        <x:v>База</x:v>
      </x:c>
      <x:c r="B10" s="608" t="str">
        <x:f>IFERROR(INDEX('Матрица слоёв'!$F$5:$F$544,MATCH($B$4,'Матрица слоёв'!$A$5:$A$544,0)),"")</x:f>
        <x:v>Выбранный основной skin tone + Lahmian Medium 1:3</x:v>
      </x:c>
      <x:c r="C10" s="608"/>
      <x:c r="D10" s="608"/>
      <x:c r="E10" s="608"/>
      <x:c r="F10" s="608"/>
      <x:c r="G10" s="608"/>
      <x:c r="H10" s="608"/>
    </x:row>
    <x:row r="11">
      <x:c r="A11" s="607" t="str">
        <x:v>Тень</x:v>
      </x:c>
      <x:c r="B11" s="608" t="str">
        <x:f>IFERROR(INDEX('Матрица слоёв'!$G$5:$G$544,MATCH($B$4,'Матрица слоёв'!$A$5:$A$544,0)),"")</x:f>
        <x:v>Не трогать самое глубокое углубление</x:v>
      </x:c>
      <x:c r="C11" s="608"/>
      <x:c r="D11" s="608"/>
      <x:c r="E11" s="608"/>
      <x:c r="F11" s="608"/>
      <x:c r="G11" s="608"/>
      <x:c r="H11" s="608"/>
    </x:row>
    <x:row r="12">
      <x:c r="A12" s="607" t="str">
        <x:v>Средний слой</x:v>
      </x:c>
      <x:c r="B12" s="608" t="str">
        <x:f>IFERROR(INDEX('Матрица слоёв'!$H$5:$H$544,MATCH($B$4,'Матрица слоёв'!$A$5:$A$544,0)),"")</x:f>
        <x:v>Вернуть цвет на участке 10–15 мм</x:v>
      </x:c>
      <x:c r="C12" s="608"/>
      <x:c r="D12" s="608"/>
      <x:c r="E12" s="608"/>
      <x:c r="F12" s="608"/>
      <x:c r="G12" s="608"/>
      <x:c r="H12" s="608"/>
    </x:row>
    <x:row r="13">
      <x:c r="A13" s="607" t="str">
        <x:v>Свет 1</x:v>
      </x:c>
      <x:c r="B13" s="608" t="str">
        <x:f>IFERROR(INDEX('Матрица слоёв'!$I$5:$I$544,MATCH($B$4,'Матрица слоёв'!$A$5:$A$544,0)),"")</x:f>
        <x:v>Добавить один более светлый тон</x:v>
      </x:c>
      <x:c r="C13" s="608"/>
      <x:c r="D13" s="608"/>
      <x:c r="E13" s="608"/>
      <x:c r="F13" s="608"/>
      <x:c r="G13" s="608"/>
      <x:c r="H13" s="608"/>
    </x:row>
    <x:row r="14">
      <x:c r="A14" s="607" t="str">
        <x:v>Свет 2</x:v>
      </x:c>
      <x:c r="B14" s="608" t="str">
        <x:f>IFERROR(INDEX('Матрица слоёв'!$J$5:$J$544,MATCH($B$4,'Матрица слоёв'!$A$5:$A$544,0)),"")</x:f>
        <x:v>Pale Flesh только на верхней кромке</x:v>
      </x:c>
      <x:c r="C14" s="608"/>
      <x:c r="D14" s="608"/>
      <x:c r="E14" s="608"/>
      <x:c r="F14" s="608"/>
      <x:c r="G14" s="608"/>
      <x:c r="H14" s="608"/>
    </x:row>
    <x:row r="15">
      <x:c r="A15" s="607" t="str">
        <x:v>Акцент</x:v>
      </x:c>
      <x:c r="B15" s="608" t="str">
        <x:f>IFERROR(INDEX('Матрица слоёв'!$K$5:$K$544,MATCH($B$4,'Матрица слоёв'!$A$5:$A$544,0)),"")</x:f>
        <x:v>—</x:v>
      </x:c>
      <x:c r="C15" s="608"/>
      <x:c r="D15" s="608"/>
      <x:c r="E15" s="608"/>
      <x:c r="F15" s="608"/>
      <x:c r="G15" s="608"/>
      <x:c r="H15" s="608"/>
    </x:row>
    <x:row r="16">
      <x:c r="A16" s="607" t="str">
        <x:v>Фильтр/эффект</x:v>
      </x:c>
      <x:c r="B16" s="608" t="str">
        <x:f>IFERROR(INDEX('Матрица слоёв'!$L$5:$L$544,MATCH($B$4,'Матрица слоёв'!$A$5:$A$544,0)),"")</x:f>
        <x:v>Skin tone 1:10 для объединения</x:v>
      </x:c>
      <x:c r="C16" s="608"/>
      <x:c r="D16" s="608"/>
      <x:c r="E16" s="608"/>
      <x:c r="F16" s="608"/>
      <x:c r="G16" s="608"/>
      <x:c r="H16" s="608"/>
    </x:row>
    <x:row r="17">
      <x:c r="A17" s="607" t="str">
        <x:v>Финиш</x:v>
      </x:c>
      <x:c r="B17" s="608" t="str">
        <x:f>IFERROR(INDEX('Матрица слоёв'!$M$5:$M$544,MATCH($B$4,'Матрица слоёв'!$A$5:$A$544,0)),"")</x:f>
        <x:v>Без финального лака</x:v>
      </x:c>
      <x:c r="C17" s="608"/>
      <x:c r="D17" s="608"/>
      <x:c r="E17" s="608"/>
      <x:c r="F17" s="608"/>
      <x:c r="G17" s="608"/>
      <x:c r="H17" s="608"/>
    </x:row>
    <x:row r="18">
      <x:c r="A18" s="607" t="str">
        <x:v>Сложность</x:v>
      </x:c>
      <x:c r="B18" s="608" t="str">
        <x:f>IFERROR(INDEX('Матрица слоёв'!$N$5:$N$544,MATCH($B$4,'Матрица слоёв'!$A$5:$A$544,0)),"")</x:f>
        <x:v>Низкая</x:v>
      </x:c>
      <x:c r="C18" s="608"/>
      <x:c r="D18" s="608"/>
      <x:c r="E18" s="608"/>
      <x:c r="F18" s="608"/>
      <x:c r="G18" s="608"/>
      <x:c r="H18" s="608"/>
    </x:row>
    <x:row r="19">
      <x:c r="A19" s="607" t="str">
        <x:v>Примечание</x:v>
      </x:c>
      <x:c r="B19" s="608" t="str">
        <x:f>IFERROR(INDEX('Матрица слоёв'!$O$5:$O$544,MATCH($B$4,'Матрица слоёв'!$A$5:$A$544,0)),"")</x:f>
        <x:v>Тест проводится на задней или нижней части плеча. Распространять смесь на торс только после проверки цвета, гладкости и сохранения масляной тени.</x:v>
      </x:c>
      <x:c r="C19" s="608"/>
      <x:c r="D19" s="608"/>
      <x:c r="E19" s="608"/>
      <x:c r="F19" s="608"/>
      <x:c r="G19" s="608"/>
      <x:c r="H19" s="608"/>
    </x:row>
    <x:row r="23">
      <x:c r="A23" s="791" t="str">
        <x:v>Семейство</x:v>
      </x:c>
      <x:c r="B23" s="791" t="str">
        <x:v>Количество</x:v>
      </x:c>
      <x:c r="C23" s="791" t="str">
        <x:v>Минимальный ID</x:v>
      </x:c>
      <x:c r="D23" s="791" t="str">
        <x:v>Максимальный ID</x:v>
      </x:c>
      <x:c r="E23" s="791" t="str">
        <x:v>Диапазон</x:v>
      </x:c>
      <x:c r="F23" s="791" t="str">
        <x:v>Основное применение</x:v>
      </x:c>
    </x:row>
    <x:row r="24">
      <x:c r="A24" s="89" t="str">
        <x:v>Монстры и демоны</x:v>
      </x:c>
      <x:c r="B24" s="89" t="n">
        <x:v>70</x:v>
      </x:c>
      <x:c r="C24" s="89" t="n">
        <x:v>391</x:v>
      </x:c>
      <x:c r="D24" s="89" t="n">
        <x:v>535</x:v>
      </x:c>
      <x:c r="E24" s="89" t="str">
        <x:v>391–535</x:v>
      </x:c>
      <x:c r="F24" s="89" t="str">
        <x:v>Крупная органика, анатомия, фактура и физиология</x:v>
      </x:c>
    </x:row>
    <x:row r="25">
      <x:c r="A25" s="89" t="str">
        <x:v>Металлик</x:v>
      </x:c>
      <x:c r="B25" s="89" t="n">
        <x:v>31</x:v>
      </x:c>
      <x:c r="C25" s="89" t="n">
        <x:v>52</x:v>
      </x:c>
      <x:c r="D25" s="89" t="n">
        <x:v>265</x:v>
      </x:c>
      <x:c r="E25" s="89" t="str">
        <x:v>52–265</x:v>
      </x:c>
      <x:c r="F25" s="89" t="str">
        <x:v>Специализированные цветовые и материальные рецепты</x:v>
      </x:c>
    </x:row>
    <x:row r="26">
      <x:c r="A26" s="89" t="str">
        <x:v>Эффекты</x:v>
      </x:c>
      <x:c r="B26" s="89" t="n">
        <x:v>29</x:v>
      </x:c>
      <x:c r="C26" s="89" t="n">
        <x:v>61</x:v>
      </x:c>
      <x:c r="D26" s="89" t="n">
        <x:v>300</x:v>
      </x:c>
      <x:c r="E26" s="89" t="str">
        <x:v>61–300</x:v>
      </x:c>
      <x:c r="F26" s="89" t="str">
        <x:v>Специализированные цветовые и материальные рецепты</x:v>
      </x:c>
    </x:row>
    <x:row r="27">
      <x:c r="A27" s="89" t="str">
        <x:v>Телесный</x:v>
      </x:c>
      <x:c r="B27" s="89" t="n">
        <x:v>27</x:v>
      </x:c>
      <x:c r="C27" s="89" t="n">
        <x:v>31</x:v>
      </x:c>
      <x:c r="D27" s="89" t="n">
        <x:v>274</x:v>
      </x:c>
      <x:c r="E27" s="89" t="str">
        <x:v>31–274</x:v>
      </x:c>
      <x:c r="F27" s="89" t="str">
        <x:v>Специализированные цветовые и материальные рецепты</x:v>
      </x:c>
    </x:row>
    <x:row r="28">
      <x:c r="A28" s="89" t="str">
        <x:v>Контроль качества</x:v>
      </x:c>
      <x:c r="B28" s="89" t="n">
        <x:v>21</x:v>
      </x:c>
      <x:c r="C28" s="89" t="n">
        <x:v>359</x:v>
      </x:c>
      <x:c r="D28" s="89" t="n">
        <x:v>539</x:v>
      </x:c>
      <x:c r="E28" s="89" t="str">
        <x:v>359–539</x:v>
      </x:c>
      <x:c r="F28" s="89" t="str">
        <x:v>Тесты, фото, gates и критерии остановки</x:v>
      </x:c>
    </x:row>
    <x:row r="29">
      <x:c r="A29" s="89" t="str">
        <x:v>Композиция и свет</x:v>
      </x:c>
      <x:c r="B29" s="89" t="n">
        <x:v>20</x:v>
      </x:c>
      <x:c r="C29" s="89" t="n">
        <x:v>331</x:v>
      </x:c>
      <x:c r="D29" s="89" t="n">
        <x:v>350</x:v>
      </x:c>
      <x:c r="E29" s="89" t="str">
        <x:v>331–350</x:v>
      </x:c>
      <x:c r="F29" s="89" t="str">
        <x:v>Направление света и фокус</x:v>
      </x:c>
    </x:row>
    <x:row r="30">
      <x:c r="A30" s="89" t="str">
        <x:v>Коррекция</x:v>
      </x:c>
      <x:c r="B30" s="89" t="n">
        <x:v>18</x:v>
      </x:c>
      <x:c r="C30" s="89" t="n">
        <x:v>379</x:v>
      </x:c>
      <x:c r="D30" s="89" t="n">
        <x:v>538</x:v>
      </x:c>
      <x:c r="E30" s="89" t="str">
        <x:v>379–538</x:v>
      </x:c>
      <x:c r="F30" s="89" t="str">
        <x:v>Ремонт анатомии, фактуры и переходов</x:v>
      </x:c>
    </x:row>
    <x:row r="31">
      <x:c r="A31" s="89" t="str">
        <x:v>Сессионный процесс</x:v>
      </x:c>
      <x:c r="B31" s="89" t="n">
        <x:v>18</x:v>
      </x:c>
      <x:c r="C31" s="89" t="n">
        <x:v>451</x:v>
      </x:c>
      <x:c r="D31" s="89" t="n">
        <x:v>512</x:v>
      </x:c>
      <x:c r="E31" s="89" t="str">
        <x:v>451–512</x:v>
      </x:c>
      <x:c r="F31" s="89" t="str">
        <x:v>Пошаговое выполнение ограниченной покрасочной сессии</x:v>
      </x:c>
    </x:row>
    <x:row r="32">
      <x:c r="A32" s="89" t="str">
        <x:v>Подставки и террейн</x:v>
      </x:c>
      <x:c r="B32" s="89" t="n">
        <x:v>15</x:v>
      </x:c>
      <x:c r="C32" s="89" t="n">
        <x:v>93</x:v>
      </x:c>
      <x:c r="D32" s="89" t="n">
        <x:v>446</x:v>
      </x:c>
      <x:c r="E32" s="89" t="str">
        <x:v>93–446</x:v>
      </x:c>
      <x:c r="F32" s="89" t="str">
        <x:v>Камень, кости, кровь, пыль и магия</x:v>
      </x:c>
    </x:row>
    <x:row r="33">
      <x:c r="A33" s="89" t="str">
        <x:v>Зелёный</x:v>
      </x:c>
      <x:c r="B33" s="89" t="n">
        <x:v>14</x:v>
      </x:c>
      <x:c r="C33" s="89" t="n">
        <x:v>12</x:v>
      </x:c>
      <x:c r="D33" s="89" t="n">
        <x:v>275</x:v>
      </x:c>
      <x:c r="E33" s="89" t="str">
        <x:v>12–275</x:v>
      </x:c>
      <x:c r="F33" s="89" t="str">
        <x:v>Специализированные цветовые и материальные рецепты</x:v>
      </x:c>
    </x:row>
    <x:row r="34">
      <x:c r="A34" s="89" t="str">
        <x:v>Синий</x:v>
      </x:c>
      <x:c r="B34" s="89" t="n">
        <x:v>14</x:v>
      </x:c>
      <x:c r="C34" s="89" t="n">
        <x:v>18</x:v>
      </x:c>
      <x:c r="D34" s="89" t="n">
        <x:v>245</x:v>
      </x:c>
      <x:c r="E34" s="89" t="str">
        <x:v>18–245</x:v>
      </x:c>
      <x:c r="F34" s="89" t="str">
        <x:v>Специализированные цветовые и материальные рецепты</x:v>
      </x:c>
    </x:row>
    <x:row r="35">
      <x:c r="A35" s="89" t="str">
        <x:v>Красный</x:v>
      </x:c>
      <x:c r="B35" s="89" t="n">
        <x:v>13</x:v>
      </x:c>
      <x:c r="C35" s="89" t="n">
        <x:v>1</x:v>
      </x:c>
      <x:c r="D35" s="89" t="n">
        <x:v>261</x:v>
      </x:c>
      <x:c r="E35" s="89" t="str">
        <x:v>1–261</x:v>
      </x:c>
      <x:c r="F35" s="89" t="str">
        <x:v>Специализированные цветовые и материальные рецепты</x:v>
      </x:c>
    </x:row>
    <x:row r="36">
      <x:c r="A36" s="89" t="str">
        <x:v>Фиолетовый и розовый</x:v>
      </x:c>
      <x:c r="B36" s="89" t="n">
        <x:v>13</x:v>
      </x:c>
      <x:c r="C36" s="89" t="n">
        <x:v>25</x:v>
      </x:c>
      <x:c r="D36" s="89" t="n">
        <x:v>251</x:v>
      </x:c>
      <x:c r="E36" s="89" t="str">
        <x:v>25–251</x:v>
      </x:c>
      <x:c r="F36" s="89" t="str">
        <x:v>Специализированные цветовые и материальные рецепты</x:v>
      </x:c>
    </x:row>
    <x:row r="37">
      <x:c r="A37" s="89" t="str">
        <x:v>Кость и белый</x:v>
      </x:c>
      <x:c r="B37" s="89" t="n">
        <x:v>12</x:v>
      </x:c>
      <x:c r="C37" s="89" t="n">
        <x:v>44</x:v>
      </x:c>
      <x:c r="D37" s="89" t="n">
        <x:v>271</x:v>
      </x:c>
      <x:c r="E37" s="89" t="str">
        <x:v>44–271</x:v>
      </x:c>
      <x:c r="F37" s="89" t="str">
        <x:v>Специализированные цветовые и материальные рецепты</x:v>
      </x:c>
    </x:row>
    <x:row r="38">
      <x:c r="A38" s="89" t="str">
        <x:v>Жёлтый и оранжевый</x:v>
      </x:c>
      <x:c r="B38" s="89" t="n">
        <x:v>11</x:v>
      </x:c>
      <x:c r="C38" s="89" t="n">
        <x:v>7</x:v>
      </x:c>
      <x:c r="D38" s="89" t="n">
        <x:v>249</x:v>
      </x:c>
      <x:c r="E38" s="89" t="str">
        <x:v>7–249</x:v>
      </x:c>
      <x:c r="F38" s="89" t="str">
        <x:v>Специализированные цветовые и материальные рецепты</x:v>
      </x:c>
    </x:row>
    <x:row r="39">
      <x:c r="A39" s="89" t="str">
        <x:v>Коричневый и кожа</x:v>
      </x:c>
      <x:c r="B39" s="89" t="n">
        <x:v>11</x:v>
      </x:c>
      <x:c r="C39" s="89" t="n">
        <x:v>38</x:v>
      </x:c>
      <x:c r="D39" s="89" t="n">
        <x:v>272</x:v>
      </x:c>
      <x:c r="E39" s="89" t="str">
        <x:v>38–272</x:v>
      </x:c>
      <x:c r="F39" s="89" t="str">
        <x:v>Специализированные цветовые и материальные рецепты</x:v>
      </x:c>
    </x:row>
    <x:row r="40">
      <x:c r="A40" s="89" t="str">
        <x:v>Лицо и глаза</x:v>
      </x:c>
      <x:c r="B40" s="89" t="n">
        <x:v>11</x:v>
      </x:c>
      <x:c r="C40" s="89" t="n">
        <x:v>101</x:v>
      </x:c>
      <x:c r="D40" s="89" t="n">
        <x:v>220</x:v>
      </x:c>
      <x:c r="E40" s="89" t="str">
        <x:v>101–220</x:v>
      </x:c>
      <x:c r="F40" s="89" t="str">
        <x:v>Специализированные цветовые и материальные рецепты</x:v>
      </x:c>
    </x:row>
    <x:row r="41">
      <x:c r="A41" s="89" t="str">
        <x:v>Масла</x:v>
      </x:c>
      <x:c r="B41" s="89" t="n">
        <x:v>11</x:v>
      </x:c>
      <x:c r="C41" s="89" t="n">
        <x:v>179</x:v>
      </x:c>
      <x:c r="D41" s="89" t="n">
        <x:v>320</x:v>
      </x:c>
      <x:c r="E41" s="89" t="str">
        <x:v>179–320</x:v>
      </x:c>
      <x:c r="F41" s="89" t="str">
        <x:v>Pin-wash, mapping, streaking и интеграция</x:v>
      </x:c>
    </x:row>
    <x:row r="42">
      <x:c r="A42" s="89" t="str">
        <x:v>Freehand и маркировка</x:v>
      </x:c>
      <x:c r="B42" s="89" t="n">
        <x:v>10</x:v>
      </x:c>
      <x:c r="C42" s="89" t="n">
        <x:v>221</x:v>
      </x:c>
      <x:c r="D42" s="89" t="n">
        <x:v>230</x:v>
      </x:c>
      <x:c r="E42" s="89" t="str">
        <x:v>221–230</x:v>
      </x:c>
      <x:c r="F42" s="89" t="str">
        <x:v>Специализированные цветовые и материальные рецепты</x:v>
      </x:c>
    </x:row>
    <x:row r="43">
      <x:c r="A43" s="89" t="str">
        <x:v>NMM</x:v>
      </x:c>
      <x:c r="B43" s="89" t="n">
        <x:v>10</x:v>
      </x:c>
      <x:c r="C43" s="89" t="n">
        <x:v>281</x:v>
      </x:c>
      <x:c r="D43" s="89" t="n">
        <x:v>290</x:v>
      </x:c>
      <x:c r="E43" s="89" t="str">
        <x:v>281–290</x:v>
      </x:c>
      <x:c r="F43" s="89" t="str">
        <x:v>Металл без metallic paints</x:v>
      </x:c>
    </x:row>
    <x:row r="44">
      <x:c r="A44" s="89" t="str">
        <x:v>Камуфляж</x:v>
      </x:c>
      <x:c r="B44" s="89" t="n">
        <x:v>10</x:v>
      </x:c>
      <x:c r="C44" s="89" t="n">
        <x:v>172</x:v>
      </x:c>
      <x:c r="D44" s="89" t="n">
        <x:v>328</x:v>
      </x:c>
      <x:c r="E44" s="89" t="str">
        <x:v>172–328</x:v>
      </x:c>
      <x:c r="F44" s="89" t="str">
        <x:v>Специализированные цветовые и материальные рецепты</x:v>
      </x:c>
    </x:row>
    <x:row r="45">
      <x:c r="A45" s="89" t="str">
        <x:v>Кровь и gore</x:v>
      </x:c>
      <x:c r="B45" s="89" t="n">
        <x:v>10</x:v>
      </x:c>
      <x:c r="C45" s="89" t="n">
        <x:v>301</x:v>
      </x:c>
      <x:c r="D45" s="89" t="n">
        <x:v>310</x:v>
      </x:c>
      <x:c r="E45" s="89" t="str">
        <x:v>301–310</x:v>
      </x:c>
      <x:c r="F45" s="89" t="str">
        <x:v>Специализированные цветовые и материальные рецепты</x:v>
      </x:c>
    </x:row>
    <x:row r="46">
      <x:c r="A46" s="89" t="str">
        <x:v>Проектный процесс</x:v>
      </x:c>
      <x:c r="B46" s="89" t="n">
        <x:v>10</x:v>
      </x:c>
      <x:c r="C46" s="89" t="n">
        <x:v>419</x:v>
      </x:c>
      <x:c r="D46" s="89" t="n">
        <x:v>540</x:v>
      </x:c>
      <x:c r="E46" s="89" t="str">
        <x:v>419–540</x:v>
      </x:c>
      <x:c r="F46" s="89" t="str">
        <x:v>Зависимости и переход между сессиями</x:v>
      </x:c>
    </x:row>
    <x:row r="47">
      <x:c r="A47" s="89" t="str">
        <x:v>Серый и чёрный</x:v>
      </x:c>
      <x:c r="B47" s="89" t="n">
        <x:v>9</x:v>
      </x:c>
      <x:c r="C47" s="89" t="n">
        <x:v>48</x:v>
      </x:c>
      <x:c r="D47" s="89" t="n">
        <x:v>257</x:v>
      </x:c>
      <x:c r="E47" s="89" t="str">
        <x:v>48–257</x:v>
      </x:c>
      <x:c r="F47" s="89" t="str">
        <x:v>Специализированные цветовые и материальные рецепты</x:v>
      </x:c>
    </x:row>
    <x:row r="48">
      <x:c r="A48" s="89" t="str">
        <x:v>Армейский пайплайн</x:v>
      </x:c>
      <x:c r="B48" s="89" t="n">
        <x:v>8</x:v>
      </x:c>
      <x:c r="C48" s="89" t="n">
        <x:v>351</x:v>
      </x:c>
      <x:c r="D48" s="89" t="n">
        <x:v>358</x:v>
      </x:c>
      <x:c r="E48" s="89" t="str">
        <x:v>351–358</x:v>
      </x:c>
      <x:c r="F48" s="89" t="str">
        <x:v>Специализированные цветовые и материальные рецепты</x:v>
      </x:c>
    </x:row>
    <x:row r="49">
      <x:c r="A49" s="89" t="str">
        <x:v>Декали</x:v>
      </x:c>
      <x:c r="B49" s="89" t="n">
        <x:v>8</x:v>
      </x:c>
      <x:c r="C49" s="89" t="n">
        <x:v>371</x:v>
      </x:c>
      <x:c r="D49" s="89" t="n">
        <x:v>378</x:v>
      </x:c>
      <x:c r="E49" s="89" t="str">
        <x:v>371–378</x:v>
      </x:c>
      <x:c r="F49" s="89" t="str">
        <x:v>Специализированные цветовые и материальные рецепты</x:v>
      </x:c>
    </x:row>
    <x:row r="50">
      <x:c r="A50" s="89" t="str">
        <x:v>Переходы материалов</x:v>
      </x:c>
      <x:c r="B50" s="89" t="n">
        <x:v>8</x:v>
      </x:c>
      <x:c r="C50" s="89" t="n">
        <x:v>401</x:v>
      </x:c>
      <x:c r="D50" s="89" t="n">
        <x:v>536</x:v>
      </x:c>
      <x:c r="E50" s="89" t="str">
        <x:v>401–536</x:v>
      </x:c>
      <x:c r="F50" s="89" t="str">
        <x:v>Смена цвета, фактуры и финиша</x:v>
      </x:c>
    </x:row>
    <x:row r="51">
      <x:c r="A51" s="89" t="str">
        <x:v>Линзы и визоры</x:v>
      </x:c>
      <x:c r="B51" s="89" t="n">
        <x:v>7</x:v>
      </x:c>
      <x:c r="C51" s="89" t="n">
        <x:v>108</x:v>
      </x:c>
      <x:c r="D51" s="89" t="n">
        <x:v>278</x:v>
      </x:c>
      <x:c r="E51" s="89" t="str">
        <x:v>108–278</x:v>
      </x:c>
      <x:c r="F51" s="89" t="str">
        <x:v>Специализированные цветовые и материальные рецепты</x:v>
      </x:c>
    </x:row>
    <x:row r="52">
      <x:c r="A52" s="89" t="str">
        <x:v>Волосы и мех</x:v>
      </x:c>
      <x:c r="B52" s="89" t="n">
        <x:v>6</x:v>
      </x:c>
      <x:c r="C52" s="89" t="n">
        <x:v>164</x:v>
      </x:c>
      <x:c r="D52" s="89" t="n">
        <x:v>253</x:v>
      </x:c>
      <x:c r="E52" s="89" t="str">
        <x:v>164–253</x:v>
      </x:c>
      <x:c r="F52" s="89" t="str">
        <x:v>Специализированные цветовые и материальные рецепты</x:v>
      </x:c>
    </x:row>
    <x:row r="53">
      <x:c r="A53" s="89" t="str">
        <x:v>Субсборки</x:v>
      </x:c>
      <x:c r="B53" s="89" t="n">
        <x:v>6</x:v>
      </x:c>
      <x:c r="C53" s="89" t="n">
        <x:v>361</x:v>
      </x:c>
      <x:c r="D53" s="89" t="n">
        <x:v>366</x:v>
      </x:c>
      <x:c r="E53" s="89" t="str">
        <x:v>361–366</x:v>
      </x:c>
      <x:c r="F53" s="89" t="str">
        <x:v>Специализированные цветовые и материальные рецепты</x:v>
      </x:c>
    </x:row>
    <x:row r="54">
      <x:c r="A54" s="89" t="str">
        <x:v>Дым и туман</x:v>
      </x:c>
      <x:c r="B54" s="89" t="n">
        <x:v>5</x:v>
      </x:c>
      <x:c r="C54" s="89" t="n">
        <x:v>191</x:v>
      </x:c>
      <x:c r="D54" s="89" t="n">
        <x:v>195</x:v>
      </x:c>
      <x:c r="E54" s="89" t="str">
        <x:v>191–195</x:v>
      </x:c>
      <x:c r="F54" s="89" t="str">
        <x:v>Специализированные цветовые и материальные рецепты</x:v>
      </x:c>
    </x:row>
    <x:row r="55">
      <x:c r="A55" s="89" t="str">
        <x:v>Крылья</x:v>
      </x:c>
      <x:c r="B55" s="89" t="n">
        <x:v>5</x:v>
      </x:c>
      <x:c r="C55" s="89" t="n">
        <x:v>429</x:v>
      </x:c>
      <x:c r="D55" s="89" t="n">
        <x:v>433</x:v>
      </x:c>
      <x:c r="E55" s="89" t="str">
        <x:v>429–433</x:v>
      </x:c>
      <x:c r="F55" s="89" t="str">
        <x:v>Перепонки, жилки, свет и повреждения</x:v>
      </x:c>
    </x:row>
    <x:row r="56">
      <x:c r="A56" s="89" t="str">
        <x:v>Лак и керамика</x:v>
      </x:c>
      <x:c r="B56" s="89" t="n">
        <x:v>5</x:v>
      </x:c>
      <x:c r="C56" s="89" t="n">
        <x:v>187</x:v>
      </x:c>
      <x:c r="D56" s="89" t="n">
        <x:v>296</x:v>
      </x:c>
      <x:c r="E56" s="89" t="str">
        <x:v>187–296</x:v>
      </x:c>
      <x:c r="F56" s="89" t="str">
        <x:v>Специализированные цветовые и материальные рецепты</x:v>
      </x:c>
    </x:row>
    <x:row r="57">
      <x:c r="A57" s="89" t="str">
        <x:v>Мокрая органика</x:v>
      </x:c>
      <x:c r="B57" s="89" t="n">
        <x:v>5</x:v>
      </x:c>
      <x:c r="C57" s="89" t="n">
        <x:v>181</x:v>
      </x:c>
      <x:c r="D57" s="89" t="n">
        <x:v>250</x:v>
      </x:c>
      <x:c r="E57" s="89" t="str">
        <x:v>181–250</x:v>
      </x:c>
      <x:c r="F57" s="89" t="str">
        <x:v>Специализированные цветовые и материальные рецепты</x:v>
      </x:c>
    </x:row>
    <x:row r="58">
      <x:c r="A58" s="89" t="str">
        <x:v>Направленное загрязнение</x:v>
      </x:c>
      <x:c r="B58" s="89" t="n">
        <x:v>5</x:v>
      </x:c>
      <x:c r="C58" s="89" t="n">
        <x:v>231</x:v>
      </x:c>
      <x:c r="D58" s="89" t="n">
        <x:v>235</x:v>
      </x:c>
      <x:c r="E58" s="89" t="str">
        <x:v>231–235</x:v>
      </x:c>
      <x:c r="F58" s="89" t="str">
        <x:v>Специализированные цветовые и материальные рецепты</x:v>
      </x:c>
    </x:row>
    <x:row r="59">
      <x:c r="A59" s="89" t="str">
        <x:v>Техника и панели</x:v>
      </x:c>
      <x:c r="B59" s="89" t="n">
        <x:v>5</x:v>
      </x:c>
      <x:c r="C59" s="89" t="n">
        <x:v>174</x:v>
      </x:c>
      <x:c r="D59" s="89" t="n">
        <x:v>204</x:v>
      </x:c>
      <x:c r="E59" s="89" t="str">
        <x:v>174–204</x:v>
      </x:c>
      <x:c r="F59" s="89" t="str">
        <x:v>Специализированные цветовые и материальные рецепты</x:v>
      </x:c>
    </x:row>
    <x:row r="60">
      <x:c r="A60" s="89" t="str">
        <x:v>Ткань</x:v>
      </x:c>
      <x:c r="B60" s="89" t="n">
        <x:v>5</x:v>
      </x:c>
      <x:c r="C60" s="89" t="n">
        <x:v>169</x:v>
      </x:c>
      <x:c r="D60" s="89" t="n">
        <x:v>293</x:v>
      </x:c>
      <x:c r="E60" s="89" t="str">
        <x:v>169–293</x:v>
      </x:c>
      <x:c r="F60" s="89" t="str">
        <x:v>Специализированные цветовые и материальные рецепты</x:v>
      </x:c>
    </x:row>
    <x:row r="61">
      <x:c r="A61" s="89" t="str">
        <x:v>Камень и декоративные поверхности</x:v>
      </x:c>
      <x:c r="B61" s="89" t="n">
        <x:v>4</x:v>
      </x:c>
      <x:c r="C61" s="89" t="n">
        <x:v>160</x:v>
      </x:c>
      <x:c r="D61" s="89" t="n">
        <x:v>201</x:v>
      </x:c>
      <x:c r="E61" s="89" t="str">
        <x:v>160–201</x:v>
      </x:c>
      <x:c r="F61" s="89" t="str">
        <x:v>Специализированные цветовые и материальные рецепты</x:v>
      </x:c>
    </x:row>
    <x:row r="62">
      <x:c r="A62" s="89" t="str">
        <x:v>Лёд и кристаллы</x:v>
      </x:c>
      <x:c r="B62" s="89" t="n">
        <x:v>4</x:v>
      </x:c>
      <x:c r="C62" s="89" t="n">
        <x:v>190</x:v>
      </x:c>
      <x:c r="D62" s="89" t="n">
        <x:v>298</x:v>
      </x:c>
      <x:c r="E62" s="89" t="str">
        <x:v>190–298</x:v>
      </x:c>
      <x:c r="F62" s="89" t="str">
        <x:v>Специализированные цветовые и материальные рецепты</x:v>
      </x:c>
    </x:row>
    <x:row r="63">
      <x:c r="A63" s="89" t="str">
        <x:v>Маскирование</x:v>
      </x:c>
      <x:c r="B63" s="89" t="n">
        <x:v>4</x:v>
      </x:c>
      <x:c r="C63" s="89" t="n">
        <x:v>367</x:v>
      </x:c>
      <x:c r="D63" s="89" t="n">
        <x:v>370</x:v>
      </x:c>
      <x:c r="E63" s="89" t="str">
        <x:v>367–370</x:v>
      </x:c>
      <x:c r="F63" s="89" t="str">
        <x:v>Специализированные цветовые и материальные рецепты</x:v>
      </x:c>
    </x:row>
    <x:row r="64">
      <x:c r="A64" s="89" t="str">
        <x:v>Повреждения брони</x:v>
      </x:c>
      <x:c r="B64" s="89" t="n">
        <x:v>4</x:v>
      </x:c>
      <x:c r="C64" s="89" t="n">
        <x:v>236</x:v>
      </x:c>
      <x:c r="D64" s="89" t="n">
        <x:v>239</x:v>
      </x:c>
      <x:c r="E64" s="89" t="str">
        <x:v>236–239</x:v>
      </x:c>
      <x:c r="F64" s="89" t="str">
        <x:v>Специализированные цветовые и материальные рецепты</x:v>
      </x:c>
    </x:row>
    <x:row r="65">
      <x:c r="A65" s="89" t="str">
        <x:v>Рога и когти</x:v>
      </x:c>
      <x:c r="B65" s="89" t="n">
        <x:v>4</x:v>
      </x:c>
      <x:c r="C65" s="89" t="n">
        <x:v>434</x:v>
      </x:c>
      <x:c r="D65" s="89" t="n">
        <x:v>437</x:v>
      </x:c>
      <x:c r="E65" s="89" t="str">
        <x:v>434–437</x:v>
      </x:c>
      <x:c r="F65" s="89" t="str">
        <x:v>Твёрдая органика и направленный износ</x:v>
      </x:c>
    </x:row>
    <x:row r="66">
      <x:c r="A66" s="89" t="str">
        <x:v>Универсальные процессы</x:v>
      </x:c>
      <x:c r="B66" s="89" t="n">
        <x:v>4</x:v>
      </x:c>
      <x:c r="C66" s="89" t="n">
        <x:v>132</x:v>
      </x:c>
      <x:c r="D66" s="89" t="n">
        <x:v>256</x:v>
      </x:c>
      <x:c r="E66" s="89" t="str">
        <x:v>132–256</x:v>
      </x:c>
      <x:c r="F66" s="89" t="str">
        <x:v>Специализированные цветовые и материальные рецепты</x:v>
      </x:c>
    </x:row>
    <x:row r="67">
      <x:c r="A67" s="89" t="str">
        <x:v>Финиш</x:v>
      </x:c>
      <x:c r="B67" s="89" t="n">
        <x:v>4</x:v>
      </x:c>
      <x:c r="C67" s="89" t="n">
        <x:v>148</x:v>
      </x:c>
      <x:c r="D67" s="89" t="n">
        <x:v>330</x:v>
      </x:c>
      <x:c r="E67" s="89" t="str">
        <x:v>148–330</x:v>
      </x:c>
      <x:c r="F67" s="89" t="str">
        <x:v>Специализированные цветовые и материальные рецепты</x:v>
      </x:c>
    </x:row>
    <x:row r="68">
      <x:c r="A68" s="89" t="str">
        <x:v>Огонь и лава</x:v>
      </x:c>
      <x:c r="B68" s="89" t="n">
        <x:v>3</x:v>
      </x:c>
      <x:c r="C68" s="89" t="n">
        <x:v>112</x:v>
      </x:c>
      <x:c r="D68" s="89" t="n">
        <x:v>266</x:v>
      </x:c>
      <x:c r="E68" s="89" t="str">
        <x:v>112–266</x:v>
      </x:c>
      <x:c r="F68" s="89" t="str">
        <x:v>Специализированные цветовые и материальные рецепты</x:v>
      </x:c>
    </x:row>
    <x:row r="69">
      <x:c r="A69" s="89" t="str">
        <x:v>Призрачные эффекты</x:v>
      </x:c>
      <x:c r="B69" s="89" t="n">
        <x:v>3</x:v>
      </x:c>
      <x:c r="C69" s="89" t="n">
        <x:v>205</x:v>
      </x:c>
      <x:c r="D69" s="89" t="n">
        <x:v>207</x:v>
      </x:c>
      <x:c r="E69" s="89" t="str">
        <x:v>205–207</x:v>
      </x:c>
      <x:c r="F69" s="89" t="str">
        <x:v>Специализированные цветовые и материальные рецепты</x:v>
      </x:c>
    </x:row>
    <x:row r="70">
      <x:c r="A70" s="89" t="str">
        <x:v>Кожа</x:v>
      </x:c>
      <x:c r="B70" s="89" t="n">
        <x:v>2</x:v>
      </x:c>
      <x:c r="C70" s="89" t="n">
        <x:v>185</x:v>
      </x:c>
      <x:c r="D70" s="89" t="n">
        <x:v>186</x:v>
      </x:c>
      <x:c r="E70" s="89" t="str">
        <x:v>185–186</x:v>
      </x:c>
      <x:c r="F70" s="89" t="str">
        <x:v>Специализированные цветовые и материальные рецепты</x:v>
      </x:c>
    </x:row>
    <x:row r="71">
      <x:c r="A71" s="89" t="str">
        <x:v>Оружие и отражения</x:v>
      </x:c>
      <x:c r="B71" s="89" t="n">
        <x:v>2</x:v>
      </x:c>
      <x:c r="C71" s="89" t="n">
        <x:v>438</x:v>
      </x:c>
      <x:c r="D71" s="89" t="n">
        <x:v>439</x:v>
      </x:c>
      <x:c r="E71" s="89" t="str">
        <x:v>438–439</x:v>
      </x:c>
      <x:c r="F71" s="89" t="str">
        <x:v>Специализированные цветовые и материальные рецепты</x:v>
      </x:c>
    </x:row>
    <x:row r="72">
      <x:c r="A72" s="89" t="str">
        <x:v>Прозрачные материалы</x:v>
      </x:c>
      <x:c r="B72" s="89" t="n">
        <x:v>2</x:v>
      </x:c>
      <x:c r="C72" s="89" t="n">
        <x:v>294</x:v>
      </x:c>
      <x:c r="D72" s="89" t="n">
        <x:v>295</x:v>
      </x:c>
      <x:c r="E72" s="89" t="str">
        <x:v>294–295</x:v>
      </x:c>
      <x:c r="F72" s="89" t="str">
        <x:v>Специализированные цветовые и материальные рецепты</x:v>
      </x:c>
    </x:row>
    <x:row r="73">
      <x:c r="A73" s="89" t="str">
        <x:v>Редкие краски</x:v>
      </x:c>
      <x:c r="B73" s="89" t="n">
        <x:v>2</x:v>
      </x:c>
      <x:c r="C73" s="89" t="n">
        <x:v>388</x:v>
      </x:c>
      <x:c r="D73" s="89" t="n">
        <x:v>389</x:v>
      </x:c>
      <x:c r="E73" s="89" t="str">
        <x:v>388–389</x:v>
      </x:c>
      <x:c r="F73" s="89" t="str">
        <x:v>Специализированные цветовые и материальные рецепты</x:v>
      </x:c>
    </x:row>
    <x:row r="74">
      <x:c r="A74" s="89" t="str">
        <x:v>Снаряжение монстра</x:v>
      </x:c>
      <x:c r="B74" s="89" t="n">
        <x:v>1</x:v>
      </x:c>
      <x:c r="C74" s="89" t="n">
        <x:v>441</x:v>
      </x:c>
      <x:c r="D74" s="89" t="n">
        <x:v>441</x:v>
      </x:c>
      <x:c r="E74" s="89" t="str">
        <x:v>441–441</x:v>
      </x:c>
      <x:c r="F74" s="89" t="str">
        <x:v>Специализированные цветовые и материальные рецепты</x:v>
      </x:c>
    </x:row>
    <x:row r="75">
      <x:c r="A75" s="89" t="str">
        <x:v>Фокусные детали</x:v>
      </x:c>
      <x:c r="B75" s="89" t="n">
        <x:v>1</x:v>
      </x:c>
      <x:c r="C75" s="89" t="n">
        <x:v>440</x:v>
      </x:c>
      <x:c r="D75" s="89" t="n">
        <x:v>440</x:v>
      </x:c>
      <x:c r="E75" s="89" t="str">
        <x:v>440–440</x:v>
      </x:c>
      <x:c r="F75" s="89" t="str">
        <x:v>Специализированные цветовые и материальные рецепты</x:v>
      </x:c>
    </x:row>
  </x:sheetData>
  <x:mergeCells>
    <x:mergeCell ref="A1:H1"/>
    <x:mergeCell ref="A2:H2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  <x:mergeCell ref="B15:H15"/>
    <x:mergeCell ref="B16:H16"/>
    <x:mergeCell ref="B17:H17"/>
    <x:mergeCell ref="B18:H18"/>
    <x:mergeCell ref="B19:H19"/>
  </x:mergeCells>
  <x:dataValidations count="1">
    <x:dataValidation operator="between" sqref="B4">
      <x:formula1>1</x:formula1>
      <x:formula2>540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d18fece07f24e95"/>
  </x:tableParts>
</x:worksheet>
</file>

<file path=xl/worksheets/sheet5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6" hidden="0" customWidth="1"/>
    <x:col min="3" max="3" width="32" hidden="0" customWidth="1"/>
    <x:col min="4" max="4" width="62" hidden="0" customWidth="1"/>
    <x:col min="5" max="5" width="82" hidden="0" customWidth="1"/>
    <x:col min="6" max="6" width="88" hidden="0" customWidth="1"/>
  </x:cols>
  <x:sheetData>
    <x:row r="1" ht="38" customHeight="1">
      <x:c r="A1" s="586" t="str">
        <x:v>Четырнадцатый проход: текущий демон-принц и навигация по базе</x:v>
      </x:c>
      <x:c r="B1" s="586"/>
      <x:c r="C1" s="586"/>
      <x:c r="D1" s="586"/>
      <x:c r="E1" s="586"/>
      <x:c r="F1" s="586"/>
    </x:row>
    <x:row r="3">
      <x:c r="A3" s="591" t="str">
        <x:v>Показатель</x:v>
      </x:c>
      <x:c r="B3" s="591" t="str">
        <x:v>Результат</x:v>
      </x:c>
    </x:row>
    <x:row r="4">
      <x:c r="A4" s="594" t="str">
        <x:v>Рецептов до прохода</x:v>
      </x:c>
      <x:c r="B4" s="613" t="n">
        <x:v>390</x:v>
      </x:c>
    </x:row>
    <x:row r="5">
      <x:c r="A5" s="594" t="str">
        <x:v>Новых рецептов</x:v>
      </x:c>
      <x:c r="B5" s="613" t="n">
        <x:v>30</x:v>
      </x:c>
    </x:row>
    <x:row r="6">
      <x:c r="A6" s="594" t="str">
        <x:v>Рецептов после прохода</x:v>
      </x:c>
      <x:c r="B6" s="613" t="n">
        <x:v>420</x:v>
      </x:c>
    </x:row>
    <x:row r="7">
      <x:c r="A7" s="594" t="str">
        <x:v>Новых техник крупного монстра</x:v>
      </x:c>
      <x:c r="B7" s="613" t="n">
        <x:v>23</x:v>
      </x:c>
    </x:row>
    <x:row r="8">
      <x:c r="A8" s="594" t="str">
        <x:v>Новых переходов материалов</x:v>
      </x:c>
      <x:c r="B8" s="613" t="n">
        <x:v>5</x:v>
      </x:c>
    </x:row>
    <x:row r="9">
      <x:c r="A9" s="594" t="str">
        <x:v>Новых проектных процессов</x:v>
      </x:c>
      <x:c r="B9" s="613" t="n">
        <x:v>2</x:v>
      </x:c>
    </x:row>
    <x:row r="10">
      <x:c r="A10" s="594" t="str">
        <x:v>Этапов текущего демон-принца</x:v>
      </x:c>
      <x:c r="B10" s="613" t="n">
        <x:v>20</x:v>
      </x:c>
    </x:row>
    <x:row r="11">
      <x:c r="A11" s="594" t="str">
        <x:v>Динамический поиск по Recipe ID</x:v>
      </x:c>
      <x:c r="B11" s="613" t="str">
        <x:v>1–420</x:v>
      </x:c>
    </x:row>
    <x:row r="12">
      <x:c r="A12" s="594" t="str">
        <x:v>Семейств в навигаторе</x:v>
      </x:c>
      <x:c r="B12" s="613" t="n">
        <x:v>46</x:v>
      </x:c>
    </x:row>
    <x:row r="13">
      <x:c r="A13" s="594" t="str">
        <x:v>Префил журнала применения</x:v>
      </x:c>
      <x:c r="B13" s="613" t="str">
        <x:v>Демон-принц / рецепт 391</x:v>
      </x:c>
    </x:row>
    <x:row r="14">
      <x:c r="A14" s="594" t="str">
        <x:v>Ключевой принцип</x:v>
      </x:c>
      <x:c r="B14" s="594" t="str">
        <x:v>После масляной проливки возвращаются только средние и светлые зоны; тени сохраняются как готовая основа</x:v>
      </x:c>
    </x:row>
    <x:row r="17">
      <x:c r="A17" s="600" t="str">
        <x:v>ID</x:v>
      </x:c>
      <x:c r="B17" s="600" t="str">
        <x:v>Область</x:v>
      </x:c>
      <x:c r="C17" s="600" t="str">
        <x:v>Статус</x:v>
      </x:c>
      <x:c r="D17" s="600" t="str">
        <x:v>Что обнаружено</x:v>
      </x:c>
      <x:c r="E17" s="600" t="str">
        <x:v>Действие</x:v>
      </x:c>
      <x:c r="F17" s="600" t="str">
        <x:v>Основание</x:v>
      </x:c>
    </x:row>
    <x:row r="18">
      <x:c r="A18" s="89" t="str">
        <x:v>AUD14-01</x:v>
      </x:c>
      <x:c r="B18" s="89" t="str">
        <x:v>Текущий проект</x:v>
      </x:c>
      <x:c r="C18" s="89" t="str">
        <x:v>Связан с базой</x:v>
      </x:c>
      <x:c r="D18" s="89" t="str">
        <x:v>Последнее подтверждённое действие — масляная проливка, сформировавшая тени.</x:v>
      </x:c>
      <x:c r="E18" s="89" t="str">
        <x:v>Первым следующим этапом назначено селективное восстановление среднего тона, затем единый направленный свет.</x:v>
      </x:c>
      <x:c r="F18" s="89" t="str">
        <x:v>Рецепты 391–392 и проектный лист.</x:v>
      </x:c>
    </x:row>
    <x:row r="19">
      <x:c r="A19" s="89" t="str">
        <x:v>AUD14-02</x:v>
      </x:c>
      <x:c r="B19" s="89" t="str">
        <x:v>Фактура крупной кожи</x:v>
      </x:c>
      <x:c r="C19" s="89" t="str">
        <x:v>Добавлено</x:v>
      </x:c>
      <x:c r="D19" s="89" t="str">
        <x:v>Гладкий аэрограф и масло могли оставить поверхность слишком ровной.</x:v>
      </x:c>
      <x:c r="E19" s="89" t="str">
        <x:v>Добавлены кластеры stippling, поры, температурные зоны и отдельный фокус лица.</x:v>
      </x:c>
      <x:c r="F19" s="89" t="str">
        <x:v>Рецепты 393–396.</x:v>
      </x:c>
    </x:row>
    <x:row r="20">
      <x:c r="A20" s="89" t="str">
        <x:v>AUD14-03</x:v>
      </x:c>
      <x:c r="B20" s="89" t="str">
        <x:v>Лицо и пасть</x:v>
      </x:c>
      <x:c r="C20" s="89" t="str">
        <x:v>Расширено</x:v>
      </x:c>
      <x:c r="D20" s="89" t="str">
        <x:v>Общие рецепты глаз, зубов и gore не учитывали масштаб большой головы.</x:v>
      </x:c>
      <x:c r="E20" s="89" t="str">
        <x:v>Добавлены влажные веки, глубокая пасть, слюна без смолы и зубы с живой границей дёсен.</x:v>
      </x:c>
      <x:c r="F20" s="89" t="str">
        <x:v>Рецепты 397–400.</x:v>
      </x:c>
    </x:row>
    <x:row r="21">
      <x:c r="A21" s="89" t="str">
        <x:v>AUD14-04</x:v>
      </x:c>
      <x:c r="B21" s="89" t="str">
        <x:v>Материальные переходы</x:v>
      </x:c>
      <x:c r="C21" s="89" t="str">
        <x:v>Систематизировано</x:v>
      </x:c>
      <x:c r="D21" s="89" t="str">
        <x:v>Кожа, рог, коготь, перепонка, хитин и металл были описаны отдельно.</x:v>
      </x:c>
      <x:c r="E21" s="89" t="str">
        <x:v>Создана таблица, где переход меняет цвет, фактуру и финиш одновременно.</x:v>
      </x:c>
      <x:c r="F21" s="89" t="str">
        <x:v>Лист «Переходы материалов», рецепты 401–415.</x:v>
      </x:c>
    </x:row>
    <x:row r="22">
      <x:c r="A22" s="89" t="str">
        <x:v>AUD14-05</x:v>
      </x:c>
      <x:c r="B22" s="89" t="str">
        <x:v>Крылья</x:v>
      </x:c>
      <x:c r="C22" s="89" t="str">
        <x:v>Добавлено</x:v>
      </x:c>
      <x:c r="D22" s="89" t="str">
        <x:v>Прозрачные мембраны существовали, но не были связаны с крупным демоном.</x:v>
      </x:c>
      <x:c r="E22" s="89" t="str">
        <x:v>Добавлены толщина сегментов, внутренние жилки и переход корпуса в перепонку.</x:v>
      </x:c>
      <x:c r="F22" s="89" t="str">
        <x:v>Рецепты 404–406.</x:v>
      </x:c>
    </x:row>
    <x:row r="23">
      <x:c r="A23" s="89" t="str">
        <x:v>AUD14-06</x:v>
      </x:c>
      <x:c r="B23" s="89" t="str">
        <x:v>Крупная модель и база</x:v>
      </x:c>
      <x:c r="C23" s="89" t="str">
        <x:v>Связано</x:v>
      </x:c>
      <x:c r="D23" s="89" t="str">
        <x:v>Пыль, масла и bounce light существовали как отдельные эффекты.</x:v>
      </x:c>
      <x:c r="E23" s="89" t="str">
        <x:v>Добавлены нижнее загрязнение и отражённый цвет базы специально для большой модели.</x:v>
      </x:c>
      <x:c r="F23" s="89" t="str">
        <x:v>Рецепты 417–418.</x:v>
      </x:c>
    </x:row>
    <x:row r="24">
      <x:c r="A24" s="89" t="str">
        <x:v>AUD14-07</x:v>
      </x:c>
      <x:c r="B24" s="89" t="str">
        <x:v>Фокус и финиш</x:v>
      </x:c>
      <x:c r="C24" s="89" t="str">
        <x:v>Добавлено</x:v>
      </x:c>
      <x:c r="D24" s="89" t="str">
        <x:v>Не было финальной трёхуровневой иерархии именно для демон-принца.</x:v>
      </x:c>
      <x:c r="E24" s="89" t="str">
        <x:v>Главный фокус закреплён на лице/глазах/оружии, вторичный — грудь/рога, третичный — ноги/задние крылья/база.</x:v>
      </x:c>
      <x:c r="F24" s="89" t="str">
        <x:v>Рецепты 419–420.</x:v>
      </x:c>
    </x:row>
    <x:row r="25">
      <x:c r="A25" s="89" t="str">
        <x:v>AUD14-08</x:v>
      </x:c>
      <x:c r="B25" s="89" t="str">
        <x:v>Навигация</x:v>
      </x:c>
      <x:c r="C25" s="89" t="str">
        <x:v>Добавлено</x:v>
      </x:c>
      <x:c r="D25" s="89" t="str">
        <x:v>При 390+ рецептах ручной поиск стал замедлять применение базы.</x:v>
      </x:c>
      <x:c r="E25" s="89" t="str">
        <x:v>Создан динамический поиск по ID и сводка всех семейств с количеством и диапазоном.</x:v>
      </x:c>
      <x:c r="F25" s="89" t="str">
        <x:v>Лист «Навигатор базы».</x:v>
      </x:c>
    </x:row>
    <x:row r="29">
      <x:c r="A29" s="610" t="str">
        <x:v>Лист</x:v>
      </x:c>
      <x:c r="B29" s="610" t="str">
        <x:v>Назначение</x:v>
      </x:c>
      <x:c r="C29" s="610" t="str">
        <x:v>Главный результат</x:v>
      </x:c>
    </x:row>
    <x:row r="30">
      <x:c r="A30" s="594" t="str">
        <x:v>Демон-принц — проект</x:v>
      </x:c>
      <x:c r="B30" s="594" t="str">
        <x:v>Пошаговый текущий workflow</x:v>
      </x:c>
      <x:c r="C30" s="594" t="str">
        <x:v>Масло отмечено готовым; рецепт 391 — следующий шаг</x:v>
      </x:c>
    </x:row>
    <x:row r="31">
      <x:c r="A31" s="594" t="str">
        <x:v>Переходы материалов</x:v>
      </x:c>
      <x:c r="B31" s="594" t="str">
        <x:v>Связь кожи с другими материалами</x:v>
      </x:c>
      <x:c r="C31" s="594" t="str">
        <x:v>Цвет + фактура + финиш</x:v>
      </x:c>
    </x:row>
    <x:row r="32">
      <x:c r="A32" s="594" t="str">
        <x:v>Навигатор базы</x:v>
      </x:c>
      <x:c r="B32" s="594" t="str">
        <x:v>Поиск Recipe ID и семейства</x:v>
      </x:c>
      <x:c r="C32" s="594" t="str">
        <x:v>Динамический поиск 1–420</x:v>
      </x:c>
    </x:row>
    <x:row r="33">
      <x:c r="A33" s="594" t="str">
        <x:v>Тестовые карты</x:v>
      </x:c>
      <x:c r="B33" s="594" t="str">
        <x:v>Фактическое применение</x:v>
      </x:c>
      <x:c r="C33" s="594" t="str">
        <x:v>Префил текущего проекта</x:v>
      </x:c>
    </x:row>
    <x:row r="34">
      <x:c r="A34" s="594" t="str">
        <x:v>Армейские пайплайны</x:v>
      </x:c>
      <x:c r="B34" s="594" t="str">
        <x:v>Общий маршрут модели</x:v>
      </x:c>
      <x:c r="C34" s="594" t="str">
        <x:v>Добавлен Demon Prince current project</x:v>
      </x:c>
    </x:row>
    <x:row r="35">
      <x:c r="A35" s="594" t="str">
        <x:v>Матрица слоёв</x:v>
      </x:c>
      <x:c r="B35" s="594" t="str">
        <x:v>Новые техники</x:v>
      </x:c>
      <x:c r="C35" s="594" t="str">
        <x:v>Рецепты 391–420</x:v>
      </x:c>
    </x:row>
  </x:sheetData>
  <x:mergeCells>
    <x:mergeCell ref="A1:F1"/>
  </x:mergeCell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5" hidden="0" customWidth="1"/>
    <x:col min="3" max="3" width="48" hidden="0" customWidth="1"/>
    <x:col min="4" max="4" width="18" hidden="0" customWidth="1"/>
    <x:col min="5" max="5" width="46" hidden="0" customWidth="1"/>
    <x:col min="6" max="6" width="54" hidden="0" customWidth="1"/>
    <x:col min="7" max="7" width="17" hidden="0" customWidth="1"/>
    <x:col min="8" max="8" width="42" hidden="0" customWidth="1"/>
    <x:col min="9" max="9" width="31" hidden="0" customWidth="1"/>
    <x:col min="10" max="10" width="43" hidden="0" customWidth="1"/>
    <x:col min="11" max="11" width="40" hidden="0" customWidth="1"/>
    <x:col min="12" max="12" width="11" hidden="0" customWidth="1"/>
  </x:cols>
  <x:sheetData>
    <x:row r="1" ht="38" customHeight="1">
      <x:c r="A1" s="634" t="str">
        <x:v>Демон-принц: рабочий проект после масляной проливки</x:v>
      </x:c>
      <x:c r="B1" s="634"/>
      <x:c r="C1" s="634"/>
      <x:c r="D1" s="634"/>
      <x:c r="E1" s="634"/>
      <x:c r="F1" s="634"/>
      <x:c r="G1" s="634"/>
      <x:c r="H1" s="634"/>
      <x:c r="I1" s="634"/>
      <x:c r="J1" s="634"/>
      <x:c r="K1" s="634"/>
      <x:c r="L1" s="634"/>
    </x:row>
    <x:row r="2" ht="42" customHeight="1">
      <x:c r="A2" s="637" t="str">
        <x:v>Тени уже сформированы маслом. Ближайшая задача — вернуть цвет и объём крупных плоскостей, не переходя к мелким повреждениям и gore до завершения общей светотени.</x:v>
      </x:c>
      <x:c r="B2" s="637"/>
      <x:c r="C2" s="637"/>
      <x:c r="D2" s="637"/>
      <x:c r="E2" s="637"/>
      <x:c r="F2" s="637"/>
      <x:c r="G2" s="637"/>
      <x:c r="H2" s="637"/>
      <x:c r="I2" s="637"/>
      <x:c r="J2" s="637"/>
      <x:c r="K2" s="637"/>
      <x:c r="L2" s="637"/>
    </x:row>
    <x:row r="4">
      <x:c r="A4" s="639" t="str">
        <x:v>Параметр</x:v>
      </x:c>
      <x:c r="B4" s="639" t="str">
        <x:v>Значение</x:v>
      </x:c>
      <x:c r="D4" s="644" t="str">
        <x:v>Всего</x:v>
      </x:c>
      <x:c r="E4" s="646" t="n">
        <x:f>COUNTA(A15:A34)</x:f>
        <x:v>20</x:v>
      </x:c>
      <x:c r="F4" s="644" t="str">
        <x:v>Готово</x:v>
      </x:c>
      <x:c r="G4" s="646" t="n">
        <x:f>COUNTIF(G15:G34,"Готово")</x:f>
        <x:v>1</x:v>
      </x:c>
      <x:c r="H4" s="644" t="str">
        <x:v>Активно</x:v>
      </x:c>
      <x:c r="I4" s="646" t="n">
        <x:f>COUNTIF(G15:G34,"В работе")+COUNTIF(G15:G34,"Следующий шаг")</x:f>
        <x:v>1</x:v>
      </x:c>
      <x:c r="J4" s="644" t="n">
        <x:v>0</x:v>
      </x:c>
      <x:c r="K4" s="646" t="n">
        <x:f>COUNTIF(G15:G34,"Не начато")+COUNTIF(G15:G34,"Отложено")</x:f>
        <x:v>18</x:v>
      </x:c>
      <x:c r="L4" s="644" t="str">
        <x:v>Прогресс</x:v>
      </x:c>
      <x:c r="M4" s="647" t="n">
        <x:f>IF(E4=0,0,G4/E4)</x:f>
        <x:v>0.05</x:v>
      </x:c>
    </x:row>
    <x:row r="5">
      <x:c r="A5" s="642" t="str">
        <x:v>Модель</x:v>
      </x:c>
      <x:c r="B5" s="642" t="str">
        <x:v>Демон-принц</x:v>
      </x:c>
    </x:row>
    <x:row r="6">
      <x:c r="A6" s="642" t="str">
        <x:v>Подтверждённый этап</x:v>
      </x:c>
      <x:c r="B6" s="642" t="str">
        <x:v>Масляная проливка завершена</x:v>
      </x:c>
      <x:c r="D6" s="649" t="str">
        <x:v>Активное действие</x:v>
      </x:c>
      <x:c r="E6" s="654" t="str">
        <x:f>IFERROR(INDEX(C15:C34,MATCH("Следующий шаг",G15:G34,0)),IFERROR(INDEX(C15:C34,MATCH("В работе",G15:G34,0)),"Нет активного этапа"))</x:f>
        <x:v>Проверить смесь и вернуть цвет широких плоскостей</x:v>
      </x:c>
      <x:c r="F6" s="654"/>
      <x:c r="G6" s="654"/>
      <x:c r="H6" s="654"/>
      <x:c r="I6" s="654"/>
      <x:c r="J6" s="654"/>
      <x:c r="K6" s="654"/>
      <x:c r="L6" s="654"/>
      <x:c r="M6" s="654"/>
    </x:row>
    <x:row r="7">
      <x:c r="A7" s="642" t="str">
        <x:v>Ближайший рецепт</x:v>
      </x:c>
      <x:c r="B7" s="642" t="str">
        <x:v>451 — тестовый участок; затем 454 и 456–460</x:v>
      </x:c>
      <x:c r="D7" s="649" t="str">
        <x:v>Recipe ID</x:v>
      </x:c>
      <x:c r="E7" s="654" t="str">
        <x:f>IFERROR(INDEX(D15:D34,MATCH("Следующий шаг",G15:G34,0)),IFERROR(INDEX(D15:D34,MATCH("В работе",G15:G34,0)),""))</x:f>
        <x:v>451, 454, 456–460</x:v>
      </x:c>
      <x:c r="F7" s="654"/>
      <x:c r="G7" s="654"/>
      <x:c r="H7" s="654"/>
      <x:c r="I7" s="654"/>
      <x:c r="J7" s="654"/>
      <x:c r="K7" s="654"/>
      <x:c r="L7" s="654"/>
      <x:c r="M7" s="654"/>
    </x:row>
    <x:row r="8">
      <x:c r="A8" s="642" t="str">
        <x:v>Следом</x:v>
      </x:c>
      <x:c r="B8" s="642" t="str">
        <x:v>422–423 — мышцы и мягкое брюхо после закрытия S01</x:v>
      </x:c>
      <x:c r="D8" s="649" t="str">
        <x:v>Контроль</x:v>
      </x:c>
      <x:c r="E8" s="654" t="str">
        <x:f>IFERROR(INDEX(K15:K34,MATCH("Следующий шаг",G15:G34,0)),IFERROR(INDEX(K15:K34,MATCH("В работе",G15:G34,0)),""))</x:f>
        <x:v>Заполнить листы S01, Палитра S01 и Контроль теней S01</x:v>
      </x:c>
      <x:c r="F8" s="654"/>
      <x:c r="G8" s="654"/>
      <x:c r="H8" s="654"/>
      <x:c r="I8" s="654"/>
      <x:c r="J8" s="654"/>
      <x:c r="K8" s="654"/>
      <x:c r="L8" s="654"/>
      <x:c r="M8" s="654"/>
    </x:row>
    <x:row r="9">
      <x:c r="A9" s="642" t="str">
        <x:v>Главный фокус</x:v>
      </x:c>
      <x:c r="B9" s="642" t="str">
        <x:v>Лицо, глаза и главное оружие</x:v>
      </x:c>
    </x:row>
    <x:row r="10">
      <x:c r="A10" s="642" t="str">
        <x:v>Ограничение ближайшей сессии</x:v>
      </x:c>
      <x:c r="B10" s="642" t="str">
        <x:v>Не начинать мелкие вены, кровь и повреждения крыльев</x:v>
      </x:c>
    </x:row>
    <x:row r="11">
      <x:c r="A11" s="642" t="str">
        <x:v>Критерий остановки</x:v>
      </x:c>
      <x:c r="B11" s="642" t="str">
        <x:v>Кожа снова имеет цвет; масляные тени сохранены</x:v>
      </x:c>
    </x:row>
    <x:row r="14" ht="50" customHeight="1">
      <x:c r="A14" s="657" t="str">
        <x:v>Этап</x:v>
      </x:c>
      <x:c r="B14" s="657" t="str">
        <x:v>Зона</x:v>
      </x:c>
      <x:c r="C14" s="657" t="str">
        <x:v>Действие</x:v>
      </x:c>
      <x:c r="D14" s="657" t="str">
        <x:v>Recipe ID</x:v>
      </x:c>
      <x:c r="E14" s="657" t="str">
        <x:v>Ключевые материалы</x:v>
      </x:c>
      <x:c r="F14" s="657" t="str">
        <x:v>Критерий завершения</x:v>
      </x:c>
      <x:c r="G14" s="657" t="str">
        <x:v>Статус</x:v>
      </x:c>
      <x:c r="H14" s="657" t="str">
        <x:v>Фактический результат</x:v>
      </x:c>
      <x:c r="I14" s="657" t="str">
        <x:v>Фото/ссылка</x:v>
      </x:c>
      <x:c r="J14" s="657" t="str">
        <x:v>Риск</x:v>
      </x:c>
      <x:c r="K14" s="657" t="str">
        <x:v>Следующий контроль</x:v>
      </x:c>
      <x:c r="L14" s="657" t="str">
        <x:v>Сессия</x:v>
      </x:c>
    </x:row>
    <x:row r="15">
      <x:c r="A15" s="89" t="n">
        <x:v>1</x:v>
      </x:c>
      <x:c r="B15" s="89" t="str">
        <x:v>Общая модель</x:v>
      </x:c>
      <x:c r="C15" s="89" t="str">
        <x:v>Масляная проливка и формирование теней</x:v>
      </x:c>
      <x:c r="D15" s="89" t="str">
        <x:v>311–320</x:v>
      </x:c>
      <x:c r="E15" s="89" t="str">
        <x:v>Умбра жжёная / Серая Пейна / Сажа</x:v>
      </x:c>
      <x:c r="F15" s="89" t="str">
        <x:v>Масло сухое; тени читаются</x:v>
      </x:c>
      <x:c r="G15" s="89" t="str">
        <x:v>Готово</x:v>
      </x:c>
      <x:c r="H15" s="89" t="str">
        <x:v>Тени сформированы</x:v>
      </x:c>
      <x:c r="I15" s="89" t="str"/>
      <x:c r="J15" s="89" t="str">
        <x:v>Масло ещё липкое</x:v>
      </x:c>
      <x:c r="K15" s="89" t="str">
        <x:v>Проверить сухость</x:v>
      </x:c>
      <x:c r="L15" s="89" t="str">
        <x:v>S00</x:v>
      </x:c>
    </x:row>
    <x:row r="16">
      <x:c r="A16" s="89" t="n">
        <x:v>2</x:v>
      </x:c>
      <x:c r="B16" s="89" t="str">
        <x:v>Торс и крупные плоскости</x:v>
      </x:c>
      <x:c r="C16" s="89" t="str">
        <x:v>Проверить смесь и вернуть цвет широких плоскостей</x:v>
      </x:c>
      <x:c r="D16" s="89" t="str">
        <x:v>451, 454, 456–460</x:v>
      </x:c>
      <x:c r="E16" s="89" t="str">
        <x:v>Фактический skin midtone / Lahmian Medium / light midtone</x:v>
      </x:c>
      <x:c r="F16" s="89" t="str">
        <x:v>Все зоны PASS; S01 показывает CLOSE S01; масляные тени сохранены</x:v>
      </x:c>
      <x:c r="G16" s="89" t="str">
        <x:v>Следующий шаг</x:v>
      </x:c>
      <x:c r="H16" s="89" t="str">
        <x:f>'Сессия S01 — торс'!L4</x:f>
        <x:v>CONTINUE</x:v>
      </x:c>
      <x:c r="I16" s="89" t="str"/>
      <x:c r="J16" s="89" t="str">
        <x:v>Перекрыть масляные тени</x:v>
      </x:c>
      <x:c r="K16" s="89" t="str">
        <x:v>Заполнить листы S01, Палитра S01 и Контроль теней S01</x:v>
      </x:c>
      <x:c r="L16" s="89" t="str">
        <x:v>S01</x:v>
      </x:c>
    </x:row>
    <x:row r="17">
      <x:c r="A17" s="89" t="n">
        <x:v>3</x:v>
      </x:c>
      <x:c r="B17" s="89" t="str">
        <x:v>Мышцы</x:v>
      </x:c>
      <x:c r="C17" s="89" t="str">
        <x:v>Построить крупную анатомию груди, плеч, рук, шеи, спины и бока</x:v>
      </x:c>
      <x:c r="D17" s="89" t="str">
        <x:v>482–492, 497–510</x:v>
      </x:c>
      <x:c r="E17" s="89" t="str">
        <x:v>Палитра S02 / skin midtone / light midtone / Targor / Dreadful</x:v>
      </x:c>
      <x:c r="F17" s="89" t="str">
        <x:v>Все анатомические зоны PASS; S02 показывает CLOSE S02</x:v>
      </x:c>
      <x:c r="G17" s="89" t="str">
        <x:v>Не начато</x:v>
      </x:c>
      <x:c r="H17" s="89" t="str">
        <x:f>'Сессия S02 — анатомия'!N5</x:f>
        <x:v>LOCKED</x:v>
      </x:c>
      <x:c r="I17" s="89" t="str"/>
      <x:c r="J17" s="89" t="str">
        <x:v>Одинаковая линия между всеми мышцами</x:v>
      </x:c>
      <x:c r="K17" s="89" t="str">
        <x:v>Заполнить S02, Палитру S02 и Карту анатомии S02</x:v>
      </x:c>
      <x:c r="L17" s="89" t="str">
        <x:v>S02</x:v>
      </x:c>
    </x:row>
    <x:row r="18">
      <x:c r="A18" s="89" t="n">
        <x:v>4</x:v>
      </x:c>
      <x:c r="B18" s="89" t="str">
        <x:v>Брюхо и внутренние стороны</x:v>
      </x:c>
      <x:c r="C18" s="89" t="str">
        <x:v>Создать мягкий countershade брюха и переход грудь → брюхо</x:v>
      </x:c>
      <x:c r="D18" s="89" t="str">
        <x:v>493–496</x:v>
      </x:c>
      <x:c r="E18" s="89" t="str">
        <x:v>Skin midtone / Rakarth Flesh / Deepkin Flesh / Pale Flesh</x:v>
      </x:c>
      <x:c r="F18" s="89" t="str">
        <x:v>Брюхо светлее локально, но подчиняется общему ключевому свету</x:v>
      </x:c>
      <x:c r="G18" s="89" t="str">
        <x:v>Не начато</x:v>
      </x:c>
      <x:c r="H18" s="89" t="str">
        <x:f>'Сессия S02 — анатомия'!N5</x:f>
        <x:v>LOCKED</x:v>
      </x:c>
      <x:c r="I18" s="89" t="str"/>
      <x:c r="J18" s="89" t="str">
        <x:v>Брюхо ярче плеч</x:v>
      </x:c>
      <x:c r="K18" s="89" t="str">
        <x:v>Фронт, профиль и grayscale до фактуры S03</x:v>
      </x:c>
      <x:c r="L18" s="89" t="str">
        <x:v>S02</x:v>
      </x:c>
    </x:row>
    <x:row r="19">
      <x:c r="A19" s="89" t="n">
        <x:v>5</x:v>
      </x:c>
      <x:c r="B19" s="89" t="str">
        <x:v>Кожа</x:v>
      </x:c>
      <x:c r="C19" s="89" t="str">
        <x:v>Вернуть кластерную фактуру плеч, спины, рук и суставов</x:v>
      </x:c>
      <x:c r="D19" s="89" t="str">
        <x:v>512–525, 537–540</x:v>
      </x:c>
      <x:c r="E19" s="89" t="str">
        <x:v>Палитра S03 / skin midtone / Deep Brown / Stormvermin / Karak</x:v>
      </x:c>
      <x:c r="F19" s="89" t="str">
        <x:v>Фактура видна в макро, исчезает с игровой дистанции; анатомия S02 сохранена</x:v>
      </x:c>
      <x:c r="G19" s="89" t="str">
        <x:v>Не начато</x:v>
      </x:c>
      <x:c r="H19" s="89" t="str">
        <x:f>'Сессия S03 — фактура'!N5</x:f>
        <x:v>LOCKED</x:v>
      </x:c>
      <x:c r="I19" s="89" t="str"/>
      <x:c r="J19" s="89" t="str">
        <x:v>Однородный stippling</x:v>
      </x:c>
      <x:c r="K19" s="89" t="str">
        <x:v>Заполнить S03, Палитру S03 и Карту фактуры S03</x:v>
      </x:c>
      <x:c r="L19" s="89" t="str">
        <x:v>S03</x:v>
      </x:c>
    </x:row>
    <x:row r="20">
      <x:c r="A20" s="89" t="n">
        <x:v>6</x:v>
      </x:c>
      <x:c r="B20" s="89" t="str">
        <x:v>Кожа</x:v>
      </x:c>
      <x:c r="C20" s="89" t="str">
        <x:v>Добавить ограниченную пигментацию, вены, растяжки и рубцы</x:v>
      </x:c>
      <x:c r="D20" s="89" t="str">
        <x:v>526–536</x:v>
      </x:c>
      <x:c r="E20" s="89" t="str">
        <x:v>Carroburg / Dreadful / Plaguebearer / Dark Prussian / Phoenician / Rakarth</x:v>
      </x:c>
      <x:c r="F20" s="89" t="str">
        <x:v>Основной skin colour доминирует; выбрано не более двух типов рубцов/растяжек</x:v>
      </x:c>
      <x:c r="G20" s="89" t="str">
        <x:v>Не начато</x:v>
      </x:c>
      <x:c r="H20" s="89" t="str">
        <x:f>'Сессия S03 — фактура'!N5</x:f>
        <x:v>LOCKED</x:v>
      </x:c>
      <x:c r="I20" s="89" t="str"/>
      <x:c r="J20" s="89" t="str">
        <x:v>Слишком много цветных эффектов</x:v>
      </x:c>
      <x:c r="K20" s="89" t="str">
        <x:v>Макро, игровая дистанция и grayscale до S04</x:v>
      </x:c>
      <x:c r="L20" s="89" t="str">
        <x:v>S03</x:v>
      </x:c>
    </x:row>
    <x:row r="21">
      <x:c r="A21" s="89" t="n">
        <x:v>7</x:v>
      </x:c>
      <x:c r="B21" s="89" t="str">
        <x:v>Лицо</x:v>
      </x:c>
      <x:c r="C21" s="89" t="str">
        <x:v>Сделать лицо главным фокусом</x:v>
      </x:c>
      <x:c r="D21" s="89" t="n">
        <x:v>396</x:v>
      </x:c>
      <x:c r="E21" s="89" t="str">
        <x:v>Skin tones / Dreadful / Carroburg</x:v>
      </x:c>
      <x:c r="F21" s="89" t="str">
        <x:v>Лицо читается первым с вытянутой руки</x:v>
      </x:c>
      <x:c r="G21" s="89" t="str">
        <x:v>Не начато</x:v>
      </x:c>
      <x:c r="H21" s="89" t="str"/>
      <x:c r="I21" s="89" t="str"/>
      <x:c r="J21" s="89" t="str">
        <x:v>Туловище ярче лица</x:v>
      </x:c>
      <x:c r="K21" s="89" t="str">
        <x:v>Фронтальное фото</x:v>
      </x:c>
      <x:c r="L21" s="89" t="str">
        <x:v>S04</x:v>
      </x:c>
    </x:row>
    <x:row r="22">
      <x:c r="A22" s="89" t="n">
        <x:v>8</x:v>
      </x:c>
      <x:c r="B22" s="89" t="str">
        <x:v>Глаза</x:v>
      </x:c>
      <x:c r="C22" s="89" t="str">
        <x:v>Глаза и влажные веки</x:v>
      </x:c>
      <x:c r="D22" s="89" t="n">
        <x:v>397</x:v>
      </x:c>
      <x:c r="E22" s="89" t="str">
        <x:v>White / glow colour / Gloss</x:v>
      </x:c>
      <x:c r="F22" s="89" t="str">
        <x:v>Источник ярче ореола; кожа века не светится целиком</x:v>
      </x:c>
      <x:c r="G22" s="89" t="str">
        <x:v>Не начато</x:v>
      </x:c>
      <x:c r="H22" s="89" t="str"/>
      <x:c r="I22" s="89" t="str"/>
      <x:c r="J22" s="89" t="str">
        <x:v>Общий глянец вокруг глаза</x:v>
      </x:c>
      <x:c r="K22" s="89" t="str">
        <x:v>Макрофото</x:v>
      </x:c>
      <x:c r="L22" s="89" t="str">
        <x:v>S04</x:v>
      </x:c>
    </x:row>
    <x:row r="23">
      <x:c r="A23" s="89" t="n">
        <x:v>9</x:v>
      </x:c>
      <x:c r="B23" s="89" t="str">
        <x:v>Пасть и зубы</x:v>
      </x:c>
      <x:c r="C23" s="89" t="str">
        <x:v>Глубина пасти, дёсны и зубы</x:v>
      </x:c>
      <x:c r="D23" s="89" t="str">
        <x:v>398–400</x:v>
      </x:c>
      <x:c r="E23" s="89" t="str">
        <x:v>Gal Vorbak / Gory / Sickly Pink / Skeleton Horde</x:v>
      </x:c>
      <x:c r="F23" s="89" t="str">
        <x:v>Глубина почти чёрная, зубы темнее у корня</x:v>
      </x:c>
      <x:c r="G23" s="89" t="str">
        <x:v>Не начато</x:v>
      </x:c>
      <x:c r="H23" s="89" t="str"/>
      <x:c r="I23" s="89" t="str"/>
      <x:c r="J23" s="89" t="str">
        <x:v>Равномерно розовая пасть</x:v>
      </x:c>
      <x:c r="K23" s="89" t="str">
        <x:v>Фото спереди и сбоку</x:v>
      </x:c>
      <x:c r="L23" s="89" t="str">
        <x:v>S05</x:v>
      </x:c>
    </x:row>
    <x:row r="24">
      <x:c r="A24" s="89" t="n">
        <x:v>10</x:v>
      </x:c>
      <x:c r="B24" s="89" t="str">
        <x:v>Рога и когти</x:v>
      </x:c>
      <x:c r="C24" s="89" t="str">
        <x:v>Структура, сколы и полировка</x:v>
      </x:c>
      <x:c r="D24" s="89" t="str">
        <x:v>401–403, 434–437</x:v>
      </x:c>
      <x:c r="E24" s="89" t="str">
        <x:v>Rhinox / Gorthor / Karak / Pale Sand / Black</x:v>
      </x:c>
      <x:c r="F24" s="89" t="str">
        <x:v>Материал отличается от кожи и имеет направленный износ</x:v>
      </x:c>
      <x:c r="G24" s="89" t="str">
        <x:v>Не начато</x:v>
      </x:c>
      <x:c r="H24" s="89" t="str"/>
      <x:c r="I24" s="89" t="str"/>
      <x:c r="J24" s="89" t="str">
        <x:v>Декоративные одинаковые линии</x:v>
      </x:c>
      <x:c r="K24" s="89" t="str">
        <x:v>Фото профиля</x:v>
      </x:c>
      <x:c r="L24" s="89" t="str">
        <x:v>S06</x:v>
      </x:c>
    </x:row>
    <x:row r="25">
      <x:c r="A25" s="89" t="n">
        <x:v>11</x:v>
      </x:c>
      <x:c r="B25" s="89" t="str">
        <x:v>Крылья</x:v>
      </x:c>
      <x:c r="C25" s="89" t="str">
        <x:v>Верхняя и нижняя светотень</x:v>
      </x:c>
      <x:c r="D25" s="89" t="str">
        <x:v>404–406, 429–430</x:v>
      </x:c>
      <x:c r="E25" s="89" t="str">
        <x:v>Membrane colours / Dreadful / Frostheart</x:v>
      </x:c>
      <x:c r="F25" s="89" t="str">
        <x:v>Свет совпадает с корпусом, низ холоднее</x:v>
      </x:c>
      <x:c r="G25" s="89" t="str">
        <x:v>Не начато</x:v>
      </x:c>
      <x:c r="H25" s="89" t="str"/>
      <x:c r="I25" s="89" t="str"/>
      <x:c r="J25" s="89" t="str">
        <x:v>Каждый сегмент светится отдельно</x:v>
      </x:c>
      <x:c r="K25" s="89" t="str">
        <x:v>Сухая сборка и общий фронт</x:v>
      </x:c>
      <x:c r="L25" s="89" t="str">
        <x:v>S07</x:v>
      </x:c>
    </x:row>
    <x:row r="26">
      <x:c r="A26" s="89" t="n">
        <x:v>12</x:v>
      </x:c>
      <x:c r="B26" s="89" t="str">
        <x:v>Крылья</x:v>
      </x:c>
      <x:c r="C26" s="89" t="str">
        <x:v>Края, разрывы и проколы</x:v>
      </x:c>
      <x:c r="D26" s="89" t="str">
        <x:v>431–433</x:v>
      </x:c>
      <x:c r="E26" s="89" t="str">
        <x:v>White Grey / Rakarth / dark purple-blue</x:v>
      </x:c>
      <x:c r="F26" s="89" t="str">
        <x:v>Повреждения локальны и следуют натяжению</x:v>
      </x:c>
      <x:c r="G26" s="89" t="str">
        <x:v>Не начато</x:v>
      </x:c>
      <x:c r="H26" s="89" t="str"/>
      <x:c r="I26" s="89" t="str"/>
      <x:c r="J26" s="89" t="str">
        <x:v>Перегрузить обе перепонки</x:v>
      </x:c>
      <x:c r="K26" s="89" t="str">
        <x:v>Выбрать 1–2 зоны</x:v>
      </x:c>
      <x:c r="L26" s="89" t="str">
        <x:v>S07</x:v>
      </x:c>
    </x:row>
    <x:row r="27">
      <x:c r="A27" s="89" t="n">
        <x:v>13</x:v>
      </x:c>
      <x:c r="B27" s="89" t="str">
        <x:v>Дополнительные материалы</x:v>
      </x:c>
      <x:c r="C27" s="89" t="str">
        <x:v>Хитин, броня, украшения и цепи</x:v>
      </x:c>
      <x:c r="D27" s="89" t="str">
        <x:v>407–408, 415–416, 440–442</x:v>
      </x:c>
      <x:c r="E27" s="89" t="str">
        <x:v>TMM / Black Lotus / Carroburg / leather chain</x:v>
      </x:c>
      <x:c r="F27" s="89" t="str">
        <x:v>Каждый материал имеет отдельную фактуру и финиш</x:v>
      </x:c>
      <x:c r="G27" s="89" t="str">
        <x:v>Не начато</x:v>
      </x:c>
      <x:c r="H27" s="89" t="str"/>
      <x:c r="I27" s="89" t="str"/>
      <x:c r="J27" s="89" t="str">
        <x:v>Все материалы одинаково блестят</x:v>
      </x:c>
      <x:c r="K27" s="89" t="str">
        <x:v>Фото под боковой лампой</x:v>
      </x:c>
      <x:c r="L27" s="89" t="str">
        <x:v>S08</x:v>
      </x:c>
    </x:row>
    <x:row r="28">
      <x:c r="A28" s="89" t="n">
        <x:v>14</x:v>
      </x:c>
      <x:c r="B28" s="89" t="str">
        <x:v>Кожа</x:v>
      </x:c>
      <x:c r="C28" s="89" t="str">
        <x:v>Шрамы, ожоги, трещины или гнойники</x:v>
      </x:c>
      <x:c r="D28" s="89" t="str">
        <x:v>409–412, 424, 428</x:v>
      </x:c>
      <x:c r="E28" s="89" t="str">
        <x:v>Black / Deep Brown / Carroburg / White / glow colour</x:v>
      </x:c>
      <x:c r="F28" s="89" t="str">
        <x:v>Выбрано не более двух типов повреждений</x:v>
      </x:c>
      <x:c r="G28" s="89" t="str">
        <x:v>Не начато</x:v>
      </x:c>
      <x:c r="H28" s="89" t="str"/>
      <x:c r="I28" s="89" t="str"/>
      <x:c r="J28" s="89" t="str">
        <x:v>Перегрузить всю кожу</x:v>
      </x:c>
      <x:c r="K28" s="89" t="str">
        <x:v>Список выбранных эффектов</x:v>
      </x:c>
      <x:c r="L28" s="89" t="str">
        <x:v>S09</x:v>
      </x:c>
    </x:row>
    <x:row r="29">
      <x:c r="A29" s="89" t="n">
        <x:v>15</x:v>
      </x:c>
      <x:c r="B29" s="89" t="str">
        <x:v>Оружие</x:v>
      </x:c>
      <x:c r="C29" s="89" t="str">
        <x:v>Отражение оружия и следы контакта</x:v>
      </x:c>
      <x:c r="D29" s="89" t="str">
        <x:v>438–439</x:v>
      </x:c>
      <x:c r="E29" s="89" t="str">
        <x:v>Weapon glow colour / Deep Brown / Blood / Silver</x:v>
      </x:c>
      <x:c r="F29" s="89" t="str">
        <x:v>Отражение слабее источника; загрязнение имеет физическое место</x:v>
      </x:c>
      <x:c r="G29" s="89" t="str">
        <x:v>Не начато</x:v>
      </x:c>
      <x:c r="H29" s="89" t="str"/>
      <x:c r="I29" s="89" t="str"/>
      <x:c r="J29" s="89" t="str">
        <x:v>Окрасить всю руку цветом оружия</x:v>
      </x:c>
      <x:c r="K29" s="89" t="str">
        <x:v>Фото руки и оружия вместе</x:v>
      </x:c>
      <x:c r="L29" s="89" t="str">
        <x:v>S09</x:v>
      </x:c>
    </x:row>
    <x:row r="30">
      <x:c r="A30" s="89" t="n">
        <x:v>16</x:v>
      </x:c>
      <x:c r="B30" s="89" t="str">
        <x:v>Подставка</x:v>
      </x:c>
      <x:c r="C30" s="89" t="str">
        <x:v>Камень, кости и магические трещины</x:v>
      </x:c>
      <x:c r="D30" s="89" t="str">
        <x:v>443–445</x:v>
      </x:c>
      <x:c r="E30" s="89" t="str">
        <x:v>Greys / Bonewhite / Skeleton / glow colour</x:v>
      </x:c>
      <x:c r="F30" s="89" t="str">
        <x:v>База поддерживает модель и не конкурирует с лицом</x:v>
      </x:c>
      <x:c r="G30" s="89" t="str">
        <x:v>Не начато</x:v>
      </x:c>
      <x:c r="H30" s="89" t="str"/>
      <x:c r="I30" s="89" t="str"/>
      <x:c r="J30" s="89" t="str">
        <x:v>Слишком светлая база</x:v>
      </x:c>
      <x:c r="K30" s="89" t="str">
        <x:v>Фото на уровне глаз</x:v>
      </x:c>
      <x:c r="L30" s="89" t="str">
        <x:v>S10</x:v>
      </x:c>
    </x:row>
    <x:row r="31">
      <x:c r="A31" s="89" t="n">
        <x:v>17</x:v>
      </x:c>
      <x:c r="B31" s="89" t="str">
        <x:v>Интеграция</x:v>
      </x:c>
      <x:c r="C31" s="89" t="str">
        <x:v>Кровь, пыль и bounce от базы</x:v>
      </x:c>
      <x:c r="D31" s="89" t="str">
        <x:v>417–418, 446–447</x:v>
      </x:c>
      <x:c r="E31" s="89" t="str">
        <x:v>Sand / Umber / colour of base / Blood</x:v>
      </x:c>
      <x:c r="F31" s="89" t="str">
        <x:v>Загрязнение затухает вверх; bounce слабее источника</x:v>
      </x:c>
      <x:c r="G31" s="89" t="str">
        <x:v>Не начато</x:v>
      </x:c>
      <x:c r="H31" s="89" t="str"/>
      <x:c r="I31" s="89" t="str"/>
      <x:c r="J31" s="89" t="str">
        <x:v>Равномерная грязь по всей модели</x:v>
      </x:c>
      <x:c r="K31" s="89" t="str">
        <x:v>Фронт и спина</x:v>
      </x:c>
      <x:c r="L31" s="89" t="str">
        <x:v>S10</x:v>
      </x:c>
    </x:row>
    <x:row r="32">
      <x:c r="A32" s="89" t="n">
        <x:v>18</x:v>
      </x:c>
      <x:c r="B32" s="89" t="str">
        <x:v>Композиция</x:v>
      </x:c>
      <x:c r="C32" s="89" t="str">
        <x:v>Финальная иерархия и цветовой баланс</x:v>
      </x:c>
      <x:c r="D32" s="89" t="str">
        <x:v>419, 448</x:v>
      </x:c>
      <x:c r="E32" s="89" t="str">
        <x:v>Base / faction colour / White</x:v>
      </x:c>
      <x:c r="F32" s="89" t="str">
        <x:v>Один главный и один вторичный фокус</x:v>
      </x:c>
      <x:c r="G32" s="89" t="str">
        <x:v>Не начато</x:v>
      </x:c>
      <x:c r="H32" s="89" t="str"/>
      <x:c r="I32" s="89" t="str"/>
      <x:c r="J32" s="89" t="str">
        <x:v>Равные максимумы на крыльях, лице и базе</x:v>
      </x:c>
      <x:c r="K32" s="89" t="str">
        <x:v>Шесть ракурсов</x:v>
      </x:c>
      <x:c r="L32" s="89" t="str">
        <x:v>S11</x:v>
      </x:c>
    </x:row>
    <x:row r="33">
      <x:c r="A33" s="89" t="n">
        <x:v>19</x:v>
      </x:c>
      <x:c r="B33" s="89" t="str">
        <x:v>Контроль</x:v>
      </x:c>
      <x:c r="C33" s="89" t="str">
        <x:v>Фото-проход и исправление трёх проблем</x:v>
      </x:c>
      <x:c r="D33" s="89" t="str">
        <x:v>360, 449</x:v>
      </x:c>
      <x:c r="E33" s="89" t="str">
        <x:v>Neutral light / grayscale / notes</x:v>
      </x:c>
      <x:c r="F33" s="89" t="str">
        <x:v>Зафиксированы три проблемы и три удачных решения</x:v>
      </x:c>
      <x:c r="G33" s="89" t="str">
        <x:v>Не начато</x:v>
      </x:c>
      <x:c r="H33" s="89" t="str"/>
      <x:c r="I33" s="89" t="str"/>
      <x:c r="J33" s="89" t="str">
        <x:v>Бесконечный ремонт</x:v>
      </x:c>
      <x:c r="K33" s="89" t="str">
        <x:v>Заполнить Фото-контроль</x:v>
      </x:c>
      <x:c r="L33" s="89" t="str">
        <x:v>S11</x:v>
      </x:c>
    </x:row>
    <x:row r="34">
      <x:c r="A34" s="89" t="n">
        <x:v>20</x:v>
      </x:c>
      <x:c r="B34" s="89" t="str">
        <x:v>Финиш</x:v>
      </x:c>
      <x:c r="C34" s="89" t="str">
        <x:v>Тест и нанесение карты лаков</x:v>
      </x:c>
      <x:c r="D34" s="89" t="str">
        <x:v>420, 450</x:v>
      </x:c>
      <x:c r="E34" s="89" t="str">
        <x:v>Matt / Satin / Gloss / Metal Varnish</x:v>
      </x:c>
      <x:c r="F34" s="89" t="str">
        <x:v>Материалы различаются; границы лака незаметны</x:v>
      </x:c>
      <x:c r="G34" s="89" t="str">
        <x:v>Не начато</x:v>
      </x:c>
      <x:c r="H34" s="89" t="str"/>
      <x:c r="I34" s="89" t="str"/>
      <x:c r="J34" s="89" t="str">
        <x:v>Лак без предварительного теста</x:v>
      </x:c>
      <x:c r="K34" s="89" t="str">
        <x:v>Проверка под лампой</x:v>
      </x:c>
      <x:c r="L34" s="89" t="str">
        <x:v>S12</x:v>
      </x:c>
    </x:row>
  </x:sheetData>
  <x:mergeCells>
    <x:mergeCell ref="A1:L1"/>
    <x:mergeCell ref="A2:L2"/>
    <x:mergeCell ref="E6:M6"/>
    <x:mergeCell ref="E7:M7"/>
    <x:mergeCell ref="E8:M8"/>
  </x:mergeCells>
  <x:conditionalFormatting sqref="M4:M4">
    <x:cfRule type="dataBar" priority="1">
      <x:dataBar>
        <x:cfvo type="min"/>
        <x:cfvo type="max"/>
        <x:color rgb="FF16A34A"/>
      </x:dataBar>
      <x:extLst>
        <x:ext xmlns:x14="http://schemas.microsoft.com/office/spreadsheetml/2009/9/main" uri="{B025F937-C7B1-47D3-B67F-A62EFF666E3E}">
          <x14:id>{8268F2B3-5E59-922A-58A4-F93C9A13258E}</x14:id>
        </x:ext>
      </x:extLst>
    </x:cfRule>
  </x:conditionalFormatting>
  <x:conditionalFormatting sqref="G15:G34">
    <x:cfRule type="expression" dxfId="104" priority="2">
      <x:formula>G15="Готово"</x:formula>
    </x:cfRule>
    <x:cfRule type="expression" dxfId="105" priority="3">
      <x:formula>G15="Следующий шаг"</x:formula>
    </x:cfRule>
    <x:cfRule type="expression" dxfId="106" priority="4">
      <x:formula>G15="В работе"</x:formula>
    </x:cfRule>
    <x:cfRule type="expression" dxfId="107" priority="5">
      <x:formula>G15="Отложено"</x:formula>
    </x:cfRule>
  </x:conditionalFormatting>
  <x:dataValidations count="1">
    <x:dataValidation type="list" sqref="G15:G34">
      <x:formula1>"Готово,Следующий шаг,В работе,Не начато,Отложено"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e6789e05904e4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268F2B3-5E59-922A-58A4-F93C9A13258E}">
            <x14:dataBar gradient="1">
              <x14:cfvo type="min"/>
              <x14:cfvo type="max"/>
              <x14:fillColor rgb="FF16A34A"/>
            </x14:dataBar>
          </x14:cfRule>
          <xm:sqref>M4:M4</xm:sqref>
        </x14:conditionalFormatting>
      </x14:conditionalFormattings>
    </x:ext>
  </x:extLst>
</x:worksheet>
</file>

<file path=xl/worksheets/sheet5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9" hidden="0" customWidth="1"/>
    <x:col min="3" max="3" width="54" hidden="0" customWidth="1"/>
    <x:col min="4" max="4" width="30" hidden="0" customWidth="1"/>
    <x:col min="5" max="5" width="24" hidden="0" customWidth="1"/>
    <x:col min="6" max="6" width="56" hidden="0" customWidth="1"/>
    <x:col min="7" max="7" width="15" hidden="0" customWidth="1"/>
    <x:col min="8" max="8" width="15" hidden="0" customWidth="1"/>
    <x:col min="9" max="9" width="30" hidden="0" customWidth="1"/>
    <x:col min="10" max="10" width="16" hidden="0" customWidth="1"/>
    <x:col min="11" max="11" width="26" hidden="0" customWidth="1"/>
    <x:col min="12" max="12" width="26" hidden="0" customWidth="1"/>
    <x:col min="13" max="13" width="42" hidden="0" customWidth="1"/>
  </x:cols>
  <x:sheetData>
    <x:row r="1" ht="38" customHeight="1">
      <x:c r="A1" s="634" t="str">
        <x:v>Сессии демон-принца: поэтапная доводка без перегрузки модели</x:v>
      </x:c>
      <x:c r="B1" s="634"/>
      <x:c r="C1" s="634"/>
      <x:c r="D1" s="634"/>
      <x:c r="E1" s="634"/>
      <x:c r="F1" s="634"/>
      <x:c r="G1" s="634"/>
      <x:c r="H1" s="634"/>
      <x:c r="I1" s="634"/>
      <x:c r="J1" s="634"/>
      <x:c r="K1" s="634"/>
      <x:c r="L1" s="634"/>
      <x:c r="M1" s="634"/>
    </x:row>
    <x:row r="2" ht="40" customHeight="1">
      <x:c r="A2" s="660" t="str">
        <x:v>План разбивает большую модель на ограниченные задачи. В одной сессии не смешиваются восстановление крупных объёмов, мелкая органическая детализация и финальные лаки.</x:v>
      </x:c>
      <x:c r="B2" s="660"/>
      <x:c r="C2" s="660"/>
      <x:c r="D2" s="660"/>
      <x:c r="E2" s="660"/>
      <x:c r="F2" s="660"/>
      <x:c r="G2" s="660"/>
      <x:c r="H2" s="660"/>
      <x:c r="I2" s="660"/>
      <x:c r="J2" s="660"/>
      <x:c r="K2" s="660"/>
      <x:c r="L2" s="660"/>
      <x:c r="M2" s="660"/>
    </x:row>
    <x:row r="4">
      <x:c r="A4" s="643" t="str">
        <x:v>Всего сессий</x:v>
      </x:c>
      <x:c r="B4" s="662" t="n">
        <x:f>COUNTA(A8:A19)</x:f>
        <x:v>12</x:v>
      </x:c>
      <x:c r="C4" s="643" t="str">
        <x:v>Завершено</x:v>
      </x:c>
      <x:c r="D4" s="662" t="n">
        <x:f>COUNTIF(J8:J19,"Готово")</x:f>
        <x:v>0</x:v>
      </x:c>
      <x:c r="E4" s="643" t="str">
        <x:v>Активно</x:v>
      </x:c>
      <x:c r="F4" s="662" t="n">
        <x:f>COUNTIF(J8:J19,"В работе")+COUNTIF(J8:J19,"Следующая")</x:f>
        <x:v>1</x:v>
      </x:c>
      <x:c r="G4" s="643" t="str">
        <x:v>План, мин</x:v>
      </x:c>
      <x:c r="H4" s="662" t="n">
        <x:f>SUM(G8:G19)</x:f>
        <x:v>1080</x:v>
      </x:c>
      <x:c r="I4" s="643" t="str">
        <x:v>Факт, мин</x:v>
      </x:c>
      <x:c r="J4" s="662" t="n">
        <x:f>SUM(H8:H19)</x:f>
        <x:v>0</x:v>
      </x:c>
      <x:c r="K4" s="649" t="str">
        <x:v>Текущая сессия</x:v>
      </x:c>
      <x:c r="L4" s="653" t="str">
        <x:f>IFERROR(INDEX(B8:B19,MATCH("Следующая",J8:J19,0)),IFERROR(INDEX(B8:B19,MATCH("В работе",J8:J19,0)),"Нет активной сессии"))</x:f>
        <x:v>Вернуть цвет широким плоскостям</x:v>
      </x:c>
      <x:c r="M4" s="653"/>
    </x:row>
    <x:row r="5">
      <x:c r="K5" s="649" t="str">
        <x:v>Recipe ID</x:v>
      </x:c>
      <x:c r="L5" s="653" t="str">
        <x:f>IFERROR(INDEX(E8:E19,MATCH("Следующая",J8:J19,0)),IFERROR(INDEX(E8:E19,MATCH("В работе",J8:J19,0)),""))</x:f>
        <x:v>451, 454, 456–460, 470–480</x:v>
      </x:c>
      <x:c r="M5" s="653"/>
    </x:row>
    <x:row r="6">
      <x:c r="K6" s="649" t="str">
        <x:v>Критерий остановки</x:v>
      </x:c>
      <x:c r="L6" s="653" t="str">
        <x:f>IFERROR(INDEX(F8:F19,MATCH("Следующая",J8:J19,0)),IFERROR(INDEX(F8:F19,MATCH("В работе",J8:J19,0)),""))</x:f>
        <x:v>Все шесть зон PASS; итог листа S01 = CLOSE S01; фронтальное фото сохранено</x:v>
      </x:c>
      <x:c r="M6" s="653"/>
    </x:row>
    <x:row r="7" ht="48" customHeight="1">
      <x:c r="A7" s="657" t="str">
        <x:v>Session</x:v>
      </x:c>
      <x:c r="B7" s="657" t="str">
        <x:v>Цель</x:v>
      </x:c>
      <x:c r="C7" s="657" t="str">
        <x:v>Основные действия</x:v>
      </x:c>
      <x:c r="D7" s="657" t="str">
        <x:v>Зоны</x:v>
      </x:c>
      <x:c r="E7" s="657" t="str">
        <x:v>Recipe ID</x:v>
      </x:c>
      <x:c r="F7" s="657" t="str">
        <x:v>Критерий остановки</x:v>
      </x:c>
      <x:c r="G7" s="657" t="str">
        <x:v>План, мин</x:v>
      </x:c>
      <x:c r="H7" s="657" t="str">
        <x:v>Факт, мин</x:v>
      </x:c>
      <x:c r="I7" s="657" t="str">
        <x:v>Зависимость</x:v>
      </x:c>
      <x:c r="J7" s="657" t="str">
        <x:v>Статус</x:v>
      </x:c>
      <x:c r="K7" s="657" t="str">
        <x:v>Фото до</x:v>
      </x:c>
      <x:c r="L7" s="657" t="str">
        <x:v>Фото после</x:v>
      </x:c>
      <x:c r="M7" s="657" t="str">
        <x:v>Заметка</x:v>
      </x:c>
    </x:row>
    <x:row r="8">
      <x:c r="A8" s="89" t="str">
        <x:v>S01</x:v>
      </x:c>
      <x:c r="B8" s="89" t="str">
        <x:v>Вернуть цвет широким плоскостям</x:v>
      </x:c>
      <x:c r="C8" s="89" t="str">
        <x:v>Тестовый участок → гибридное восстановление торса, плеч, верхних рук и спины → объединение зон</x:v>
      </x:c>
      <x:c r="D8" s="89" t="str">
        <x:v>Торс, плечи, верх рук</x:v>
      </x:c>
      <x:c r="E8" s="89" t="str">
        <x:v>451, 454, 456–460, 470–480</x:v>
      </x:c>
      <x:c r="F8" s="89" t="str">
        <x:v>Все шесть зон PASS; итог листа S01 = CLOSE S01; фронтальное фото сохранено</x:v>
      </x:c>
      <x:c r="G8" s="89" t="n">
        <x:v>75</x:v>
      </x:c>
      <x:c r="H8" s="89"/>
      <x:c r="I8" s="89" t="str">
        <x:v>S00 — масло полностью высохло</x:v>
      </x:c>
      <x:c r="J8" s="89" t="str">
        <x:v>Следующая</x:v>
      </x:c>
      <x:c r="K8" s="89" t="str"/>
      <x:c r="L8" s="89" t="str"/>
      <x:c r="M8" s="89" t="str">
        <x:f>'Сессия S01 — торс'!L4</x:f>
        <x:v>CONTINUE</x:v>
      </x:c>
    </x:row>
    <x:row r="9">
      <x:c r="A9" s="89" t="str">
        <x:v>S02</x:v>
      </x:c>
      <x:c r="B9" s="89" t="str">
        <x:v>Восстановить крупную анатомию</x:v>
      </x:c>
      <x:c r="C9" s="89" t="str">
        <x:v>Тест анатомической границы → грудь/ключицы → плечи/руки → спина/бок → мягкое брюхо → фото-gate</x:v>
      </x:c>
      <x:c r="D9" s="89" t="str">
        <x:v>Торс, руки, спина, брюхо</x:v>
      </x:c>
      <x:c r="E9" s="89" t="str">
        <x:v>481–510</x:v>
      </x:c>
      <x:c r="F9" s="89" t="str">
        <x:v>S01 = CLOSE S01; все 12 зон PASS; пятиуровневый gate PASS; итог S02 = CLOSE S02</x:v>
      </x:c>
      <x:c r="G9" s="89" t="n">
        <x:v>90</x:v>
      </x:c>
      <x:c r="H9" s="89"/>
      <x:c r="I9" s="89" t="str">
        <x:v>S01 = CLOSE S01</x:v>
      </x:c>
      <x:c r="J9" s="89" t="str">
        <x:v>Не начато</x:v>
      </x:c>
      <x:c r="K9" s="89" t="str"/>
      <x:c r="L9" s="89" t="str"/>
      <x:c r="M9" s="89" t="str">
        <x:f>'Сессия S02 — анатомия'!N5</x:f>
        <x:v>LOCKED</x:v>
      </x:c>
    </x:row>
    <x:row r="10">
      <x:c r="A10" s="89" t="str">
        <x:v>S03</x:v>
      </x:c>
      <x:c r="B10" s="89" t="str">
        <x:v>Вернуть фактуру и физиологию</x:v>
      </x:c>
      <x:c r="C10" s="89" t="str">
        <x:v>Тест плотности → плечи/спина/руки → суставы → грудь/брюхо → пигментация → вены/рубцы → фото-gate</x:v>
      </x:c>
      <x:c r="D10" s="89" t="str">
        <x:v>Плечи, спина, руки, суставы, грудь, брюхо</x:v>
      </x:c>
      <x:c r="E10" s="89" t="str">
        <x:v>511–540</x:v>
      </x:c>
      <x:c r="F10" s="89" t="str">
        <x:v>S02 = CLOSE S02; все 12 зон PASS; макро/дистанция/grayscale gate PASS; итог S03 = CLOSE S03</x:v>
      </x:c>
      <x:c r="G10" s="89" t="n">
        <x:v>90</x:v>
      </x:c>
      <x:c r="H10" s="89"/>
      <x:c r="I10" s="89" t="str">
        <x:v>S02 = CLOSE S02</x:v>
      </x:c>
      <x:c r="J10" s="89" t="str">
        <x:v>Не начато</x:v>
      </x:c>
      <x:c r="K10" s="89" t="str"/>
      <x:c r="L10" s="89" t="str"/>
      <x:c r="M10" s="89" t="str">
        <x:f>'Сессия S03 — фактура'!N5</x:f>
        <x:v>LOCKED</x:v>
      </x:c>
    </x:row>
    <x:row r="11">
      <x:c r="A11" s="89" t="str">
        <x:v>S04</x:v>
      </x:c>
      <x:c r="B11" s="89" t="str">
        <x:v>Сделать лицо фокусом</x:v>
      </x:c>
      <x:c r="C11" s="89" t="str">
        <x:v>Локальный контраст лица, глаза и влажные веки</x:v>
      </x:c>
      <x:c r="D11" s="89" t="str">
        <x:v>Голова</x:v>
      </x:c>
      <x:c r="E11" s="89" t="str">
        <x:v>396–397</x:v>
      </x:c>
      <x:c r="F11" s="89" t="str">
        <x:v>Лицо читается первым; глаза ярче ореола</x:v>
      </x:c>
      <x:c r="G11" s="89" t="n">
        <x:v>75</x:v>
      </x:c>
      <x:c r="H11" s="89"/>
      <x:c r="I11" s="89" t="str">
        <x:v>S02</x:v>
      </x:c>
      <x:c r="J11" s="89" t="str">
        <x:v>Не начато</x:v>
      </x:c>
      <x:c r="K11" s="89" t="str"/>
      <x:c r="L11" s="89" t="str"/>
      <x:c r="M11" s="89" t="str"/>
    </x:row>
    <x:row r="12">
      <x:c r="A12" s="89" t="str">
        <x:v>S05</x:v>
      </x:c>
      <x:c r="B12" s="89" t="str">
        <x:v>Закончить пасть</x:v>
      </x:c>
      <x:c r="C12" s="89" t="str">
        <x:v>Глубина пасти, язык, дёсны, зубы и локальная влажность</x:v>
      </x:c>
      <x:c r="D12" s="89" t="str">
        <x:v>Пасть</x:v>
      </x:c>
      <x:c r="E12" s="89" t="str">
        <x:v>398–400</x:v>
      </x:c>
      <x:c r="F12" s="89" t="str">
        <x:v>Глубина почти чёрная, зубы темнее у корней</x:v>
      </x:c>
      <x:c r="G12" s="89" t="n">
        <x:v>75</x:v>
      </x:c>
      <x:c r="H12" s="89"/>
      <x:c r="I12" s="89" t="str">
        <x:v>S04</x:v>
      </x:c>
      <x:c r="J12" s="89" t="str">
        <x:v>Не начато</x:v>
      </x:c>
      <x:c r="K12" s="89" t="str"/>
      <x:c r="L12" s="89" t="str"/>
      <x:c r="M12" s="89" t="str"/>
    </x:row>
    <x:row r="13">
      <x:c r="A13" s="89" t="str">
        <x:v>S06</x:v>
      </x:c>
      <x:c r="B13" s="89" t="str">
        <x:v>Рога и когти</x:v>
      </x:c>
      <x:c r="C13" s="89" t="str">
        <x:v>Корни рогов, продольная структура, сколы, полировка и царапины когтей</x:v>
      </x:c>
      <x:c r="D13" s="89" t="str">
        <x:v>Рога, когти</x:v>
      </x:c>
      <x:c r="E13" s="89" t="str">
        <x:v>401–403, 434–437</x:v>
      </x:c>
      <x:c r="F13" s="89" t="str">
        <x:v>Материалы отделены от кожи цветом, фактурой и финишем</x:v>
      </x:c>
      <x:c r="G13" s="89" t="n">
        <x:v>105</x:v>
      </x:c>
      <x:c r="H13" s="89"/>
      <x:c r="I13" s="89" t="str">
        <x:v>S03</x:v>
      </x:c>
      <x:c r="J13" s="89" t="str">
        <x:v>Не начато</x:v>
      </x:c>
      <x:c r="K13" s="89" t="str"/>
      <x:c r="L13" s="89" t="str"/>
      <x:c r="M13" s="89" t="str"/>
    </x:row>
    <x:row r="14">
      <x:c r="A14" s="89" t="str">
        <x:v>S07</x:v>
      </x:c>
      <x:c r="B14" s="89" t="str">
        <x:v>Крылья</x:v>
      </x:c>
      <x:c r="C14" s="89" t="str">
        <x:v>Верх/низ, толщина сегментов, внутренние жилки и максимум 1–2 повреждения</x:v>
      </x:c>
      <x:c r="D14" s="89" t="str">
        <x:v>Крылья</x:v>
      </x:c>
      <x:c r="E14" s="89" t="str">
        <x:v>404–406, 429–433</x:v>
      </x:c>
      <x:c r="F14" s="89" t="str">
        <x:v>Свет совпадает с корпусом; перепонка выглядит тонкой</x:v>
      </x:c>
      <x:c r="G14" s="89" t="n">
        <x:v>120</x:v>
      </x:c>
      <x:c r="H14" s="89"/>
      <x:c r="I14" s="89" t="str">
        <x:v>S02</x:v>
      </x:c>
      <x:c r="J14" s="89" t="str">
        <x:v>Не начато</x:v>
      </x:c>
      <x:c r="K14" s="89" t="str"/>
      <x:c r="L14" s="89" t="str"/>
      <x:c r="M14" s="89" t="str"/>
    </x:row>
    <x:row r="15">
      <x:c r="A15" s="89" t="str">
        <x:v>S08</x:v>
      </x:c>
      <x:c r="B15" s="89" t="str">
        <x:v>Дополнительные материалы</x:v>
      </x:c>
      <x:c r="C15" s="89" t="str">
        <x:v>Хитин, броня, украшения, цепи, ремни и вторичный камень</x:v>
      </x:c>
      <x:c r="D15" s="89" t="str">
        <x:v>Корпус и снаряжение</x:v>
      </x:c>
      <x:c r="E15" s="89" t="str">
        <x:v>407–408, 415–416, 440–442</x:v>
      </x:c>
      <x:c r="F15" s="89" t="str">
        <x:v>Каждый материал имеет отдельный характер блика</x:v>
      </x:c>
      <x:c r="G15" s="89" t="n">
        <x:v>105</x:v>
      </x:c>
      <x:c r="H15" s="89"/>
      <x:c r="I15" s="89" t="str">
        <x:v>S03</x:v>
      </x:c>
      <x:c r="J15" s="89" t="str">
        <x:v>Не начато</x:v>
      </x:c>
      <x:c r="K15" s="89" t="str"/>
      <x:c r="L15" s="89" t="str"/>
      <x:c r="M15" s="89" t="str"/>
    </x:row>
    <x:row r="16">
      <x:c r="A16" s="89" t="str">
        <x:v>S09</x:v>
      </x:c>
      <x:c r="B16" s="89" t="str">
        <x:v>Повреждения и магия</x:v>
      </x:c>
      <x:c r="C16" s="89" t="str">
        <x:v>Выбрать не более двух типов органических повреждений; закончить оружие и отражения</x:v>
      </x:c>
      <x:c r="D16" s="89" t="str">
        <x:v>Кожа, оружие</x:v>
      </x:c>
      <x:c r="E16" s="89" t="str">
        <x:v>409–412, 424, 428, 438–439</x:v>
      </x:c>
      <x:c r="F16" s="89" t="str">
        <x:v>Эффекты не покрывают всю модель и не спорят с лицом</x:v>
      </x:c>
      <x:c r="G16" s="89" t="n">
        <x:v>90</x:v>
      </x:c>
      <x:c r="H16" s="89"/>
      <x:c r="I16" s="89" t="str">
        <x:v>S04–S08</x:v>
      </x:c>
      <x:c r="J16" s="89" t="str">
        <x:v>Не начато</x:v>
      </x:c>
      <x:c r="K16" s="89" t="str"/>
      <x:c r="L16" s="89" t="str"/>
      <x:c r="M16" s="89" t="str"/>
    </x:row>
    <x:row r="17">
      <x:c r="A17" s="89" t="str">
        <x:v>S10</x:v>
      </x:c>
      <x:c r="B17" s="89" t="str">
        <x:v>Подставка и интеграция</x:v>
      </x:c>
      <x:c r="C17" s="89" t="str">
        <x:v>Камень, кости, магические трещины, кровь, пыль и bounce light</x:v>
      </x:c>
      <x:c r="D17" s="89" t="str">
        <x:v>Подставка и низ модели</x:v>
      </x:c>
      <x:c r="E17" s="89" t="str">
        <x:v>443–447</x:v>
      </x:c>
      <x:c r="F17" s="89" t="str">
        <x:v>Загрязнение затухает вверх, база слабее главного фокуса</x:v>
      </x:c>
      <x:c r="G17" s="89" t="n">
        <x:v>105</x:v>
      </x:c>
      <x:c r="H17" s="89"/>
      <x:c r="I17" s="89" t="str">
        <x:v>S06–S09</x:v>
      </x:c>
      <x:c r="J17" s="89" t="str">
        <x:v>Не начато</x:v>
      </x:c>
      <x:c r="K17" s="89" t="str"/>
      <x:c r="L17" s="89" t="str"/>
      <x:c r="M17" s="89" t="str"/>
    </x:row>
    <x:row r="18">
      <x:c r="A18" s="89" t="str">
        <x:v>S11</x:v>
      </x:c>
      <x:c r="B18" s="89" t="str">
        <x:v>Композиционный контроль</x:v>
      </x:c>
      <x:c r="C18" s="89" t="str">
        <x:v>Цветовой баланс, три уровня внимания и фото-проход</x:v>
      </x:c>
      <x:c r="D18" s="89" t="str">
        <x:v>Вся модель</x:v>
      </x:c>
      <x:c r="E18" s="89" t="str">
        <x:v>419, 448–449</x:v>
      </x:c>
      <x:c r="F18" s="89" t="str">
        <x:v>Записаны три проблемы и три удачных решения</x:v>
      </x:c>
      <x:c r="G18" s="89" t="n">
        <x:v>60</x:v>
      </x:c>
      <x:c r="H18" s="89"/>
      <x:c r="I18" s="89" t="str">
        <x:v>S10</x:v>
      </x:c>
      <x:c r="J18" s="89" t="str">
        <x:v>Не начато</x:v>
      </x:c>
      <x:c r="K18" s="89" t="str"/>
      <x:c r="L18" s="89" t="str"/>
      <x:c r="M18" s="89" t="str"/>
    </x:row>
    <x:row r="19">
      <x:c r="A19" s="89" t="str">
        <x:v>S12</x:v>
      </x:c>
      <x:c r="B19" s="89" t="str">
        <x:v>Финал</x:v>
      </x:c>
      <x:c r="C19" s="89" t="str">
        <x:v>Исправить три проблемы, протестировать лаки и нанести карту финишей</x:v>
      </x:c>
      <x:c r="D19" s="89" t="str">
        <x:v>Вся модель</x:v>
      </x:c>
      <x:c r="E19" s="89" t="str">
        <x:v>360, 420, 450</x:v>
      </x:c>
      <x:c r="F19" s="89" t="str">
        <x:v>Границы финишей незаметны, модель готова к витрине/игре</x:v>
      </x:c>
      <x:c r="G19" s="89" t="n">
        <x:v>90</x:v>
      </x:c>
      <x:c r="H19" s="89"/>
      <x:c r="I19" s="89" t="str">
        <x:v>S11</x:v>
      </x:c>
      <x:c r="J19" s="89" t="str">
        <x:v>Не начато</x:v>
      </x:c>
      <x:c r="K19" s="89" t="str"/>
      <x:c r="L19" s="89" t="str"/>
      <x:c r="M19" s="89" t="str"/>
    </x:row>
  </x:sheetData>
  <x:mergeCells>
    <x:mergeCell ref="A1:M1"/>
    <x:mergeCell ref="A2:M2"/>
    <x:mergeCell ref="L4:M4"/>
    <x:mergeCell ref="L5:M5"/>
    <x:mergeCell ref="L6:M6"/>
  </x:mergeCells>
  <x:conditionalFormatting sqref="J8:J19">
    <x:cfRule type="expression" dxfId="108" priority="1">
      <x:formula>J8="Готово"</x:formula>
    </x:cfRule>
    <x:cfRule type="expression" dxfId="109" priority="2">
      <x:formula>J8="Следующая"</x:formula>
    </x:cfRule>
    <x:cfRule type="expression" dxfId="110" priority="3">
      <x:formula>J8="В работе"</x:formula>
    </x:cfRule>
    <x:cfRule type="expression" dxfId="111" priority="4">
      <x:formula>J8="Отложено"</x:formula>
    </x:cfRule>
  </x:conditionalFormatting>
  <x:dataValidations count="1">
    <x:dataValidation type="list" sqref="J8:J19">
      <x:formula1>"Готово,Следующая,В работе,Не начато,Отложено"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f6cc2a550c47ea"/>
  </x:tableParts>
</x:worksheet>
</file>

<file path=xl/worksheets/sheet5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4" hidden="0" customWidth="1"/>
    <x:col min="3" max="3" width="43" hidden="0" customWidth="1"/>
    <x:col min="4" max="4" width="55" hidden="0" customWidth="1"/>
    <x:col min="5" max="5" width="30" hidden="0" customWidth="1"/>
    <x:col min="6" max="6" width="30" hidden="0" customWidth="1"/>
    <x:col min="7" max="7" width="15" hidden="0" customWidth="1"/>
    <x:col min="8" max="8" width="46" hidden="0" customWidth="1"/>
    <x:col min="9" max="9" width="46" hidden="0" customWidth="1"/>
    <x:col min="10" max="10" width="18" hidden="0" customWidth="1"/>
  </x:cols>
  <x:sheetData>
    <x:row r="1" ht="38" customHeight="1">
      <x:c r="A1" s="634" t="str">
        <x:v>Фото-контроль демон-принца</x:v>
      </x:c>
      <x:c r="B1" s="634"/>
      <x:c r="C1" s="634"/>
      <x:c r="D1" s="634"/>
      <x:c r="E1" s="634"/>
      <x:c r="F1" s="634"/>
      <x:c r="G1" s="634"/>
      <x:c r="H1" s="634"/>
      <x:c r="I1" s="634"/>
      <x:c r="J1" s="634"/>
    </x:row>
    <x:row r="2" ht="40" customHeight="1">
      <x:c r="A2" s="660" t="str">
        <x:v>Использовать одинаковый фон, положение лампы и баланс белого. Фото нужны не для красоты, а для проверки направления света, фокуса, непрокрашенных зон и различия материалов.</x:v>
      </x:c>
      <x:c r="B2" s="660"/>
      <x:c r="C2" s="660"/>
      <x:c r="D2" s="660"/>
      <x:c r="E2" s="660"/>
      <x:c r="F2" s="660"/>
      <x:c r="G2" s="660"/>
      <x:c r="H2" s="660"/>
      <x:c r="I2" s="660"/>
      <x:c r="J2" s="660"/>
    </x:row>
    <x:row r="4">
      <x:c r="A4" s="643" t="str">
        <x:v>Всего кадров</x:v>
      </x:c>
      <x:c r="B4" s="662" t="n">
        <x:f>COUNTA(A8:A21)</x:f>
        <x:v>14</x:v>
      </x:c>
      <x:c r="C4" s="643" t="str">
        <x:v>PASS</x:v>
      </x:c>
      <x:c r="D4" s="662" t="n">
        <x:f>COUNTIF(G8:G21,"PASS")</x:f>
        <x:v>0</x:v>
      </x:c>
      <x:c r="E4" s="643" t="str">
        <x:v>RETAKE</x:v>
      </x:c>
      <x:c r="F4" s="662" t="n">
        <x:f>COUNTIF(G8:G21,"RETAKE")</x:f>
        <x:v>0</x:v>
      </x:c>
      <x:c r="G4" s="643" t="str">
        <x:v>Не снято</x:v>
      </x:c>
      <x:c r="H4" s="662" t="n">
        <x:f>COUNTIF(G8:G21,"Не снято")</x:f>
        <x:v>14</x:v>
      </x:c>
    </x:row>
    <x:row r="7" ht="48" customHeight="1">
      <x:c r="A7" s="657" t="str">
        <x:v>Кадр</x:v>
      </x:c>
      <x:c r="B7" s="657" t="str">
        <x:v>Когда</x:v>
      </x:c>
      <x:c r="C7" s="657" t="str">
        <x:v>Что проверяет</x:v>
      </x:c>
      <x:c r="D7" s="657" t="str">
        <x:v>Критерий PASS</x:v>
      </x:c>
      <x:c r="E7" s="657" t="str">
        <x:v>Фото до</x:v>
      </x:c>
      <x:c r="F7" s="657" t="str">
        <x:v>Фото после</x:v>
      </x:c>
      <x:c r="G7" s="657" t="str">
        <x:v>Статус</x:v>
      </x:c>
      <x:c r="H7" s="657" t="str">
        <x:v>Найденная проблема</x:v>
      </x:c>
      <x:c r="I7" s="657" t="str">
        <x:v>Исправление</x:v>
      </x:c>
      <x:c r="J7" s="657" t="str">
        <x:v>Связанный этап</x:v>
      </x:c>
    </x:row>
    <x:row r="8">
      <x:c r="A8" s="89" t="str">
        <x:v>Фронт</x:v>
      </x:c>
      <x:c r="B8" s="89" t="str">
        <x:v>После каждой крупной сессии</x:v>
      </x:c>
      <x:c r="C8" s="89" t="str">
        <x:v>Главный фокус и симметрия света</x:v>
      </x:c>
      <x:c r="D8" s="89" t="str">
        <x:v>Лицо читается первым, тени не зеркально симметричны</x:v>
      </x:c>
      <x:c r="E8" s="89" t="str"/>
      <x:c r="F8" s="89" t="str"/>
      <x:c r="G8" s="89" t="str">
        <x:v>Не снято</x:v>
      </x:c>
      <x:c r="H8" s="89" t="str"/>
      <x:c r="I8" s="89" t="str"/>
      <x:c r="J8" s="89" t="str">
        <x:v>S01–S12</x:v>
      </x:c>
    </x:row>
    <x:row r="9">
      <x:c r="A9" s="89" t="str">
        <x:v>Спина</x:v>
      </x:c>
      <x:c r="B9" s="89" t="str">
        <x:v>После S03, S07, S10</x:v>
      </x:c>
      <x:c r="C9" s="89" t="str">
        <x:v>Фактура кожи, крылья и загрязнение</x:v>
      </x:c>
      <x:c r="D9" s="89" t="str">
        <x:v>Нет непрокрашенных зон; пыль слабеет вверх</x:v>
      </x:c>
      <x:c r="E9" s="89" t="str"/>
      <x:c r="F9" s="89" t="str"/>
      <x:c r="G9" s="89" t="str">
        <x:v>Не снято</x:v>
      </x:c>
      <x:c r="H9" s="89" t="str"/>
      <x:c r="I9" s="89" t="str"/>
      <x:c r="J9" s="89" t="str">
        <x:v>S03/S07/S10</x:v>
      </x:c>
    </x:row>
    <x:row r="10">
      <x:c r="A10" s="89" t="str">
        <x:v>Левый профиль</x:v>
      </x:c>
      <x:c r="B10" s="89" t="str">
        <x:v>После S02, S06, S09</x:v>
      </x:c>
      <x:c r="C10" s="89" t="str">
        <x:v>Направление света и рога</x:v>
      </x:c>
      <x:c r="D10" s="89" t="str">
        <x:v>Световые плоскости совпадают с фронтом</x:v>
      </x:c>
      <x:c r="E10" s="89" t="str"/>
      <x:c r="F10" s="89" t="str"/>
      <x:c r="G10" s="89" t="str">
        <x:v>Не снято</x:v>
      </x:c>
      <x:c r="H10" s="89" t="str"/>
      <x:c r="I10" s="89" t="str"/>
      <x:c r="J10" s="89" t="str">
        <x:v>S02/S06/S09</x:v>
      </x:c>
    </x:row>
    <x:row r="11">
      <x:c r="A11" s="89" t="str">
        <x:v>Правый профиль</x:v>
      </x:c>
      <x:c r="B11" s="89" t="str">
        <x:v>После S02, S06, S09</x:v>
      </x:c>
      <x:c r="C11" s="89" t="str">
        <x:v>Теневая сторона и оружие</x:v>
      </x:c>
      <x:c r="D11" s="89" t="str">
        <x:v>Теневая сторона темнее, оружие имеет локальные отражения</x:v>
      </x:c>
      <x:c r="E11" s="89" t="str"/>
      <x:c r="F11" s="89" t="str"/>
      <x:c r="G11" s="89" t="str">
        <x:v>Не снято</x:v>
      </x:c>
      <x:c r="H11" s="89" t="str"/>
      <x:c r="I11" s="89" t="str"/>
      <x:c r="J11" s="89" t="str">
        <x:v>S02/S06/S09</x:v>
      </x:c>
    </x:row>
    <x:row r="12">
      <x:c r="A12" s="89" t="str">
        <x:v>Сверху</x:v>
      </x:c>
      <x:c r="B12" s="89" t="str">
        <x:v>После S01, S07, S11</x:v>
      </x:c>
      <x:c r="C12" s="89" t="str">
        <x:v>Ключевой свет на плечах и крыльях</x:v>
      </x:c>
      <x:c r="D12" s="89" t="str">
        <x:v>Верхние плоскости образуют единую карту света</x:v>
      </x:c>
      <x:c r="E12" s="89" t="str"/>
      <x:c r="F12" s="89" t="str"/>
      <x:c r="G12" s="89" t="str">
        <x:v>Не снято</x:v>
      </x:c>
      <x:c r="H12" s="89" t="str"/>
      <x:c r="I12" s="89" t="str"/>
      <x:c r="J12" s="89" t="str">
        <x:v>S01/S07/S11</x:v>
      </x:c>
    </x:row>
    <x:row r="13">
      <x:c r="A13" s="89" t="str">
        <x:v>С уровня глаз модели</x:v>
      </x:c>
      <x:c r="B13" s="89" t="str">
        <x:v>После S10–S12</x:v>
      </x:c>
      <x:c r="C13" s="89" t="str">
        <x:v>Силуэт и взаимодействие с базой</x:v>
      </x:c>
      <x:c r="D13" s="89" t="str">
        <x:v>База поддерживает модель, не перекрывает лицо</x:v>
      </x:c>
      <x:c r="E13" s="89" t="str"/>
      <x:c r="F13" s="89" t="str"/>
      <x:c r="G13" s="89" t="str">
        <x:v>Не снято</x:v>
      </x:c>
      <x:c r="H13" s="89" t="str"/>
      <x:c r="I13" s="89" t="str"/>
      <x:c r="J13" s="89" t="str">
        <x:v>S10–S12</x:v>
      </x:c>
    </x:row>
    <x:row r="14">
      <x:c r="A14" s="89" t="str">
        <x:v>Макро лица</x:v>
      </x:c>
      <x:c r="B14" s="89" t="str">
        <x:v>После S04 и S11</x:v>
      </x:c>
      <x:c r="C14" s="89" t="str">
        <x:v>Кожа, глаза, веки и фокус</x:v>
      </x:c>
      <x:c r="D14" s="89" t="str">
        <x:v>Глаз ярче ореола; веки влажные только локально</x:v>
      </x:c>
      <x:c r="E14" s="89" t="str"/>
      <x:c r="F14" s="89" t="str"/>
      <x:c r="G14" s="89" t="str">
        <x:v>Не снято</x:v>
      </x:c>
      <x:c r="H14" s="89" t="str"/>
      <x:c r="I14" s="89" t="str"/>
      <x:c r="J14" s="89" t="str">
        <x:v>S04/S11</x:v>
      </x:c>
    </x:row>
    <x:row r="15">
      <x:c r="A15" s="89" t="str">
        <x:v>Макро пасти</x:v>
      </x:c>
      <x:c r="B15" s="89" t="str">
        <x:v>После S05</x:v>
      </x:c>
      <x:c r="C15" s="89" t="str">
        <x:v>Глубина, зубы и влажность</x:v>
      </x:c>
      <x:c r="D15" s="89" t="str">
        <x:v>Глубина почти чёрная; основания зубов темнее</x:v>
      </x:c>
      <x:c r="E15" s="89" t="str"/>
      <x:c r="F15" s="89" t="str"/>
      <x:c r="G15" s="89" t="str">
        <x:v>Не снято</x:v>
      </x:c>
      <x:c r="H15" s="89" t="str"/>
      <x:c r="I15" s="89" t="str"/>
      <x:c r="J15" s="89" t="str">
        <x:v>S05</x:v>
      </x:c>
    </x:row>
    <x:row r="16">
      <x:c r="A16" s="89" t="str">
        <x:v>Макро крыла</x:v>
      </x:c>
      <x:c r="B16" s="89" t="str">
        <x:v>После S07</x:v>
      </x:c>
      <x:c r="C16" s="89" t="str">
        <x:v>Толщина перепонки и внутренние жилки</x:v>
      </x:c>
      <x:c r="D16" s="89" t="str">
        <x:v>Центры сегментов светлее; жилки под glaze</x:v>
      </x:c>
      <x:c r="E16" s="89" t="str"/>
      <x:c r="F16" s="89" t="str"/>
      <x:c r="G16" s="89" t="str">
        <x:v>Не снято</x:v>
      </x:c>
      <x:c r="H16" s="89" t="str"/>
      <x:c r="I16" s="89" t="str"/>
      <x:c r="J16" s="89" t="str">
        <x:v>S07</x:v>
      </x:c>
    </x:row>
    <x:row r="17">
      <x:c r="A17" s="89" t="str">
        <x:v>Макро рога/когтя</x:v>
      </x:c>
      <x:c r="B17" s="89" t="str">
        <x:v>После S06</x:v>
      </x:c>
      <x:c r="C17" s="89" t="str">
        <x:v>Структура, сколы и финиш</x:v>
      </x:c>
      <x:c r="D17" s="89" t="str">
        <x:v>Рог матовый/полированный локально; коготь Satin</x:v>
      </x:c>
      <x:c r="E17" s="89" t="str"/>
      <x:c r="F17" s="89" t="str"/>
      <x:c r="G17" s="89" t="str">
        <x:v>Не снято</x:v>
      </x:c>
      <x:c r="H17" s="89" t="str"/>
      <x:c r="I17" s="89" t="str"/>
      <x:c r="J17" s="89" t="str">
        <x:v>S06</x:v>
      </x:c>
    </x:row>
    <x:row r="18">
      <x:c r="A18" s="89" t="str">
        <x:v>Макро оружия</x:v>
      </x:c>
      <x:c r="B18" s="89" t="str">
        <x:v>После S08–S09</x:v>
      </x:c>
      <x:c r="C18" s="89" t="str">
        <x:v>Металл, кровь и отражённый свет</x:v>
      </x:c>
      <x:c r="D18" s="89" t="str">
        <x:v>Каждый эффект находится в физически логичной зоне</x:v>
      </x:c>
      <x:c r="E18" s="89" t="str"/>
      <x:c r="F18" s="89" t="str"/>
      <x:c r="G18" s="89" t="str">
        <x:v>Не снято</x:v>
      </x:c>
      <x:c r="H18" s="89" t="str"/>
      <x:c r="I18" s="89" t="str"/>
      <x:c r="J18" s="89" t="str">
        <x:v>S08/S09</x:v>
      </x:c>
    </x:row>
    <x:row r="19">
      <x:c r="A19" s="89" t="str">
        <x:v>Макро подставки</x:v>
      </x:c>
      <x:c r="B19" s="89" t="str">
        <x:v>После S10</x:v>
      </x:c>
      <x:c r="C19" s="89" t="str">
        <x:v>Камень, кости, трещины и кровь</x:v>
      </x:c>
      <x:c r="D19" s="89" t="str">
        <x:v>База менее контрастна, чем лицо и оружие</x:v>
      </x:c>
      <x:c r="E19" s="89" t="str"/>
      <x:c r="F19" s="89" t="str"/>
      <x:c r="G19" s="89" t="str">
        <x:v>Не снято</x:v>
      </x:c>
      <x:c r="H19" s="89" t="str"/>
      <x:c r="I19" s="89" t="str"/>
      <x:c r="J19" s="89" t="str">
        <x:v>S10</x:v>
      </x:c>
    </x:row>
    <x:row r="20">
      <x:c r="A20" s="89" t="str">
        <x:v>Чёрно-белый фронт</x:v>
      </x:c>
      <x:c r="B20" s="89" t="str">
        <x:v>После S02 и S11</x:v>
      </x:c>
      <x:c r="C20" s="89" t="str">
        <x:v>Значения и фокус</x:v>
      </x:c>
      <x:c r="D20" s="89" t="str">
        <x:v>Лицо/оружие — самые контрастные зоны</x:v>
      </x:c>
      <x:c r="E20" s="89" t="str"/>
      <x:c r="F20" s="89" t="str"/>
      <x:c r="G20" s="89" t="str">
        <x:v>Не снято</x:v>
      </x:c>
      <x:c r="H20" s="89" t="str"/>
      <x:c r="I20" s="89" t="str"/>
      <x:c r="J20" s="89" t="str">
        <x:v>S02/S11</x:v>
      </x:c>
    </x:row>
    <x:row r="21">
      <x:c r="A21" s="89" t="str">
        <x:v>Тест лаков</x:v>
      </x:c>
      <x:c r="B21" s="89" t="str">
        <x:v>До S12</x:v>
      </x:c>
      <x:c r="C21" s="89" t="str">
        <x:v>Изменение цвета и блеска</x:v>
      </x:c>
      <x:c r="D21" s="89" t="str">
        <x:v>Все четыре лака проверены на цветах проекта</x:v>
      </x:c>
      <x:c r="E21" s="89" t="str"/>
      <x:c r="F21" s="89" t="str"/>
      <x:c r="G21" s="89" t="str">
        <x:v>Не снято</x:v>
      </x:c>
      <x:c r="H21" s="89" t="str"/>
      <x:c r="I21" s="89" t="str"/>
      <x:c r="J21" s="89" t="str">
        <x:v>S12</x:v>
      </x:c>
    </x:row>
  </x:sheetData>
  <x:mergeCells>
    <x:mergeCell ref="A1:J1"/>
    <x:mergeCell ref="A2:J2"/>
  </x:mergeCells>
  <x:conditionalFormatting sqref="G8:G21">
    <x:cfRule type="expression" dxfId="112" priority="1">
      <x:formula>G8="PASS"</x:formula>
    </x:cfRule>
    <x:cfRule type="expression" dxfId="113" priority="2">
      <x:formula>G8="RETAKE"</x:formula>
    </x:cfRule>
    <x:cfRule type="expression" dxfId="114" priority="3">
      <x:formula>G8="Не снято"</x:formula>
    </x:cfRule>
  </x:conditionalFormatting>
  <x:dataValidations count="1">
    <x:dataValidation type="list" sqref="G8:G21">
      <x:formula1>"PASS,RETAKE,Не снято"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2008d23c7042f1"/>
  </x:tableParts>
</x:worksheet>
</file>

<file path=xl/worksheets/sheet5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7" hidden="0" customWidth="1"/>
    <x:col min="3" max="3" width="31" hidden="0" customWidth="1"/>
    <x:col min="4" max="4" width="24" hidden="0" customWidth="1"/>
    <x:col min="5" max="5" width="12" hidden="0" customWidth="1"/>
    <x:col min="6" max="6" width="17" hidden="0" customWidth="1"/>
    <x:col min="7" max="7" width="37" hidden="0" customWidth="1"/>
    <x:col min="8" max="8" width="26" hidden="0" customWidth="1"/>
    <x:col min="9" max="9" width="17" hidden="0" customWidth="1"/>
    <x:col min="10" max="10" width="12" hidden="0" customWidth="1"/>
    <x:col min="11" max="11" width="50" hidden="0" customWidth="1"/>
  </x:cols>
  <x:sheetData>
    <x:row r="1" ht="38" customHeight="1">
      <x:c r="A1" s="634" t="str">
        <x:v>Карта зон демон-принца</x:v>
      </x:c>
      <x:c r="B1" s="634"/>
      <x:c r="C1" s="634"/>
      <x:c r="D1" s="634"/>
      <x:c r="E1" s="634"/>
      <x:c r="F1" s="634"/>
      <x:c r="G1" s="634"/>
      <x:c r="H1" s="634"/>
      <x:c r="I1" s="634"/>
      <x:c r="J1" s="634"/>
      <x:c r="K1" s="634"/>
    </x:row>
    <x:row r="2" ht="38" customHeight="1">
      <x:c r="A2" s="660" t="str">
        <x:v>Карта помогает не потерять материал, фокус и финиш на большой модели. Приоритет 1 — главный фокус, 2 — вторичный, 3 — поддерживающая зона.</x:v>
      </x:c>
      <x:c r="B2" s="660"/>
      <x:c r="C2" s="660"/>
      <x:c r="D2" s="660"/>
      <x:c r="E2" s="660"/>
      <x:c r="F2" s="660"/>
      <x:c r="G2" s="660"/>
      <x:c r="H2" s="660"/>
      <x:c r="I2" s="660"/>
      <x:c r="J2" s="660"/>
      <x:c r="K2" s="660"/>
    </x:row>
    <x:row r="4" ht="48" customHeight="1">
      <x:c r="A4" s="657" t="str">
        <x:v>Зона</x:v>
      </x:c>
      <x:c r="B4" s="657" t="str">
        <x:v>Материал</x:v>
      </x:c>
      <x:c r="C4" s="657" t="str">
        <x:v>Текущий этап</x:v>
      </x:c>
      <x:c r="D4" s="657" t="str">
        <x:v>Следующий Recipe ID</x:v>
      </x:c>
      <x:c r="E4" s="657" t="str">
        <x:v>Приоритет</x:v>
      </x:c>
      <x:c r="F4" s="657" t="str">
        <x:v>Фокус</x:v>
      </x:c>
      <x:c r="G4" s="657" t="str">
        <x:v>Фактура</x:v>
      </x:c>
      <x:c r="H4" s="657" t="str">
        <x:v>Финиш</x:v>
      </x:c>
      <x:c r="I4" s="657" t="str">
        <x:v>Статус</x:v>
      </x:c>
      <x:c r="J4" s="657" t="str">
        <x:v>Сессия</x:v>
      </x:c>
      <x:c r="K4" s="657" t="str">
        <x:v>Примечание</x:v>
      </x:c>
    </x:row>
    <x:row r="5">
      <x:c r="A5" s="89" t="str">
        <x:v>Торс</x:v>
      </x:c>
      <x:c r="B5" s="89" t="str">
        <x:v>Кожа</x:v>
      </x:c>
      <x:c r="C5" s="89" t="str">
        <x:v>Масляные тени готовы</x:v>
      </x:c>
      <x:c r="D5" s="89" t="str">
        <x:v>421–422</x:v>
      </x:c>
      <x:c r="E5" s="89" t="n">
        <x:v>2</x:v>
      </x:c>
      <x:c r="F5" s="89" t="str">
        <x:v>Вторичный</x:v>
      </x:c>
      <x:c r="G5" s="89" t="str">
        <x:v>Крупные гладкие массы + локальный stipple</x:v>
      </x:c>
      <x:c r="H5" s="89" t="str">
        <x:v>Matt</x:v>
      </x:c>
      <x:c r="I5" s="89" t="str">
        <x:v>Следующий шаг</x:v>
      </x:c>
      <x:c r="J5" s="89" t="str">
        <x:v>S01–S02</x:v>
      </x:c>
      <x:c r="K5" s="89" t="str">
        <x:v>Не начинать мелкие повреждения до возврата объёма</x:v>
      </x:c>
    </x:row>
    <x:row r="6">
      <x:c r="A6" s="89" t="str">
        <x:v>Брюхо</x:v>
      </x:c>
      <x:c r="B6" s="89" t="str">
        <x:v>Мягкая кожа</x:v>
      </x:c>
      <x:c r="C6" s="89" t="str">
        <x:v>Масляные тени готовы</x:v>
      </x:c>
      <x:c r="D6" s="89" t="n">
        <x:v>423</x:v>
      </x:c>
      <x:c r="E6" s="89" t="n">
        <x:v>3</x:v>
      </x:c>
      <x:c r="F6" s="89" t="str">
        <x:v>Поддержка</x:v>
      </x:c>
      <x:c r="G6" s="89" t="str">
        <x:v>Гладкая</x:v>
      </x:c>
      <x:c r="H6" s="89" t="str">
        <x:v>Matt</x:v>
      </x:c>
      <x:c r="I6" s="89" t="str">
        <x:v>Не начато</x:v>
      </x:c>
      <x:c r="J6" s="89" t="str">
        <x:v>S02</x:v>
      </x:c>
      <x:c r="K6" s="89" t="str">
        <x:v>Светлее локально, но темнее верхнего света</x:v>
      </x:c>
    </x:row>
    <x:row r="7">
      <x:c r="A7" s="89" t="str">
        <x:v>Спина и плечи</x:v>
      </x:c>
      <x:c r="B7" s="89" t="str">
        <x:v>Грубая кожа</x:v>
      </x:c>
      <x:c r="C7" s="89" t="str">
        <x:v>Масляные тени готовы</x:v>
      </x:c>
      <x:c r="D7" s="89" t="str">
        <x:v>393–395, 425</x:v>
      </x:c>
      <x:c r="E7" s="89" t="n">
        <x:v>2</x:v>
      </x:c>
      <x:c r="F7" s="89" t="str">
        <x:v>Вторичный</x:v>
      </x:c>
      <x:c r="G7" s="89" t="str">
        <x:v>Stippling/поры</x:v>
      </x:c>
      <x:c r="H7" s="89" t="str">
        <x:v>Matt</x:v>
      </x:c>
      <x:c r="I7" s="89" t="str">
        <x:v>Не начато</x:v>
      </x:c>
      <x:c r="J7" s="89" t="str">
        <x:v>S03</x:v>
      </x:c>
      <x:c r="K7" s="89" t="str">
        <x:v>Кластеры фактуры, не равномерная крапинка</x:v>
      </x:c>
    </x:row>
    <x:row r="8">
      <x:c r="A8" s="89" t="str">
        <x:v>Суставы</x:v>
      </x:c>
      <x:c r="B8" s="89" t="str">
        <x:v>Натянутая/грубая кожа</x:v>
      </x:c>
      <x:c r="C8" s="89" t="str">
        <x:v>Масляные тени готовы</x:v>
      </x:c>
      <x:c r="D8" s="89" t="str">
        <x:v>426–427</x:v>
      </x:c>
      <x:c r="E8" s="89" t="n">
        <x:v>3</x:v>
      </x:c>
      <x:c r="F8" s="89" t="str">
        <x:v>Поддержка</x:v>
      </x:c>
      <x:c r="G8" s="89" t="str">
        <x:v>Сухая + локальная влажность</x:v>
      </x:c>
      <x:c r="H8" s="89" t="str">
        <x:v>Matt/local Satin</x:v>
      </x:c>
      <x:c r="I8" s="89" t="str">
        <x:v>Не начато</x:v>
      </x:c>
      <x:c r="J8" s="89" t="str">
        <x:v>S03</x:v>
      </x:c>
      <x:c r="K8" s="89" t="str">
        <x:v>Красный только в местах напряжения</x:v>
      </x:c>
    </x:row>
    <x:row r="9">
      <x:c r="A9" s="89" t="str">
        <x:v>Лицо</x:v>
      </x:c>
      <x:c r="B9" s="89" t="str">
        <x:v>Кожа</x:v>
      </x:c>
      <x:c r="C9" s="89" t="str">
        <x:v>Масляные тени готовы</x:v>
      </x:c>
      <x:c r="D9" s="89" t="n">
        <x:v>396</x:v>
      </x:c>
      <x:c r="E9" s="89" t="n">
        <x:v>1</x:v>
      </x:c>
      <x:c r="F9" s="89" t="str">
        <x:v>Главный</x:v>
      </x:c>
      <x:c r="G9" s="89" t="str">
        <x:v>Более гладкая</x:v>
      </x:c>
      <x:c r="H9" s="89" t="str">
        <x:v>Matt</x:v>
      </x:c>
      <x:c r="I9" s="89" t="str">
        <x:v>Не начато</x:v>
      </x:c>
      <x:c r="J9" s="89" t="str">
        <x:v>S04</x:v>
      </x:c>
      <x:c r="K9" s="89" t="str">
        <x:v>На один уровень ярче туловища</x:v>
      </x:c>
    </x:row>
    <x:row r="10">
      <x:c r="A10" s="89" t="str">
        <x:v>Глаза</x:v>
      </x:c>
      <x:c r="B10" s="89" t="str">
        <x:v>Влажная органика/свечение</x:v>
      </x:c>
      <x:c r="C10" s="89" t="str">
        <x:v>Не начато</x:v>
      </x:c>
      <x:c r="D10" s="89" t="n">
        <x:v>397</x:v>
      </x:c>
      <x:c r="E10" s="89" t="n">
        <x:v>1</x:v>
      </x:c>
      <x:c r="F10" s="89" t="str">
        <x:v>Главный</x:v>
      </x:c>
      <x:c r="G10" s="89" t="str">
        <x:v>Гладкая</x:v>
      </x:c>
      <x:c r="H10" s="89" t="str">
        <x:v>Gloss</x:v>
      </x:c>
      <x:c r="I10" s="89" t="str">
        <x:v>Не начато</x:v>
      </x:c>
      <x:c r="J10" s="89" t="str">
        <x:v>S04</x:v>
      </x:c>
      <x:c r="K10" s="89" t="str">
        <x:v>Источник ярче ореола</x:v>
      </x:c>
    </x:row>
    <x:row r="11">
      <x:c r="A11" s="89" t="str">
        <x:v>Пасть</x:v>
      </x:c>
      <x:c r="B11" s="89" t="str">
        <x:v>Влажная органика</x:v>
      </x:c>
      <x:c r="C11" s="89" t="str">
        <x:v>Не начато</x:v>
      </x:c>
      <x:c r="D11" s="89" t="str">
        <x:v>398–399</x:v>
      </x:c>
      <x:c r="E11" s="89" t="n">
        <x:v>2</x:v>
      </x:c>
      <x:c r="F11" s="89" t="str">
        <x:v>Вторичный</x:v>
      </x:c>
      <x:c r="G11" s="89" t="str">
        <x:v>Гладкая влажная</x:v>
      </x:c>
      <x:c r="H11" s="89" t="str">
        <x:v>Matt depth/Gloss tissue</x:v>
      </x:c>
      <x:c r="I11" s="89" t="str">
        <x:v>Не начато</x:v>
      </x:c>
      <x:c r="J11" s="89" t="str">
        <x:v>S05</x:v>
      </x:c>
      <x:c r="K11" s="89" t="str">
        <x:v>Глубина почти чёрная</x:v>
      </x:c>
    </x:row>
    <x:row r="12">
      <x:c r="A12" s="89" t="str">
        <x:v>Зубы</x:v>
      </x:c>
      <x:c r="B12" s="89" t="str">
        <x:v>Кость</x:v>
      </x:c>
      <x:c r="C12" s="89" t="str">
        <x:v>Не начато</x:v>
      </x:c>
      <x:c r="D12" s="89" t="n">
        <x:v>400</x:v>
      </x:c>
      <x:c r="E12" s="89" t="n">
        <x:v>2</x:v>
      </x:c>
      <x:c r="F12" s="89" t="str">
        <x:v>Вторичный</x:v>
      </x:c>
      <x:c r="G12" s="89" t="str">
        <x:v>Твёрдая гладкая</x:v>
      </x:c>
      <x:c r="H12" s="89" t="str">
        <x:v>Matt</x:v>
      </x:c>
      <x:c r="I12" s="89" t="str">
        <x:v>Не начато</x:v>
      </x:c>
      <x:c r="J12" s="89" t="str">
        <x:v>S05</x:v>
      </x:c>
      <x:c r="K12" s="89" t="str">
        <x:v>Корни темнее кончиков</x:v>
      </x:c>
    </x:row>
    <x:row r="13">
      <x:c r="A13" s="89" t="str">
        <x:v>Рога</x:v>
      </x:c>
      <x:c r="B13" s="89" t="str">
        <x:v>Рог</x:v>
      </x:c>
      <x:c r="C13" s="89" t="str">
        <x:v>Не начато</x:v>
      </x:c>
      <x:c r="D13" s="89" t="str">
        <x:v>401–402, 434–435</x:v>
      </x:c>
      <x:c r="E13" s="89" t="n">
        <x:v>2</x:v>
      </x:c>
      <x:c r="F13" s="89" t="str">
        <x:v>Вторичный</x:v>
      </x:c>
      <x:c r="G13" s="89" t="str">
        <x:v>Продольные борозды</x:v>
      </x:c>
      <x:c r="H13" s="89" t="str">
        <x:v>Matt/local Satin</x:v>
      </x:c>
      <x:c r="I13" s="89" t="str">
        <x:v>Не начато</x:v>
      </x:c>
      <x:c r="J13" s="89" t="str">
        <x:v>S06</x:v>
      </x:c>
      <x:c r="K13" s="89" t="str">
        <x:v>Полировка только на стороне трения</x:v>
      </x:c>
    </x:row>
    <x:row r="14">
      <x:c r="A14" s="89" t="str">
        <x:v>Когти</x:v>
      </x:c>
      <x:c r="B14" s="89" t="str">
        <x:v>Коготь</x:v>
      </x:c>
      <x:c r="C14" s="89" t="str">
        <x:v>Не начато</x:v>
      </x:c>
      <x:c r="D14" s="89" t="str">
        <x:v>403, 436–437</x:v>
      </x:c>
      <x:c r="E14" s="89" t="n">
        <x:v>3</x:v>
      </x:c>
      <x:c r="F14" s="89" t="str">
        <x:v>Поддержка</x:v>
      </x:c>
      <x:c r="G14" s="89" t="str">
        <x:v>Гладкая с царапинами</x:v>
      </x:c>
      <x:c r="H14" s="89" t="str">
        <x:v>Satin/local Gloss</x:v>
      </x:c>
      <x:c r="I14" s="89" t="str">
        <x:v>Не начато</x:v>
      </x:c>
      <x:c r="J14" s="89" t="str">
        <x:v>S06</x:v>
      </x:c>
      <x:c r="K14" s="89" t="str">
        <x:v>Грязь снизу, чистый блик сверху</x:v>
      </x:c>
    </x:row>
    <x:row r="15">
      <x:c r="A15" s="89" t="str">
        <x:v>Верх крыльев</x:v>
      </x:c>
      <x:c r="B15" s="89" t="str">
        <x:v>Перепонка</x:v>
      </x:c>
      <x:c r="C15" s="89" t="str">
        <x:v>Не начато</x:v>
      </x:c>
      <x:c r="D15" s="89" t="str">
        <x:v>404–406, 429</x:v>
      </x:c>
      <x:c r="E15" s="89" t="n">
        <x:v>2</x:v>
      </x:c>
      <x:c r="F15" s="89" t="str">
        <x:v>Вторичный</x:v>
      </x:c>
      <x:c r="G15" s="89" t="str">
        <x:v>Гладкая полупрозрачная</x:v>
      </x:c>
      <x:c r="H15" s="89" t="str">
        <x:v>Satin</x:v>
      </x:c>
      <x:c r="I15" s="89" t="str">
        <x:v>Не начато</x:v>
      </x:c>
      <x:c r="J15" s="89" t="str">
        <x:v>S07</x:v>
      </x:c>
      <x:c r="K15" s="89" t="str">
        <x:v>Свет совпадает с торсом</x:v>
      </x:c>
    </x:row>
    <x:row r="16">
      <x:c r="A16" s="89" t="str">
        <x:v>Низ крыльев</x:v>
      </x:c>
      <x:c r="B16" s="89" t="str">
        <x:v>Перепонка</x:v>
      </x:c>
      <x:c r="C16" s="89" t="str">
        <x:v>Не начато</x:v>
      </x:c>
      <x:c r="D16" s="89" t="n">
        <x:v>430</x:v>
      </x:c>
      <x:c r="E16" s="89" t="n">
        <x:v>3</x:v>
      </x:c>
      <x:c r="F16" s="89" t="str">
        <x:v>Поддержка</x:v>
      </x:c>
      <x:c r="G16" s="89" t="str">
        <x:v>Гладкая</x:v>
      </x:c>
      <x:c r="H16" s="89" t="str">
        <x:v>Satin</x:v>
      </x:c>
      <x:c r="I16" s="89" t="str">
        <x:v>Не начато</x:v>
      </x:c>
      <x:c r="J16" s="89" t="str">
        <x:v>S07</x:v>
      </x:c>
      <x:c r="K16" s="89" t="str">
        <x:v>Холоднее и темнее верха</x:v>
      </x:c>
    </x:row>
    <x:row r="17">
      <x:c r="A17" s="89" t="str">
        <x:v>Края/повреждения крыльев</x:v>
      </x:c>
      <x:c r="B17" s="89" t="str">
        <x:v>Перепонка/рубец</x:v>
      </x:c>
      <x:c r="C17" s="89" t="str">
        <x:v>Не начато</x:v>
      </x:c>
      <x:c r="D17" s="89" t="str">
        <x:v>431–433</x:v>
      </x:c>
      <x:c r="E17" s="89" t="n">
        <x:v>3</x:v>
      </x:c>
      <x:c r="F17" s="89" t="str">
        <x:v>Поддержка</x:v>
      </x:c>
      <x:c r="G17" s="89" t="str">
        <x:v>Истончённая/рубцовая</x:v>
      </x:c>
      <x:c r="H17" s="89" t="str">
        <x:v>Satin/Matt</x:v>
      </x:c>
      <x:c r="I17" s="89" t="str">
        <x:v>Не начато</x:v>
      </x:c>
      <x:c r="J17" s="89" t="str">
        <x:v>S07</x:v>
      </x:c>
      <x:c r="K17" s="89" t="str">
        <x:v>Только 1–2 заметные зоны</x:v>
      </x:c>
    </x:row>
    <x:row r="18">
      <x:c r="A18" s="89" t="str">
        <x:v>Хитин/пластины</x:v>
      </x:c>
      <x:c r="B18" s="89" t="str">
        <x:v>Хитин</x:v>
      </x:c>
      <x:c r="C18" s="89" t="str">
        <x:v>Не начато</x:v>
      </x:c>
      <x:c r="D18" s="89" t="str">
        <x:v>408, 413</x:v>
      </x:c>
      <x:c r="E18" s="89" t="n">
        <x:v>2</x:v>
      </x:c>
      <x:c r="F18" s="89" t="str">
        <x:v>Вторичный</x:v>
      </x:c>
      <x:c r="G18" s="89" t="str">
        <x:v>Гладкие резкие отражения</x:v>
      </x:c>
      <x:c r="H18" s="89" t="str">
        <x:v>Satin/Gloss</x:v>
      </x:c>
      <x:c r="I18" s="89" t="str">
        <x:v>Не начато</x:v>
      </x:c>
      <x:c r="J18" s="89" t="str">
        <x:v>S08</x:v>
      </x:c>
      <x:c r="K18" s="89" t="str">
        <x:v>Резко отличается от stippled skin</x:v>
      </x:c>
    </x:row>
    <x:row r="19">
      <x:c r="A19" s="89" t="str">
        <x:v>Броня/украшения</x:v>
      </x:c>
      <x:c r="B19" s="89" t="str">
        <x:v>Металл</x:v>
      </x:c>
      <x:c r="C19" s="89" t="str">
        <x:v>Не начато</x:v>
      </x:c>
      <x:c r="D19" s="89" t="str">
        <x:v>407, 415–416, 440</x:v>
      </x:c>
      <x:c r="E19" s="89" t="n">
        <x:v>2</x:v>
      </x:c>
      <x:c r="F19" s="89" t="str">
        <x:v>Вторичный</x:v>
      </x:c>
      <x:c r="G19" s="89" t="str">
        <x:v>Гладкий отражающий</x:v>
      </x:c>
      <x:c r="H19" s="89" t="str">
        <x:v>Metal/Gloss gem</x:v>
      </x:c>
      <x:c r="I19" s="89" t="str">
        <x:v>Не начато</x:v>
      </x:c>
      <x:c r="J19" s="89" t="str">
        <x:v>S08</x:v>
      </x:c>
      <x:c r="K19" s="89" t="str">
        <x:v>Воспаление относится к коже, не к металлу</x:v>
      </x:c>
    </x:row>
    <x:row r="20">
      <x:c r="A20" s="89" t="str">
        <x:v>Цепи/ремни</x:v>
      </x:c>
      <x:c r="B20" s="89" t="str">
        <x:v>Металл/кожа</x:v>
      </x:c>
      <x:c r="C20" s="89" t="str">
        <x:v>Не начато</x:v>
      </x:c>
      <x:c r="D20" s="89" t="str">
        <x:v>441–442</x:v>
      </x:c>
      <x:c r="E20" s="89" t="n">
        <x:v>3</x:v>
      </x:c>
      <x:c r="F20" s="89" t="str">
        <x:v>Поддержка</x:v>
      </x:c>
      <x:c r="G20" s="89" t="str">
        <x:v>Царапины/давление</x:v>
      </x:c>
      <x:c r="H20" s="89" t="str">
        <x:v>Matt/Metal</x:v>
      </x:c>
      <x:c r="I20" s="89" t="str">
        <x:v>Не начато</x:v>
      </x:c>
      <x:c r="J20" s="89" t="str">
        <x:v>S08</x:v>
      </x:c>
      <x:c r="K20" s="89" t="str">
        <x:v>Реакция кожи только под весом цепи</x:v>
      </x:c>
    </x:row>
    <x:row r="21">
      <x:c r="A21" s="89" t="str">
        <x:v>Шрамы/магия</x:v>
      </x:c>
      <x:c r="B21" s="89" t="str">
        <x:v>Повреждённая кожа</x:v>
      </x:c>
      <x:c r="C21" s="89" t="str">
        <x:v>Не начато</x:v>
      </x:c>
      <x:c r="D21" s="89" t="str">
        <x:v>409–412, 424, 428</x:v>
      </x:c>
      <x:c r="E21" s="89" t="n">
        <x:v>2</x:v>
      </x:c>
      <x:c r="F21" s="89" t="str">
        <x:v>Вторичный</x:v>
      </x:c>
      <x:c r="G21" s="89" t="str">
        <x:v>Локальная</x:v>
      </x:c>
      <x:c r="H21" s="89" t="str">
        <x:v>Matt/local Satin/Gloss</x:v>
      </x:c>
      <x:c r="I21" s="89" t="str">
        <x:v>Не начато</x:v>
      </x:c>
      <x:c r="J21" s="89" t="str">
        <x:v>S09</x:v>
      </x:c>
      <x:c r="K21" s="89" t="str">
        <x:v>Выбрать максимум два типа эффекта</x:v>
      </x:c>
    </x:row>
    <x:row r="22">
      <x:c r="A22" s="89" t="str">
        <x:v>Оружие</x:v>
      </x:c>
      <x:c r="B22" s="89" t="str">
        <x:v>Металл/магия</x:v>
      </x:c>
      <x:c r="C22" s="89" t="str">
        <x:v>Не начато</x:v>
      </x:c>
      <x:c r="D22" s="89" t="str">
        <x:v>438–439</x:v>
      </x:c>
      <x:c r="E22" s="89" t="n">
        <x:v>1</x:v>
      </x:c>
      <x:c r="F22" s="89" t="str">
        <x:v>Главный</x:v>
      </x:c>
      <x:c r="G22" s="89" t="str">
        <x:v>Отражающий</x:v>
      </x:c>
      <x:c r="H22" s="89" t="str">
        <x:v>Metal/Gloss source</x:v>
      </x:c>
      <x:c r="I22" s="89" t="str">
        <x:v>Не начато</x:v>
      </x:c>
      <x:c r="J22" s="89" t="str">
        <x:v>S09</x:v>
      </x:c>
      <x:c r="K22" s="89" t="str">
        <x:v>Отражение на руке слабее источника</x:v>
      </x:c>
    </x:row>
    <x:row r="23">
      <x:c r="A23" s="89" t="str">
        <x:v>Подставка</x:v>
      </x:c>
      <x:c r="B23" s="89" t="str">
        <x:v>Камень/кость/магия</x:v>
      </x:c>
      <x:c r="C23" s="89" t="str">
        <x:v>Не начато</x:v>
      </x:c>
      <x:c r="D23" s="89" t="str">
        <x:v>443–446</x:v>
      </x:c>
      <x:c r="E23" s="89" t="n">
        <x:v>3</x:v>
      </x:c>
      <x:c r="F23" s="89" t="str">
        <x:v>Поддержка</x:v>
      </x:c>
      <x:c r="G23" s="89" t="str">
        <x:v>Крупные формы</x:v>
      </x:c>
      <x:c r="H23" s="89" t="str">
        <x:v>Matt/local Gloss</x:v>
      </x:c>
      <x:c r="I23" s="89" t="str">
        <x:v>Не начато</x:v>
      </x:c>
      <x:c r="J23" s="89" t="str">
        <x:v>S10</x:v>
      </x:c>
      <x:c r="K23" s="89" t="str">
        <x:v>Не конкурировать с лицом</x:v>
      </x:c>
    </x:row>
    <x:row r="24">
      <x:c r="A24" s="89" t="str">
        <x:v>Низ модели</x:v>
      </x:c>
      <x:c r="B24" s="89" t="str">
        <x:v>Пыль/грязь/bounce</x:v>
      </x:c>
      <x:c r="C24" s="89" t="str">
        <x:v>Не начато</x:v>
      </x:c>
      <x:c r="D24" s="89" t="str">
        <x:v>417–418, 447</x:v>
      </x:c>
      <x:c r="E24" s="89" t="n">
        <x:v>3</x:v>
      </x:c>
      <x:c r="F24" s="89" t="str">
        <x:v>Поддержка</x:v>
      </x:c>
      <x:c r="G24" s="89" t="str">
        <x:v>Мягкий фильтр</x:v>
      </x:c>
      <x:c r="H24" s="89" t="str">
        <x:v>Matt/local Satin</x:v>
      </x:c>
      <x:c r="I24" s="89" t="str">
        <x:v>Не начато</x:v>
      </x:c>
      <x:c r="J24" s="89" t="str">
        <x:v>S10</x:v>
      </x:c>
      <x:c r="K24" s="89" t="str">
        <x:v>Быстрое затухание выше голеней</x:v>
      </x:c>
    </x:row>
  </x:sheetData>
  <x:mergeCells>
    <x:mergeCell ref="A1:K1"/>
    <x:mergeCell ref="A2:K2"/>
  </x:mergeCells>
  <x:conditionalFormatting sqref="E5:E24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I5:I24">
    <x:cfRule type="expression" dxfId="115" priority="2">
      <x:formula>I5="Готово"</x:formula>
    </x:cfRule>
    <x:cfRule type="expression" dxfId="116" priority="3">
      <x:formula>I5="Следующий шаг"</x:formula>
    </x:cfRule>
    <x:cfRule type="expression" dxfId="117" priority="4">
      <x:formula>I5="В работе"</x:formula>
    </x:cfRule>
  </x:conditionalFormatting>
  <x:dataValidations count="1">
    <x:dataValidation type="list" sqref="I5:I24">
      <x:formula1>"Готово,Следующий шаг,В работе,Не начато,Отложено"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29d3263b0a4277"/>
  </x:tableParts>
</x:worksheet>
</file>

<file path=xl/worksheets/sheet5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7" hidden="0" customWidth="1"/>
    <x:col min="3" max="3" width="28" hidden="0" customWidth="1"/>
    <x:col min="4" max="4" width="62" hidden="0" customWidth="1"/>
    <x:col min="5" max="5" width="82" hidden="0" customWidth="1"/>
    <x:col min="6" max="6" width="88" hidden="0" customWidth="1"/>
  </x:cols>
  <x:sheetData>
    <x:row r="1" ht="38" customHeight="1">
      <x:c r="A1" s="634" t="str">
        <x:v>Пятнадцатый проход: сессионное управление текущим демон-принцем</x:v>
      </x:c>
      <x:c r="B1" s="634"/>
      <x:c r="C1" s="634"/>
      <x:c r="D1" s="634"/>
      <x:c r="E1" s="634"/>
      <x:c r="F1" s="634"/>
    </x:row>
    <x:row r="3">
      <x:c r="A3" s="639" t="str">
        <x:v>Показатель</x:v>
      </x:c>
      <x:c r="B3" s="639" t="str">
        <x:v>Результат</x:v>
      </x:c>
    </x:row>
    <x:row r="4">
      <x:c r="A4" s="642" t="str">
        <x:v>Рецептов до прохода</x:v>
      </x:c>
      <x:c r="B4" s="664" t="n">
        <x:v>420</x:v>
      </x:c>
    </x:row>
    <x:row r="5">
      <x:c r="A5" s="642" t="str">
        <x:v>Новых рецептов</x:v>
      </x:c>
      <x:c r="B5" s="664" t="n">
        <x:v>30</x:v>
      </x:c>
    </x:row>
    <x:row r="6">
      <x:c r="A6" s="642" t="str">
        <x:v>Рецептов после прохода</x:v>
      </x:c>
      <x:c r="B6" s="664" t="n">
        <x:v>450</x:v>
      </x:c>
    </x:row>
    <x:row r="7">
      <x:c r="A7" s="642" t="str">
        <x:v>Ближайших практических рецептов</x:v>
      </x:c>
      <x:c r="B7" s="664" t="str">
        <x:v>421–423</x:v>
      </x:c>
    </x:row>
    <x:row r="8">
      <x:c r="A8" s="642" t="str">
        <x:v>Плановых сессий</x:v>
      </x:c>
      <x:c r="B8" s="664" t="n">
        <x:v>12</x:v>
      </x:c>
    </x:row>
    <x:row r="9">
      <x:c r="A9" s="642" t="str">
        <x:v>Контрольных ракурсов</x:v>
      </x:c>
      <x:c r="B9" s="664" t="n">
        <x:v>14</x:v>
      </x:c>
    </x:row>
    <x:row r="10">
      <x:c r="A10" s="642" t="str">
        <x:v>Картированных зон модели</x:v>
      </x:c>
      <x:c r="B10" s="664" t="n">
        <x:v>20</x:v>
      </x:c>
    </x:row>
    <x:row r="11">
      <x:c r="A11" s="642" t="str">
        <x:v>Исправлен статусный столбец проекта</x:v>
      </x:c>
      <x:c r="B11" s="664" t="str">
        <x:v>G</x:v>
      </x:c>
    </x:row>
    <x:row r="12">
      <x:c r="A12" s="642" t="str">
        <x:v>Автоматический прогресс проекта</x:v>
      </x:c>
      <x:c r="B12" s="664" t="str">
        <x:v>Готово / 20 этапов</x:v>
      </x:c>
    </x:row>
    <x:row r="13">
      <x:c r="A13" s="642" t="str">
        <x:v>Навигатор обновлён</x:v>
      </x:c>
      <x:c r="B13" s="664" t="str">
        <x:v>Recipe ID 1–450</x:v>
      </x:c>
    </x:row>
    <x:row r="14">
      <x:c r="A14" s="642" t="str">
        <x:v>Главное ограничение S01</x:v>
      </x:c>
      <x:c r="B14" s="664" t="str">
        <x:v>Только широкие плоскости и возврат среднего тона</x:v>
      </x:c>
    </x:row>
    <x:row r="15">
      <x:c r="A15" s="642" t="str">
        <x:v>Ключевой принцип</x:v>
      </x:c>
      <x:c r="B15" s="642" t="str">
        <x:v>Одна сессия — одна измеримая задача, критерий остановки, фотография и запись результата</x:v>
      </x:c>
    </x:row>
    <x:row r="18">
      <x:c r="A18" s="657" t="str">
        <x:v>ID</x:v>
      </x:c>
      <x:c r="B18" s="657" t="str">
        <x:v>Область</x:v>
      </x:c>
      <x:c r="C18" s="657" t="str">
        <x:v>Статус</x:v>
      </x:c>
      <x:c r="D18" s="657" t="str">
        <x:v>Что обнаружено</x:v>
      </x:c>
      <x:c r="E18" s="657" t="str">
        <x:v>Действие</x:v>
      </x:c>
      <x:c r="F18" s="657" t="str">
        <x:v>Основание</x:v>
      </x:c>
    </x:row>
    <x:row r="19">
      <x:c r="A19" s="89" t="str">
        <x:v>AUD15-01</x:v>
      </x:c>
      <x:c r="B19" s="89" t="str">
        <x:v>Статусы проекта</x:v>
      </x:c>
      <x:c r="C19" s="89" t="str">
        <x:v>Исправлено</x:v>
      </x:c>
      <x:c r="D19" s="89" t="str">
        <x:v>В v21 статус находился в G, но формулы и проверка данных ошибочно использовали H.</x:v>
      </x:c>
      <x:c r="E19" s="89" t="str">
        <x:v>Проектный лист перестроен; счётчики, выпадающий список и условное форматирование теперь работают по G15:G34.</x:v>
      </x:c>
      <x:c r="F19" s="89" t="str">
        <x:v>Проверка формул и фактических значений KPI.</x:v>
      </x:c>
    </x:row>
    <x:row r="20">
      <x:c r="A20" s="89" t="str">
        <x:v>AUD15-02</x:v>
      </x:c>
      <x:c r="B20" s="89" t="str">
        <x:v>Ближайшая сессия</x:v>
      </x:c>
      <x:c r="C20" s="89" t="str">
        <x:v>Зафиксировано</x:v>
      </x:c>
      <x:c r="D20" s="89" t="str">
        <x:v>Проектный список был подробным, но следующий практический объём оставался слишком широким.</x:v>
      </x:c>
      <x:c r="E20" s="89" t="str">
        <x:v>S01 ограничена рецептом 421: только широкие плоскости торса, плеч и верхних мышц.</x:v>
      </x:c>
      <x:c r="F20" s="89" t="str">
        <x:v>Критерий остановки — кожа вернула цвет, масляные тени сохранены.</x:v>
      </x:c>
    </x:row>
    <x:row r="21">
      <x:c r="A21" s="89" t="str">
        <x:v>AUD15-03</x:v>
      </x:c>
      <x:c r="B21" s="89" t="str">
        <x:v>Крупная анатомия</x:v>
      </x:c>
      <x:c r="C21" s="89" t="str">
        <x:v>Добавлено</x:v>
      </x:c>
      <x:c r="D21" s="89" t="str">
        <x:v>Восстановление среднего тона не разделяло широкие плоскости, мышцы и мягкое брюхо.</x:v>
      </x:c>
      <x:c r="E21" s="89" t="str">
        <x:v>Добавлены отдельные рецепты 421–423 и последовательные сессии S01–S02.</x:v>
      </x:c>
      <x:c r="F21" s="89" t="str">
        <x:v>Масштаб формы сохраняется крупными световыми массами.</x:v>
      </x:c>
    </x:row>
    <x:row r="22">
      <x:c r="A22" s="89" t="str">
        <x:v>AUD15-04</x:v>
      </x:c>
      <x:c r="B22" s="89" t="str">
        <x:v>Крылья</x:v>
      </x:c>
      <x:c r="C22" s="89" t="str">
        <x:v>Расширено</x:v>
      </x:c>
      <x:c r="D22" s="89" t="str">
        <x:v>Проектный лист объединял все работы по крыльям в один этап.</x:v>
      </x:c>
      <x:c r="E22" s="89" t="str">
        <x:v>Добавлены верхняя/нижняя светотень, истончённый край, разрыв и прокол.</x:v>
      </x:c>
      <x:c r="F22" s="89" t="str">
        <x:v>Повреждения ограничены 1–2 заметными зонами.</x:v>
      </x:c>
    </x:row>
    <x:row r="23">
      <x:c r="A23" s="89" t="str">
        <x:v>AUD15-05</x:v>
      </x:c>
      <x:c r="B23" s="89" t="str">
        <x:v>Рога и когти</x:v>
      </x:c>
      <x:c r="C23" s="89" t="str">
        <x:v>Расширено</x:v>
      </x:c>
      <x:c r="D23" s="89" t="str">
        <x:v>Структура существовала, но не было отдельной полировки, скола и контактного загрязнения.</x:v>
      </x:c>
      <x:c r="E23" s="89" t="str">
        <x:v>Добавлены рецепты 434–437 и самостоятельная сессия S06.</x:v>
      </x:c>
      <x:c r="F23" s="89" t="str">
        <x:v>Износ привязан к трению и направлению контакта.</x:v>
      </x:c>
    </x:row>
    <x:row r="24">
      <x:c r="A24" s="89" t="str">
        <x:v>AUD15-06</x:v>
      </x:c>
      <x:c r="B24" s="89" t="str">
        <x:v>Подставка</x:v>
      </x:c>
      <x:c r="C24" s="89" t="str">
        <x:v>Систематизировано</x:v>
      </x:c>
      <x:c r="D24" s="89" t="str">
        <x:v>Камень, кости, трещины, кровь, пыль и bounce существовали отдельными рецептами.</x:v>
      </x:c>
      <x:c r="E24" s="89" t="str">
        <x:v>Собрана одна сессия S10 с порядком от крупных значений к интеграции модели.</x:v>
      </x:c>
      <x:c r="F24" s="89" t="str">
        <x:v>База остаётся третьим уровнем внимания.</x:v>
      </x:c>
    </x:row>
    <x:row r="25">
      <x:c r="A25" s="89" t="str">
        <x:v>AUD15-07</x:v>
      </x:c>
      <x:c r="B25" s="89" t="str">
        <x:v>Фото-контроль</x:v>
      </x:c>
      <x:c r="C25" s="89" t="str">
        <x:v>Добавлено</x:v>
      </x:c>
      <x:c r="D25" s="89" t="str">
        <x:v>Фотографии использовались как общий совет, но не как обязательный набор ракурсов.</x:v>
      </x:c>
      <x:c r="E25" s="89" t="str">
        <x:v>Создано 14 контрольных кадров со сроком, критерием PASS и полем исправления.</x:v>
      </x:c>
      <x:c r="F25" s="89" t="str">
        <x:v>Одинаковый свет позволяет сравнивать направление и прогресс.</x:v>
      </x:c>
    </x:row>
    <x:row r="26">
      <x:c r="A26" s="89" t="str">
        <x:v>AUD15-08</x:v>
      </x:c>
      <x:c r="B26" s="89" t="str">
        <x:v>Карта зон</x:v>
      </x:c>
      <x:c r="C26" s="89" t="str">
        <x:v>Добавлено</x:v>
      </x:c>
      <x:c r="D26" s="89" t="str">
        <x:v>На большой модели легко потерять различие материала и финиша.</x:v>
      </x:c>
      <x:c r="E26" s="89" t="str">
        <x:v>20 зон получили материал, Recipe ID, фокус, фактуру, финиш, статус и сессию.</x:v>
      </x:c>
      <x:c r="F26" s="89" t="str">
        <x:v>Карта связывает рецепты 391–450 с физическими частями модели.</x:v>
      </x:c>
    </x:row>
    <x:row r="27">
      <x:c r="A27" s="89" t="str">
        <x:v>AUD15-09</x:v>
      </x:c>
      <x:c r="B27" s="89" t="str">
        <x:v>Навигатор</x:v>
      </x:c>
      <x:c r="C27" s="89" t="str">
        <x:v>Обновлено</x:v>
      </x:c>
      <x:c r="D27" s="89" t="str">
        <x:v>Навигатор v21 заканчивался на Recipe ID 420.</x:v>
      </x:c>
      <x:c r="E27" s="89" t="str">
        <x:v>Формулы и проверка ID обновлены до 450; сводка семейств пересобрана.</x:v>
      </x:c>
      <x:c r="F27" s="89" t="str">
        <x:v>Динамический поиск проверен на рецепте 421.</x:v>
      </x:c>
    </x:row>
    <x:row r="31">
      <x:c r="A31" s="649" t="str">
        <x:v>Лист</x:v>
      </x:c>
      <x:c r="B31" s="649" t="str">
        <x:v>Назначение</x:v>
      </x:c>
      <x:c r="C31" s="649" t="str">
        <x:v>Практический результат</x:v>
      </x:c>
    </x:row>
    <x:row r="32">
      <x:c r="A32" s="642" t="str">
        <x:v>Демон-принц — проект</x:v>
      </x:c>
      <x:c r="B32" s="642" t="str">
        <x:v>Главный статусный трекер</x:v>
      </x:c>
      <x:c r="C32" s="642" t="str">
        <x:v>Корректный прогресс и активный этап</x:v>
      </x:c>
    </x:row>
    <x:row r="33">
      <x:c r="A33" s="642" t="str">
        <x:v>Сессии демон-принца</x:v>
      </x:c>
      <x:c r="B33" s="642" t="str">
        <x:v>12 ограниченных покрасочных блоков</x:v>
      </x:c>
      <x:c r="C33" s="642" t="str">
        <x:v>S01 — рецепт 421</x:v>
      </x:c>
    </x:row>
    <x:row r="34">
      <x:c r="A34" s="642" t="str">
        <x:v>Фото-контроль</x:v>
      </x:c>
      <x:c r="B34" s="642" t="str">
        <x:v>14 обязательных ракурсов</x:v>
      </x:c>
      <x:c r="C34" s="642" t="str">
        <x:v>PASS / RETAKE / Не снято</x:v>
      </x:c>
    </x:row>
    <x:row r="35">
      <x:c r="A35" s="642" t="str">
        <x:v>Карта зон демон-принца</x:v>
      </x:c>
      <x:c r="B35" s="642" t="str">
        <x:v>Материал и финиш каждой части</x:v>
      </x:c>
      <x:c r="C35" s="642" t="str">
        <x:v>20 зон</x:v>
      </x:c>
    </x:row>
    <x:row r="36">
      <x:c r="A36" s="642" t="str">
        <x:v>Навигатор базы</x:v>
      </x:c>
      <x:c r="B36" s="642" t="str">
        <x:v>Поиск рецептов</x:v>
      </x:c>
      <x:c r="C36" s="642" t="str">
        <x:v>ID 1–450</x:v>
      </x:c>
    </x:row>
    <x:row r="37">
      <x:c r="A37" s="642" t="str">
        <x:v>Матрица слоёв</x:v>
      </x:c>
      <x:c r="B37" s="642" t="str">
        <x:v>Новые техники</x:v>
      </x:c>
      <x:c r="C37" s="642" t="str">
        <x:v>421–450</x:v>
      </x:c>
    </x:row>
  </x:sheetData>
  <x:mergeCells>
    <x:mergeCell ref="A1:F1"/>
  </x:mergeCells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6" hidden="0" customWidth="1"/>
    <x:col min="3" max="3" width="35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14" hidden="0" customWidth="1"/>
    <x:col min="9" max="9" width="16" hidden="0" customWidth="1"/>
    <x:col min="10" max="10" width="13" hidden="0" customWidth="1"/>
    <x:col min="11" max="11" width="12" hidden="0" customWidth="1"/>
    <x:col min="12" max="12" width="47" hidden="0" customWidth="1"/>
    <x:col min="13" max="13" width="12" hidden="0" customWidth="1"/>
    <x:col min="14" max="14" width="12" hidden="0" customWidth="1"/>
  </x:cols>
  <x:sheetData>
    <x:row r="1" ht="38" customHeight="1">
      <x:c r="A1" s="674" t="str">
        <x:v>S01 — восстановление крупных плоскостей после масляной проливки</x:v>
      </x:c>
      <x:c r="B1" s="674"/>
      <x:c r="C1" s="674"/>
      <x:c r="D1" s="674"/>
      <x:c r="E1" s="674"/>
      <x:c r="F1" s="674"/>
      <x:c r="G1" s="674"/>
      <x:c r="H1" s="674"/>
      <x:c r="I1" s="674"/>
      <x:c r="J1" s="674"/>
      <x:c r="K1" s="674"/>
      <x:c r="L1" s="674"/>
      <x:c r="M1" s="674"/>
      <x:c r="N1" s="674"/>
    </x:row>
    <x:row r="2" ht="42" customHeight="1">
      <x:c r="A2" s="677" t="str">
        <x:v>Цель сессии: вернуть основной цвет торсу, плечам, верхним рукам и спине. Не добавлять вены, поры, шрамы, кровь, повреждения крыльев и финальные белые максимумы.</x:v>
      </x:c>
      <x:c r="B2" s="677"/>
      <x:c r="C2" s="677"/>
      <x:c r="D2" s="677"/>
      <x:c r="E2" s="677"/>
      <x:c r="F2" s="677"/>
      <x:c r="G2" s="677"/>
      <x:c r="H2" s="677"/>
      <x:c r="I2" s="677"/>
      <x:c r="J2" s="677"/>
      <x:c r="K2" s="677"/>
      <x:c r="L2" s="677"/>
      <x:c r="M2" s="677"/>
      <x:c r="N2" s="677"/>
    </x:row>
    <x:row r="4">
      <x:c r="A4" s="681" t="str">
        <x:v>Зон</x:v>
      </x:c>
      <x:c r="B4" s="683" t="n">
        <x:f>COUNTA(A13:A18)</x:f>
        <x:v>6</x:v>
      </x:c>
      <x:c r="C4" s="681" t="str">
        <x:v>PASS</x:v>
      </x:c>
      <x:c r="D4" s="683" t="n">
        <x:f>COUNTIF(J13:J18,"PASS")</x:f>
        <x:v>0</x:v>
      </x:c>
      <x:c r="E4" s="681" t="str">
        <x:v>BLOCK</x:v>
      </x:c>
      <x:c r="F4" s="683" t="n">
        <x:f>COUNTIF(J13:J18,"BLOCK")</x:f>
        <x:v>0</x:v>
      </x:c>
      <x:c r="G4" s="681" t="str">
        <x:v>PENDING</x:v>
      </x:c>
      <x:c r="H4" s="684" t="n">
        <x:f>COUNTIF(J13:J18,"PENDING")+COUNTIF(J13:J18,"RETEST")</x:f>
        <x:v>6</x:v>
      </x:c>
      <x:c r="I4" s="685" t="str">
        <x:v>Средняя зоны</x:v>
      </x:c>
      <x:c r="J4" s="716" t="str">
        <x:f>IF(COUNT(H13:H18)=0,"",SUM(H13:H18)/COUNT(H13:H18))</x:f>
      </x:c>
      <x:c r="K4" s="681" t="str">
        <x:v>Итог S01</x:v>
      </x:c>
      <x:c r="L4" s="683" t="str">
        <x:f>IF(COUNTIF(J13:J18,"BLOCK")&gt;0,"CONTINUE",IF(AND(COUNTIF(J13:J18,"PASS")=COUNTA(A13:A18),COUNTA(A13:A18)&gt;0),"CLOSE S01","CONTINUE"))</x:f>
        <x:v>CONTINUE</x:v>
      </x:c>
    </x:row>
    <x:row r="6">
      <x:c r="A6" s="687" t="str">
        <x:v>Настройка</x:v>
      </x:c>
      <x:c r="B6" s="687" t="str">
        <x:v>Фактическое значение</x:v>
      </x:c>
      <x:c r="D6" s="693" t="str">
        <x:v>Запреты S01</x:v>
      </x:c>
      <x:c r="E6" s="693"/>
      <x:c r="F6" s="693"/>
      <x:c r="G6" s="693"/>
      <x:c r="H6" s="693"/>
    </x:row>
    <x:row r="7">
      <x:c r="A7" s="690" t="str">
        <x:v>Метод</x:v>
      </x:c>
      <x:c r="B7" s="690" t="str">
        <x:v>Гибрид: аэрограф + кисть</x:v>
      </x:c>
      <x:c r="D7" s="697" t="str">
        <x:v>Не добавлять вены и пятнистую пигментацию</x:v>
      </x:c>
      <x:c r="E7" s="697"/>
      <x:c r="F7" s="697"/>
      <x:c r="G7" s="697"/>
      <x:c r="H7" s="697"/>
    </x:row>
    <x:row r="8">
      <x:c r="A8" s="690" t="str">
        <x:v>Направление ключевого света</x:v>
      </x:c>
      <x:c r="B8" s="690" t="str">
        <x:v>Не выбрано</x:v>
      </x:c>
      <x:c r="D8" s="697" t="str">
        <x:v>Не красить пасть, глаза, рога и крылья</x:v>
      </x:c>
      <x:c r="E8" s="697"/>
      <x:c r="F8" s="697"/>
      <x:c r="G8" s="697"/>
      <x:c r="H8" s="697"/>
    </x:row>
    <x:row r="9">
      <x:c r="A9" s="690" t="str">
        <x:v>Рабочее сопло</x:v>
      </x:c>
      <x:c r="B9" s="690" t="str">
        <x:v>0.3</x:v>
      </x:c>
      <x:c r="D9" s="697" t="str">
        <x:v>Не использовать широкие Pallid/White highlights</x:v>
      </x:c>
      <x:c r="E9" s="697"/>
      <x:c r="F9" s="697"/>
      <x:c r="G9" s="697"/>
      <x:c r="H9" s="697"/>
    </x:row>
    <x:row r="10">
      <x:c r="A10" s="690" t="str">
        <x:v>Рабочее PSI</x:v>
      </x:c>
      <x:c r="B10" s="690" t="n">
        <x:v>16</x:v>
      </x:c>
      <x:c r="D10" s="697" t="str">
        <x:v>Не наносить финальный лак</x:v>
      </x:c>
      <x:c r="E10" s="697"/>
      <x:c r="F10" s="697"/>
      <x:c r="G10" s="697"/>
      <x:c r="H10" s="697"/>
    </x:row>
    <x:row r="11">
      <x:c r="A11" s="690" t="str">
        <x:v>Основной набор рецептов</x:v>
      </x:c>
      <x:c r="B11" s="690" t="str">
        <x:v>451, 454–460, 470–480</x:v>
      </x:c>
      <x:c r="D11" s="697" t="str">
        <x:v>Не закрывать сессию без фронтального фото</x:v>
      </x:c>
      <x:c r="E11" s="697"/>
      <x:c r="F11" s="697"/>
      <x:c r="G11" s="697"/>
      <x:c r="H11" s="697"/>
    </x:row>
    <x:row r="12" ht="48" customHeight="1">
      <x:c r="A12" s="700" t="str">
        <x:v>Зона</x:v>
      </x:c>
      <x:c r="B12" s="700" t="str">
        <x:v>Recipe ID</x:v>
      </x:c>
      <x:c r="C12" s="700" t="str">
        <x:v>Цель покрытия</x:v>
      </x:c>
      <x:c r="D12" s="700" t="str">
        <x:v>Проходы</x:v>
      </x:c>
      <x:c r="E12" s="700" t="str">
        <x:v>Тень 1–5</x:v>
      </x:c>
      <x:c r="F12" s="700" t="str">
        <x:v>Цвет 1–5</x:v>
      </x:c>
      <x:c r="G12" s="700" t="str">
        <x:v>Гладкость 1–5</x:v>
      </x:c>
      <x:c r="H12" s="700" t="str">
        <x:v>Средняя</x:v>
      </x:c>
      <x:c r="I12" s="700" t="str">
        <x:v>Статус зоны</x:v>
      </x:c>
      <x:c r="J12" s="700" t="str">
        <x:v>Gate</x:v>
      </x:c>
      <x:c r="K12" s="700" t="str">
        <x:v>Фото</x:v>
      </x:c>
      <x:c r="L12" s="700" t="str">
        <x:v>Ошибка/коррекция</x:v>
      </x:c>
      <x:c r="M12" s="700" t="str">
        <x:v>Начало</x:v>
      </x:c>
      <x:c r="N12" s="700" t="str">
        <x:v>Конец</x:v>
      </x:c>
    </x:row>
    <x:row r="13">
      <x:c r="A13" s="89" t="str">
        <x:v>Тестовый участок</x:v>
      </x:c>
      <x:c r="B13" s="89" t="n">
        <x:v>451</x:v>
      </x:c>
      <x:c r="C13" s="89" t="str">
        <x:v>10–15 мм; проверить смесь</x:v>
      </x:c>
      <x:c r="D13" s="89"/>
      <x:c r="E13" s="89"/>
      <x:c r="F13" s="89"/>
      <x:c r="G13" s="89"/>
      <x:c r="H13" s="702" t="str">
        <x:f>IF(COUNT(E13:G13)=0,"",SUM(E13:G13)/COUNT(E13:G13))</x:f>
      </x:c>
      <x:c r="I13" s="89" t="str">
        <x:v>Не начато</x:v>
      </x:c>
      <x:c r="J13" s="89" t="str">
        <x:f>IF(COUNT(E13:G13)=0,"PENDING",IF(OR(E13&lt;4,F13&lt;4,G13&lt;3),"BLOCK",IF(AND(I13="Готово",K13="Да"),"PASS","RETEST")))</x:f>
        <x:v>PENDING</x:v>
      </x:c>
      <x:c r="K13" s="89" t="str">
        <x:v>Нет</x:v>
      </x:c>
      <x:c r="L13" s="89" t="str"/>
      <x:c r="M13" s="701"/>
      <x:c r="N13" s="701"/>
    </x:row>
    <x:row r="14">
      <x:c r="A14" s="89" t="str">
        <x:v>Грудные плоскости</x:v>
      </x:c>
      <x:c r="B14" s="89" t="n">
        <x:v>456</x:v>
      </x:c>
      <x:c r="C14" s="89" t="str">
        <x:v>50–65% открытой плоскости</x:v>
      </x:c>
      <x:c r="D14" s="89"/>
      <x:c r="E14" s="89"/>
      <x:c r="F14" s="89"/>
      <x:c r="G14" s="89"/>
      <x:c r="H14" s="702" t="str">
        <x:f>IF(COUNT(E14:G14)=0,"",SUM(E14:G14)/COUNT(E14:G14))</x:f>
      </x:c>
      <x:c r="I14" s="89" t="str">
        <x:v>Не начато</x:v>
      </x:c>
      <x:c r="J14" s="89" t="str">
        <x:f>IF(COUNT(E14:G14)=0,"PENDING",IF(OR(E14&lt;4,F14&lt;4,G14&lt;3),"BLOCK",IF(AND(I14="Готово",K14="Да"),"PASS","RETEST")))</x:f>
        <x:v>PENDING</x:v>
      </x:c>
      <x:c r="K14" s="89" t="str">
        <x:v>Нет</x:v>
      </x:c>
      <x:c r="L14" s="89" t="str"/>
      <x:c r="M14" s="701"/>
      <x:c r="N14" s="701"/>
    </x:row>
    <x:row r="15">
      <x:c r="A15" s="89" t="str">
        <x:v>Плечи</x:v>
      </x:c>
      <x:c r="B15" s="89" t="n">
        <x:v>457</x:v>
      </x:c>
      <x:c r="C15" s="89" t="str">
        <x:v>Световая половина сферы</x:v>
      </x:c>
      <x:c r="D15" s="89"/>
      <x:c r="E15" s="89"/>
      <x:c r="F15" s="89"/>
      <x:c r="G15" s="89"/>
      <x:c r="H15" s="702" t="str">
        <x:f>IF(COUNT(E15:G15)=0,"",SUM(E15:G15)/COUNT(E15:G15))</x:f>
      </x:c>
      <x:c r="I15" s="89" t="str">
        <x:v>Не начато</x:v>
      </x:c>
      <x:c r="J15" s="89" t="str">
        <x:f>IF(COUNT(E15:G15)=0,"PENDING",IF(OR(E15&lt;4,F15&lt;4,G15&lt;3),"BLOCK",IF(AND(I15="Готово",K15="Да"),"PASS","RETEST")))</x:f>
        <x:v>PENDING</x:v>
      </x:c>
      <x:c r="K15" s="89" t="str">
        <x:v>Нет</x:v>
      </x:c>
      <x:c r="L15" s="89" t="str"/>
      <x:c r="M15" s="701"/>
      <x:c r="N15" s="701"/>
    </x:row>
    <x:row r="16">
      <x:c r="A16" s="89" t="str">
        <x:v>Верхние руки</x:v>
      </x:c>
      <x:c r="B16" s="89" t="n">
        <x:v>458</x:v>
      </x:c>
      <x:c r="C16" s="89" t="str">
        <x:v>Продольная световая зона</x:v>
      </x:c>
      <x:c r="D16" s="89"/>
      <x:c r="E16" s="89"/>
      <x:c r="F16" s="89"/>
      <x:c r="G16" s="89"/>
      <x:c r="H16" s="702" t="str">
        <x:f>IF(COUNT(E16:G16)=0,"",SUM(E16:G16)/COUNT(E16:G16))</x:f>
      </x:c>
      <x:c r="I16" s="89" t="str">
        <x:v>Не начато</x:v>
      </x:c>
      <x:c r="J16" s="89" t="str">
        <x:f>IF(COUNT(E16:G16)=0,"PENDING",IF(OR(E16&lt;4,F16&lt;4,G16&lt;3),"BLOCK",IF(AND(I16="Готово",K16="Да"),"PASS","RETEST")))</x:f>
        <x:v>PENDING</x:v>
      </x:c>
      <x:c r="K16" s="89" t="str">
        <x:v>Нет</x:v>
      </x:c>
      <x:c r="L16" s="89" t="str"/>
      <x:c r="M16" s="701"/>
      <x:c r="N16" s="701"/>
    </x:row>
    <x:row r="17">
      <x:c r="A17" s="89" t="str">
        <x:v>Верхняя спина</x:v>
      </x:c>
      <x:c r="B17" s="89" t="n">
        <x:v>459</x:v>
      </x:c>
      <x:c r="C17" s="89" t="str">
        <x:v>Лопатки и верхний гребень</x:v>
      </x:c>
      <x:c r="D17" s="89"/>
      <x:c r="E17" s="89"/>
      <x:c r="F17" s="89"/>
      <x:c r="G17" s="89"/>
      <x:c r="H17" s="702" t="str">
        <x:f>IF(COUNT(E17:G17)=0,"",SUM(E17:G17)/COUNT(E17:G17))</x:f>
      </x:c>
      <x:c r="I17" s="89" t="str">
        <x:v>Не начато</x:v>
      </x:c>
      <x:c r="J17" s="89" t="str">
        <x:f>IF(COUNT(E17:G17)=0,"PENDING",IF(OR(E17&lt;4,F17&lt;4,G17&lt;3),"BLOCK",IF(AND(I17="Готово",K17="Да"),"PASS","RETEST")))</x:f>
        <x:v>PENDING</x:v>
      </x:c>
      <x:c r="K17" s="89" t="str">
        <x:v>Нет</x:v>
      </x:c>
      <x:c r="L17" s="89" t="str"/>
      <x:c r="M17" s="701"/>
      <x:c r="N17" s="701"/>
    </x:row>
    <x:row r="18">
      <x:c r="A18" s="89" t="str">
        <x:v>Объединение зон</x:v>
      </x:c>
      <x:c r="B18" s="89" t="n">
        <x:v>460</x:v>
      </x:c>
      <x:c r="C18" s="89" t="str">
        <x:v>Только видимые границы работ</x:v>
      </x:c>
      <x:c r="D18" s="89"/>
      <x:c r="E18" s="89"/>
      <x:c r="F18" s="89"/>
      <x:c r="G18" s="89"/>
      <x:c r="H18" s="702" t="str">
        <x:f>IF(COUNT(E18:G18)=0,"",SUM(E18:G18)/COUNT(E18:G18))</x:f>
      </x:c>
      <x:c r="I18" s="89" t="str">
        <x:v>Не начато</x:v>
      </x:c>
      <x:c r="J18" s="89" t="str">
        <x:f>IF(COUNT(E18:G18)=0,"PENDING",IF(OR(E18&lt;4,F18&lt;4,G18&lt;3),"BLOCK",IF(AND(I18="Готово",K18="Да"),"PASS","RETEST")))</x:f>
        <x:v>PENDING</x:v>
      </x:c>
      <x:c r="K18" s="89" t="str">
        <x:v>Нет</x:v>
      </x:c>
      <x:c r="L18" s="89" t="str"/>
      <x:c r="M18" s="701"/>
      <x:c r="N18" s="701"/>
    </x:row>
    <x:row r="21">
      <x:c r="A21" s="704" t="str">
        <x:v>Закрытие S01</x:v>
      </x:c>
      <x:c r="B21" s="704"/>
      <x:c r="C21" s="704"/>
      <x:c r="D21" s="704"/>
      <x:c r="E21" s="704"/>
      <x:c r="F21" s="704"/>
      <x:c r="G21" s="704"/>
      <x:c r="H21" s="704"/>
      <x:c r="J21" t="str">
        <x:v>Зона</x:v>
      </x:c>
      <x:c r="K21" t="str">
        <x:v>Средняя оценка</x:v>
      </x:c>
      <x:c r="L21" t="str">
        <x:v>Цель</x:v>
      </x:c>
    </x:row>
    <x:row r="22">
      <x:c r="A22" s="680" t="str">
        <x:v>Проверка</x:v>
      </x:c>
      <x:c r="B22" s="680" t="str">
        <x:v>Статус</x:v>
      </x:c>
      <x:c r="C22" s="680" t="str">
        <x:v>Основание</x:v>
      </x:c>
      <x:c r="D22" s="680" t="str">
        <x:v>Примечание</x:v>
      </x:c>
      <x:c r="J22" t="str">
        <x:v>Тест</x:v>
      </x:c>
      <x:c r="K22" t="str">
        <x:f>H13</x:f>
      </x:c>
      <x:c r="L22" t="n">
        <x:v>4</x:v>
      </x:c>
    </x:row>
    <x:row r="23">
      <x:c r="A23" s="88" t="str">
        <x:v>Масляные тени сохранены</x:v>
      </x:c>
      <x:c r="B23" s="88" t="str">
        <x:v>Не проверено</x:v>
      </x:c>
      <x:c r="C23" s="88" t="str">
        <x:v>Минимум 4/5 по всем зонам</x:v>
      </x:c>
      <x:c r="D23" s="88" t="str"/>
      <x:c r="J23" t="str">
        <x:v>Грудь</x:v>
      </x:c>
      <x:c r="K23" t="str">
        <x:f>H14</x:f>
      </x:c>
      <x:c r="L23" t="n">
        <x:v>4</x:v>
      </x:c>
    </x:row>
    <x:row r="24">
      <x:c r="A24" s="88" t="str">
        <x:v>Основной цвет восстановлен</x:v>
      </x:c>
      <x:c r="B24" s="88" t="str">
        <x:v>Не проверено</x:v>
      </x:c>
      <x:c r="C24" s="88" t="str">
        <x:v>Минимум 4/5 по всем зонам</x:v>
      </x:c>
      <x:c r="D24" s="88" t="str"/>
      <x:c r="J24" t="str">
        <x:v>Плечи</x:v>
      </x:c>
      <x:c r="K24" t="str">
        <x:f>H15</x:f>
      </x:c>
      <x:c r="L24" t="n">
        <x:v>4</x:v>
      </x:c>
    </x:row>
    <x:row r="25">
      <x:c r="A25" s="88" t="str">
        <x:v>Переходы рабочие</x:v>
      </x:c>
      <x:c r="B25" s="88" t="str">
        <x:v>Не проверено</x:v>
      </x:c>
      <x:c r="C25" s="88" t="str">
        <x:v>Гладкость минимум 3/5</x:v>
      </x:c>
      <x:c r="D25" s="88" t="str"/>
      <x:c r="J25" t="str">
        <x:v>Руки</x:v>
      </x:c>
      <x:c r="K25" t="str">
        <x:f>H16</x:f>
      </x:c>
      <x:c r="L25" t="n">
        <x:v>4</x:v>
      </x:c>
    </x:row>
    <x:row r="26">
      <x:c r="A26" s="88" t="str">
        <x:v>Сняты фронт, профиль и верх</x:v>
      </x:c>
      <x:c r="B26" s="88" t="str">
        <x:v>Не проверено</x:v>
      </x:c>
      <x:c r="C26" s="88" t="str">
        <x:v>Фото для сравнения</x:v>
      </x:c>
      <x:c r="D26" s="88" t="str"/>
      <x:c r="J26" t="str">
        <x:v>Спина</x:v>
      </x:c>
      <x:c r="K26" t="str">
        <x:f>H17</x:f>
      </x:c>
      <x:c r="L26" t="n">
        <x:v>4</x:v>
      </x:c>
    </x:row>
    <x:row r="27">
      <x:c r="A27" s="88" t="str">
        <x:v>Записана фактическая смесь</x:v>
      </x:c>
      <x:c r="B27" s="88" t="str">
        <x:v>Не проверено</x:v>
      </x:c>
      <x:c r="C27" s="88" t="str">
        <x:v>Лист «Палитра S01»</x:v>
      </x:c>
      <x:c r="D27" s="88" t="str"/>
      <x:c r="J27" t="str">
        <x:v>Объединение</x:v>
      </x:c>
      <x:c r="K27" t="n">
        <x:f>H18</x:f>
        <x:v>0</x:v>
      </x:c>
      <x:c r="L27" t="n">
        <x:v>4</x:v>
      </x:c>
    </x:row>
    <x:row r="28">
      <x:c r="A28" s="88" t="str">
        <x:v>Обновлён проект и журнал</x:v>
      </x:c>
      <x:c r="B28" s="88" t="str">
        <x:v>Не проверено</x:v>
      </x:c>
      <x:c r="C28" s="88" t="str">
        <x:v>Рецепт 480</x:v>
      </x:c>
      <x:c r="D28" s="88" t="str"/>
    </x:row>
  </x:sheetData>
  <x:mergeCells>
    <x:mergeCell ref="A1:N1"/>
    <x:mergeCell ref="A2:N2"/>
    <x:mergeCell ref="D6:H6"/>
    <x:mergeCell ref="A21:H21"/>
  </x:mergeCells>
  <x:conditionalFormatting sqref="L4:L4">
    <x:cfRule type="expression" dxfId="125" priority="1">
      <x:formula>L4="CLOSE S01"</x:formula>
    </x:cfRule>
    <x:cfRule type="expression" dxfId="126" priority="2">
      <x:formula>L4="CONTINUE"</x:formula>
    </x:cfRule>
  </x:conditionalFormatting>
  <x:conditionalFormatting sqref="H13:H18">
    <x:cfRule type="colorScale" priority="6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B23:B28">
    <x:cfRule type="expression" dxfId="130" priority="7">
      <x:formula>B23="PASS"</x:formula>
    </x:cfRule>
    <x:cfRule type="expression" dxfId="131" priority="8">
      <x:formula>B23="RETEST"</x:formula>
    </x:cfRule>
  </x:conditionalFormatting>
  <x:conditionalFormatting sqref="J13:J18">
    <x:cfRule type="expression" dxfId="139" priority="9">
      <x:formula>J13="PASS"</x:formula>
    </x:cfRule>
    <x:cfRule type="expression" dxfId="140" priority="10">
      <x:formula>J13="RETEST"</x:formula>
    </x:cfRule>
    <x:cfRule type="expression" dxfId="141" priority="11">
      <x:formula>J13="BLOCK"</x:formula>
    </x:cfRule>
    <x:cfRule type="expression" dxfId="142" priority="12">
      <x:formula>J13="PENDING"</x:formula>
    </x:cfRule>
  </x:conditionalFormatting>
  <x:dataValidations count="11">
    <x:dataValidation type="list" sqref="B7">
      <x:formula1>"Кисть,Аэрограф,Гибрид: аэрограф + кисть"</x:formula1>
    </x:dataValidation>
    <x:dataValidation type="list" sqref="B8">
      <x:formula1>"Не выбрано,Слева сверху,Справа сверху,Фронт сверху,Сзади сверху"</x:formula1>
    </x:dataValidation>
    <x:dataValidation type="list" sqref="B9">
      <x:formula1>"0.2,0.3,0.4,Кисть"</x:formula1>
    </x:dataValidation>
    <x:dataValidation type="list" sqref="B10">
      <x:formula1>"10,12,14,16,18,20,22,—"</x:formula1>
    </x:dataValidation>
    <x:dataValidation type="list" sqref="D13:D18">
      <x:formula1>"1,2,3,4,5,6+"</x:formula1>
    </x:dataValidation>
    <x:dataValidation type="list" sqref="E13:E18">
      <x:formula1>"1,2,3,4,5"</x:formula1>
    </x:dataValidation>
    <x:dataValidation type="list" sqref="F13:F18">
      <x:formula1>"1,2,3,4,5"</x:formula1>
    </x:dataValidation>
    <x:dataValidation type="list" sqref="G13:G18">
      <x:formula1>"1,2,3,4,5"</x:formula1>
    </x:dataValidation>
    <x:dataValidation type="list" sqref="I13:I18">
      <x:formula1>"Не начато,В работе,Готово,Коррекция"</x:formula1>
    </x:dataValidation>
    <x:dataValidation type="list" sqref="K13:K18">
      <x:formula1>"Нет,Да"</x:formula1>
    </x:dataValidation>
    <x:dataValidation type="list" sqref="B23:B28">
      <x:formula1>"Не проверено,PASS,RETEST"</x:formula1>
    </x:dataValidation>
  </x:dataValidations>
  <x:pageMargins left="0.7" right="0.7" top="0.75" bottom="0.75" header="0.3" footer="0.3"/>
  <x:drawing xmlns:r="http://schemas.openxmlformats.org/officeDocument/2006/relationships" r:id="R58a4507db98e4f1d"/>
  <x:tableParts count="2">
    <x:tablePart xmlns:r="http://schemas.openxmlformats.org/officeDocument/2006/relationships" r:id="Rff66c893a13e4afb"/>
    <x:tablePart xmlns:r="http://schemas.openxmlformats.org/officeDocument/2006/relationships" r:id="R4a802f5bbb1b4dfb"/>
  </x:tableParts>
</x:worksheet>
</file>

<file path=xl/worksheets/sheet6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8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6" hidden="0" customWidth="1"/>
    <x:col min="10" max="10" width="16" hidden="0" customWidth="1"/>
    <x:col min="11" max="11" width="32" hidden="0" customWidth="1"/>
    <x:col min="12" max="12" width="16" hidden="0" customWidth="1"/>
  </x:cols>
  <x:sheetData>
    <x:row r="1" ht="38" customHeight="1">
      <x:c r="A1" s="674" t="str">
        <x:v>Палитра S01: фактические краски, замесы и параметры</x:v>
      </x:c>
      <x:c r="B1" s="674"/>
      <x:c r="C1" s="674"/>
      <x:c r="D1" s="674"/>
      <x:c r="E1" s="674"/>
      <x:c r="F1" s="674"/>
      <x:c r="G1" s="674"/>
      <x:c r="H1" s="674"/>
      <x:c r="I1" s="674"/>
      <x:c r="J1" s="674"/>
      <x:c r="K1" s="674"/>
      <x:c r="L1" s="674"/>
    </x:row>
    <x:row r="2" ht="40" customHeight="1">
      <x:c r="A2" s="707" t="str">
        <x:v>Жёлтые ячейки заполняются фактическими материалами текущего демон-принца. Выбор краски производится из инвентаризации; бренд и линейка подтягиваются автоматически.</x:v>
      </x:c>
      <x:c r="B2" s="707"/>
      <x:c r="C2" s="707"/>
      <x:c r="D2" s="707"/>
      <x:c r="E2" s="707"/>
      <x:c r="F2" s="707"/>
      <x:c r="G2" s="707"/>
      <x:c r="H2" s="707"/>
      <x:c r="I2" s="707"/>
      <x:c r="J2" s="707"/>
      <x:c r="K2" s="707"/>
      <x:c r="L2" s="707"/>
    </x:row>
    <x:row r="4" ht="44" customHeight="1">
      <x:c r="A4" s="700" t="str">
        <x:v>Роль</x:v>
      </x:c>
      <x:c r="B4" s="700" t="str">
        <x:v>Выбранная краска</x:v>
      </x:c>
      <x:c r="C4" s="700" t="str">
        <x:v>Бренд</x:v>
      </x:c>
      <x:c r="D4" s="700" t="str">
        <x:v>Линейка</x:v>
      </x:c>
      <x:c r="E4" s="700" t="str">
        <x:v>Назначение</x:v>
      </x:c>
      <x:c r="F4" s="700" t="str">
        <x:v>Критерий выбора</x:v>
      </x:c>
    </x:row>
    <x:row r="5">
      <x:c r="A5" s="89" t="str">
        <x:v>Основной средний тон</x:v>
      </x:c>
      <x:c r="B5" s="667" t="str"/>
      <x:c r="C5" s="89" t="str">
        <x:f>IFERROR(INDEX('Инвентаризация'!$B$2:$B$260,MATCH(B5,'Инвентаризация'!$D$2:$D$260,0)),"")</x:f>
      </x:c>
      <x:c r="D5" s="89" t="str">
        <x:f>IFERROR(INDEX('Инвентаризация'!$E$2:$E$260,MATCH(B5,'Инвентаризация'!$D$2:$D$260,0)),"")</x:f>
      </x:c>
      <x:c r="E5" s="89" t="str">
        <x:v>Возврат цвета на 50–65% открытых плоскостей</x:v>
      </x:c>
      <x:c r="F5" s="89" t="str">
        <x:v>После высыхания совпадает с исходной кожей до масла</x:v>
      </x:c>
    </x:row>
    <x:row r="6">
      <x:c r="A6" s="89" t="str">
        <x:v>Светлый средний тон</x:v>
      </x:c>
      <x:c r="B6" s="667" t="str"/>
      <x:c r="C6" s="89" t="str">
        <x:f>IFERROR(INDEX('Инвентаризация'!$B$2:$B$260,MATCH(B6,'Инвентаризация'!$D$2:$D$260,0)),"")</x:f>
      </x:c>
      <x:c r="D6" s="89" t="str">
        <x:f>IFERROR(INDEX('Инвентаризация'!$E$2:$E$260,MATCH(B6,'Инвентаризация'!$D$2:$D$260,0)),"")</x:f>
      </x:c>
      <x:c r="E6" s="89" t="str">
        <x:v>Верхняя часть груди, плеч и рук</x:v>
      </x:c>
      <x:c r="F6" s="89" t="str">
        <x:v>На один уровень светлее Base без мелового эффекта</x:v>
      </x:c>
    </x:row>
    <x:row r="7">
      <x:c r="A7" s="89" t="str">
        <x:v>Фокусный свет</x:v>
      </x:c>
      <x:c r="B7" s="667" t="str">
        <x:v>Pale Flesh</x:v>
      </x:c>
      <x:c r="C7" s="89" t="str">
        <x:f>IFERROR(INDEX('Инвентаризация'!$B$2:$B$260,MATCH(B7,'Инвентаризация'!$D$2:$D$260,0)),"")</x:f>
        <x:v>Vallejo</x:v>
      </x:c>
      <x:c r="D7" s="89" t="str">
        <x:f>IFERROR(INDEX('Инвентаризация'!$E$2:$E$260,MATCH(B7,'Инвентаризация'!$D$2:$D$260,0)),"")</x:f>
        <x:v>Game Air</x:v>
      </x:c>
      <x:c r="E7" s="89" t="str">
        <x:v>Минимальный свет S01</x:v>
      </x:c>
      <x:c r="F7" s="89" t="str">
        <x:v>Используется на 3–5% площади</x:v>
      </x:c>
    </x:row>
    <x:row r="8">
      <x:c r="A8" s="89" t="str">
        <x:v>Поздний максимальный свет</x:v>
      </x:c>
      <x:c r="B8" s="667" t="str">
        <x:v>Pallid Wych Flesh</x:v>
      </x:c>
      <x:c r="C8" s="89" t="str">
        <x:f>IFERROR(INDEX('Инвентаризация'!$B$2:$B$260,MATCH(B8,'Инвентаризация'!$D$2:$D$260,0)),"")</x:f>
        <x:v>Citadel</x:v>
      </x:c>
      <x:c r="D8" s="89" t="str">
        <x:f>IFERROR(INDEX('Инвентаризация'!$E$2:$E$260,MATCH(B8,'Инвентаризация'!$D$2:$D$260,0)),"")</x:f>
        <x:v>Layer</x:v>
      </x:c>
      <x:c r="E8" s="89" t="str">
        <x:v>Не применять широко в S01</x:v>
      </x:c>
      <x:c r="F8" s="89" t="str">
        <x:v>Резерв для лица и поздних этапов</x:v>
      </x:c>
    </x:row>
    <x:row r="9">
      <x:c r="A9" s="89" t="str">
        <x:v>Тёплый модификатор</x:v>
      </x:c>
      <x:c r="B9" s="667" t="str">
        <x:v>Cadian Fleshtone</x:v>
      </x:c>
      <x:c r="C9" s="89" t="str">
        <x:f>IFERROR(INDEX('Инвентаризация'!$B$2:$B$260,MATCH(B9,'Инвентаризация'!$D$2:$D$260,0)),"")</x:f>
        <x:v>Citadel</x:v>
      </x:c>
      <x:c r="D9" s="89" t="str">
        <x:f>IFERROR(INDEX('Инвентаризация'!$E$2:$E$260,MATCH(B9,'Инвентаризация'!$D$2:$D$260,0)),"")</x:f>
        <x:v>Layer</x:v>
      </x:c>
      <x:c r="E9" s="89" t="str">
        <x:v>Незаметный тёплый вариант midtone</x:v>
      </x:c>
      <x:c r="F9" s="89" t="str">
        <x:v>Добавляется в малой доле</x:v>
      </x:c>
    </x:row>
    <x:row r="10">
      <x:c r="A10" s="89" t="str">
        <x:v>Холодный модификатор</x:v>
      </x:c>
      <x:c r="B10" s="667" t="str">
        <x:v>Deepkin Flesh</x:v>
      </x:c>
      <x:c r="C10" s="89" t="str">
        <x:f>IFERROR(INDEX('Инвентаризация'!$B$2:$B$260,MATCH(B10,'Инвентаризация'!$D$2:$D$260,0)),"")</x:f>
        <x:v>Citadel</x:v>
      </x:c>
      <x:c r="D10" s="89" t="str">
        <x:f>IFERROR(INDEX('Инвентаризация'!$E$2:$E$260,MATCH(B10,'Инвентаризация'!$D$2:$D$260,0)),"")</x:f>
        <x:v>Layer</x:v>
      </x:c>
      <x:c r="E10" s="89" t="str">
        <x:v>Теневая сторона и спина</x:v>
      </x:c>
      <x:c r="F10" s="89" t="str">
        <x:v>Не превращает кожу в серую</x:v>
      </x:c>
    </x:row>
    <x:row r="11">
      <x:c r="A11" s="89" t="str">
        <x:v>Средство для glaze</x:v>
      </x:c>
      <x:c r="B11" s="667" t="str">
        <x:v>Lahmian Medium</x:v>
      </x:c>
      <x:c r="C11" s="89" t="str">
        <x:f>IFERROR(INDEX('Инвентаризация'!$B$2:$B$260,MATCH(B11,'Инвентаризация'!$D$2:$D$260,0)),"")</x:f>
        <x:v>Citadel</x:v>
      </x:c>
      <x:c r="D11" s="89" t="str">
        <x:f>IFERROR(INDEX('Инвентаризация'!$E$2:$E$260,MATCH(B11,'Инвентаризация'!$D$2:$D$260,0)),"")</x:f>
        <x:v>Technical</x:v>
      </x:c>
      <x:c r="E11" s="89" t="str">
        <x:v>Контроль прозрачности</x:v>
      </x:c>
      <x:c r="F11" s="89" t="str">
        <x:v>Без белёсого высыхания</x:v>
      </x:c>
    </x:row>
    <x:row r="12">
      <x:c r="A12" s="89" t="str">
        <x:v>Теневая коррекция</x:v>
      </x:c>
      <x:c r="B12" s="667" t="str">
        <x:v>Targor Rageshade</x:v>
      </x:c>
      <x:c r="C12" s="89" t="str">
        <x:f>IFERROR(INDEX('Инвентаризация'!$B$2:$B$260,MATCH(B12,'Инвентаризация'!$D$2:$D$260,0)),"")</x:f>
        <x:v>Citadel</x:v>
      </x:c>
      <x:c r="D12" s="89" t="str">
        <x:f>IFERROR(INDEX('Инвентаризация'!$E$2:$E$260,MATCH(B12,'Инвентаризация'!$D$2:$D$260,0)),"")</x:f>
        <x:v>Shade</x:v>
      </x:c>
      <x:c r="E12" s="89" t="str">
        <x:v>Только потерянные анатомические стыки</x:v>
      </x:c>
      <x:c r="F12" s="89" t="str">
        <x:v>Не использовать общей проливкой</x:v>
      </x:c>
    </x:row>
    <x:row r="15" ht="48" customHeight="1">
      <x:c r="A15" s="700" t="str">
        <x:v>Mix ID</x:v>
      </x:c>
      <x:c r="B15" s="700" t="str">
        <x:v>Назначение</x:v>
      </x:c>
      <x:c r="C15" s="700" t="str">
        <x:v>Краска A</x:v>
      </x:c>
      <x:c r="D15" s="700" t="str">
        <x:v>Краска B/модификатор</x:v>
      </x:c>
      <x:c r="E15" s="700" t="str">
        <x:v>Капли A</x:v>
      </x:c>
      <x:c r="F15" s="700" t="str">
        <x:v>Капли B</x:v>
      </x:c>
      <x:c r="G15" s="700" t="str">
        <x:v>Капли Medium</x:v>
      </x:c>
      <x:c r="H15" s="700" t="str">
        <x:v>Всего</x:v>
      </x:c>
      <x:c r="I15" s="700" t="str">
        <x:v>Доля Medium</x:v>
      </x:c>
      <x:c r="J15" s="700" t="str">
        <x:v>Метод</x:v>
      </x:c>
      <x:c r="K15" s="700" t="str">
        <x:v>Зоны</x:v>
      </x:c>
      <x:c r="L15" s="700" t="str">
        <x:v>Статус</x:v>
      </x:c>
    </x:row>
    <x:row r="16">
      <x:c r="A16" s="89" t="str">
        <x:v>M01</x:v>
      </x:c>
      <x:c r="B16" s="89" t="str">
        <x:v>Тестовый участок</x:v>
      </x:c>
      <x:c r="C16" s="667" t="str"/>
      <x:c r="D16" s="667" t="str"/>
      <x:c r="E16" s="89"/>
      <x:c r="F16" s="89"/>
      <x:c r="G16" s="89"/>
      <x:c r="H16" s="89" t="str">
        <x:f>IF(COUNT(E16:G16)=0,"",SUM(E16:G16))</x:f>
      </x:c>
      <x:c r="I16" s="708" t="str">
        <x:f>IF(OR(H16="",H16=0),"",G16/H16)</x:f>
      </x:c>
      <x:c r="J16" s="89" t="str">
        <x:v>Кисть</x:v>
      </x:c>
      <x:c r="K16" s="89" t="str">
        <x:v>Скрытая часть плеча</x:v>
      </x:c>
      <x:c r="L16" s="89" t="str">
        <x:v>Не проверено</x:v>
      </x:c>
    </x:row>
    <x:row r="17">
      <x:c r="A17" s="89" t="str">
        <x:v>M02</x:v>
      </x:c>
      <x:c r="B17" s="89" t="str">
        <x:v>Широкий midtone кистью</x:v>
      </x:c>
      <x:c r="C17" s="667" t="str"/>
      <x:c r="D17" s="667" t="str"/>
      <x:c r="E17" s="89"/>
      <x:c r="F17" s="89"/>
      <x:c r="G17" s="89"/>
      <x:c r="H17" s="89" t="str">
        <x:f>IF(COUNT(E17:G17)=0,"",SUM(E17:G17))</x:f>
      </x:c>
      <x:c r="I17" s="708" t="str">
        <x:f>IF(OR(H17="",H17=0),"",G17/H17)</x:f>
      </x:c>
      <x:c r="J17" s="89" t="str">
        <x:v>Кисть</x:v>
      </x:c>
      <x:c r="K17" s="89" t="str">
        <x:v>Грудь/плечи</x:v>
      </x:c>
      <x:c r="L17" s="89" t="str">
        <x:v>Не проверено</x:v>
      </x:c>
    </x:row>
    <x:row r="18">
      <x:c r="A18" s="89" t="str">
        <x:v>M03</x:v>
      </x:c>
      <x:c r="B18" s="89" t="str">
        <x:v>Широкий midtone аэрографом</x:v>
      </x:c>
      <x:c r="C18" s="667" t="str"/>
      <x:c r="D18" s="667" t="str"/>
      <x:c r="E18" s="89"/>
      <x:c r="F18" s="89"/>
      <x:c r="G18" s="89"/>
      <x:c r="H18" s="89" t="str">
        <x:f>IF(COUNT(E18:G18)=0,"",SUM(E18:G18))</x:f>
      </x:c>
      <x:c r="I18" s="708" t="str">
        <x:f>IF(OR(H18="",H18=0),"",G18/H18)</x:f>
      </x:c>
      <x:c r="J18" s="89" t="str">
        <x:v>Аэрограф</x:v>
      </x:c>
      <x:c r="K18" s="89" t="str">
        <x:v>Грудь/спина</x:v>
      </x:c>
      <x:c r="L18" s="89" t="str">
        <x:v>Не проверено</x:v>
      </x:c>
    </x:row>
    <x:row r="19">
      <x:c r="A19" s="89" t="str">
        <x:v>M04</x:v>
      </x:c>
      <x:c r="B19" s="89" t="str">
        <x:v>Светлый midtone</x:v>
      </x:c>
      <x:c r="C19" s="667" t="str"/>
      <x:c r="D19" s="667" t="str"/>
      <x:c r="E19" s="89"/>
      <x:c r="F19" s="89"/>
      <x:c r="G19" s="89"/>
      <x:c r="H19" s="89" t="str">
        <x:f>IF(COUNT(E19:G19)=0,"",SUM(E19:G19))</x:f>
      </x:c>
      <x:c r="I19" s="708" t="str">
        <x:f>IF(OR(H19="",H19=0),"",G19/H19)</x:f>
      </x:c>
      <x:c r="J19" s="89" t="str">
        <x:v>Кисть</x:v>
      </x:c>
      <x:c r="K19" s="89" t="str">
        <x:v>Верхние плоскости</x:v>
      </x:c>
      <x:c r="L19" s="89" t="str">
        <x:v>Не проверено</x:v>
      </x:c>
    </x:row>
    <x:row r="20">
      <x:c r="A20" s="89" t="str">
        <x:v>M05</x:v>
      </x:c>
      <x:c r="B20" s="89" t="str">
        <x:v>Объединяющая glaze</x:v>
      </x:c>
      <x:c r="C20" s="667" t="str"/>
      <x:c r="D20" s="667" t="str"/>
      <x:c r="E20" s="89"/>
      <x:c r="F20" s="89"/>
      <x:c r="G20" s="89"/>
      <x:c r="H20" s="89" t="str">
        <x:f>IF(COUNT(E20:G20)=0,"",SUM(E20:G20))</x:f>
      </x:c>
      <x:c r="I20" s="708" t="str">
        <x:f>IF(OR(H20="",H20=0),"",G20/H20)</x:f>
      </x:c>
      <x:c r="J20" s="89" t="str">
        <x:v>Кисть</x:v>
      </x:c>
      <x:c r="K20" s="89" t="str">
        <x:v>Границы зон</x:v>
      </x:c>
      <x:c r="L20" s="89" t="str">
        <x:v>Не проверено</x:v>
      </x:c>
    </x:row>
    <x:row r="21">
      <x:c r="A21" s="89" t="str">
        <x:v>M06</x:v>
      </x:c>
      <x:c r="B21" s="89" t="str">
        <x:v>Тёплый вариант</x:v>
      </x:c>
      <x:c r="C21" s="667" t="str"/>
      <x:c r="D21" s="667" t="str">
        <x:v>Cadian Fleshtone</x:v>
      </x:c>
      <x:c r="E21" s="89"/>
      <x:c r="F21" s="89"/>
      <x:c r="G21" s="89"/>
      <x:c r="H21" s="89" t="str">
        <x:f>IF(COUNT(E21:G21)=0,"",SUM(E21:G21))</x:f>
      </x:c>
      <x:c r="I21" s="708" t="str">
        <x:f>IF(OR(H21="",H21=0),"",G21/H21)</x:f>
      </x:c>
      <x:c r="J21" s="89" t="str">
        <x:v>Кисть</x:v>
      </x:c>
      <x:c r="K21" s="89" t="str">
        <x:v>Грудь/световая сторона</x:v>
      </x:c>
      <x:c r="L21" s="89" t="str">
        <x:v>Не проверено</x:v>
      </x:c>
    </x:row>
    <x:row r="22">
      <x:c r="A22" s="89" t="str">
        <x:v>M07</x:v>
      </x:c>
      <x:c r="B22" s="89" t="str">
        <x:v>Холодный вариант</x:v>
      </x:c>
      <x:c r="C22" s="667" t="str"/>
      <x:c r="D22" s="667" t="str">
        <x:v>Deepkin Flesh</x:v>
      </x:c>
      <x:c r="E22" s="89"/>
      <x:c r="F22" s="89"/>
      <x:c r="G22" s="89"/>
      <x:c r="H22" s="89" t="str">
        <x:f>IF(COUNT(E22:G22)=0,"",SUM(E22:G22))</x:f>
      </x:c>
      <x:c r="I22" s="708" t="str">
        <x:f>IF(OR(H22="",H22=0),"",G22/H22)</x:f>
      </x:c>
      <x:c r="J22" s="89" t="str">
        <x:v>Кисть</x:v>
      </x:c>
      <x:c r="K22" s="89" t="str">
        <x:v>Спина/теневая сторона</x:v>
      </x:c>
      <x:c r="L22" s="89" t="str">
        <x:v>Не проверено</x:v>
      </x:c>
    </x:row>
    <x:row r="23">
      <x:c r="A23" s="89" t="str">
        <x:v>M08</x:v>
      </x:c>
      <x:c r="B23" s="89" t="str">
        <x:v>Коррекция тени</x:v>
      </x:c>
      <x:c r="C23" s="667" t="str">
        <x:v>Targor Rageshade</x:v>
      </x:c>
      <x:c r="D23" s="667" t="str">
        <x:v>Lahmian Medium</x:v>
      </x:c>
      <x:c r="E23" s="89"/>
      <x:c r="F23" s="89"/>
      <x:c r="G23" s="89"/>
      <x:c r="H23" s="89" t="str">
        <x:f>IF(COUNT(E23:G23)=0,"",SUM(E23:G23))</x:f>
      </x:c>
      <x:c r="I23" s="708" t="str">
        <x:f>IF(OR(H23="",H23=0),"",G23/H23)</x:f>
      </x:c>
      <x:c r="J23" s="89" t="str">
        <x:v>Кисть</x:v>
      </x:c>
      <x:c r="K23" s="89" t="str">
        <x:v>Только потерянный стык</x:v>
      </x:c>
      <x:c r="L23" s="89" t="str">
        <x:v>Не проверено</x:v>
      </x:c>
    </x:row>
    <x:row r="26">
      <x:c r="A26" s="704" t="str">
        <x:v>Минимальный набор для S01</x:v>
      </x:c>
      <x:c r="B26" s="704"/>
      <x:c r="C26" s="704"/>
      <x:c r="D26" s="704"/>
      <x:c r="E26" s="704"/>
      <x:c r="F26" s="704"/>
    </x:row>
    <x:row r="27">
      <x:c r="A27" s="690" t="str">
        <x:v>1</x:v>
      </x:c>
      <x:c r="B27" s="690" t="str">
        <x:v>Основной skin midtone</x:v>
      </x:c>
      <x:c r="C27" s="690" t="str">
        <x:v>Обязателен</x:v>
      </x:c>
      <x:c r="D27" s="690" t="str">
        <x:v>Возврат цвета</x:v>
      </x:c>
      <x:c r="E27" s="690" t="str"/>
      <x:c r="F27" s="690" t="str"/>
    </x:row>
    <x:row r="28">
      <x:c r="A28" s="690" t="str">
        <x:v>2</x:v>
      </x:c>
      <x:c r="B28" s="690" t="str">
        <x:v>Lahmian Medium</x:v>
      </x:c>
      <x:c r="C28" s="690" t="str">
        <x:v>Обязателен</x:v>
      </x:c>
      <x:c r="D28" s="690" t="str">
        <x:v>Прозрачность</x:v>
      </x:c>
      <x:c r="E28" s="690" t="str"/>
      <x:c r="F28" s="690" t="str"/>
    </x:row>
    <x:row r="29">
      <x:c r="A29" s="690" t="str">
        <x:v>3</x:v>
      </x:c>
      <x:c r="B29" s="690" t="str">
        <x:v>Светлый midtone</x:v>
      </x:c>
      <x:c r="C29" s="690" t="str">
        <x:v>Обязателен</x:v>
      </x:c>
      <x:c r="D29" s="690" t="str">
        <x:v>Направление света</x:v>
      </x:c>
      <x:c r="E29" s="690" t="str"/>
      <x:c r="F29" s="690" t="str"/>
    </x:row>
    <x:row r="30">
      <x:c r="A30" s="690" t="str">
        <x:v>4</x:v>
      </x:c>
      <x:c r="B30" s="690" t="str">
        <x:v>Pale Flesh</x:v>
      </x:c>
      <x:c r="C30" s="690" t="str">
        <x:v>Ограниченно</x:v>
      </x:c>
      <x:c r="D30" s="690" t="str">
        <x:v>Проверочный максимум</x:v>
      </x:c>
      <x:c r="E30" s="690" t="str"/>
      <x:c r="F30" s="690" t="str"/>
    </x:row>
    <x:row r="31">
      <x:c r="A31" s="690" t="str">
        <x:v>5</x:v>
      </x:c>
      <x:c r="B31" s="690" t="str">
        <x:v>Targor/Dreadful</x:v>
      </x:c>
      <x:c r="C31" s="690" t="str">
        <x:v>Только коррекция</x:v>
      </x:c>
      <x:c r="D31" s="690" t="str">
        <x:v>Потерянные глубокие стыки</x:v>
      </x:c>
      <x:c r="E31" s="690" t="str"/>
      <x:c r="F31" s="690" t="str"/>
    </x:row>
  </x:sheetData>
  <x:mergeCells>
    <x:mergeCell ref="A1:L1"/>
    <x:mergeCell ref="A2:L2"/>
    <x:mergeCell ref="A26:F26"/>
  </x:mergeCells>
  <x:conditionalFormatting sqref="L16:L23">
    <x:cfRule type="expression" dxfId="132" priority="1">
      <x:formula>L16="PASS"</x:formula>
    </x:cfRule>
    <x:cfRule type="expression" dxfId="133" priority="2">
      <x:formula>L16="RETEST"</x:formula>
    </x:cfRule>
    <x:cfRule type="expression" dxfId="134" priority="3">
      <x:formula>L16="REJECT"</x:formula>
    </x:cfRule>
  </x:conditionalFormatting>
  <x:dataValidations count="5">
    <x:dataValidation type="list" sqref="B5:B12">
      <x:formula1>'Инвентаризация'!$D$2:$D$260</x:formula1>
    </x:dataValidation>
    <x:dataValidation type="list" sqref="C16:D23">
      <x:formula1>'Инвентаризация'!$D$2:$D$260</x:formula1>
    </x:dataValidation>
    <x:dataValidation operator="between" sqref="E16:G23">
      <x:formula1>0</x:formula1>
      <x:formula2>100</x:formula2>
    </x:dataValidation>
    <x:dataValidation type="list" sqref="J16:J23">
      <x:formula1>"Кисть,Аэрограф,Гибрид"</x:formula1>
    </x:dataValidation>
    <x:dataValidation type="list" sqref="L16:L23">
      <x:formula1>"Не проверено,PASS,RETEST,REJECT"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6113fd3c9df8492c"/>
    <x:tablePart xmlns:r="http://schemas.openxmlformats.org/officeDocument/2006/relationships" r:id="R1426dfc895754285"/>
  </x:tableParts>
</x:worksheet>
</file>

<file path=xl/worksheets/sheet6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6" hidden="0" customWidth="1"/>
    <x:col min="8" max="8" width="14" hidden="0" customWidth="1"/>
    <x:col min="9" max="9" width="46" hidden="0" customWidth="1"/>
    <x:col min="10" max="10" width="18" hidden="0" customWidth="1"/>
    <x:col min="11" max="11" width="38" hidden="0" customWidth="1"/>
    <x:col min="12" max="12" width="13" hidden="0" customWidth="1"/>
  </x:cols>
  <x:sheetData>
    <x:row r="1" ht="38" customHeight="1">
      <x:c r="A1" s="674" t="str">
        <x:v>Контроль сохранения масляных теней S01</x:v>
      </x:c>
      <x:c r="B1" s="674"/>
      <x:c r="C1" s="674"/>
      <x:c r="D1" s="674"/>
      <x:c r="E1" s="674"/>
      <x:c r="F1" s="674"/>
      <x:c r="G1" s="674"/>
      <x:c r="H1" s="674"/>
      <x:c r="I1" s="674"/>
      <x:c r="J1" s="674"/>
      <x:c r="K1" s="674"/>
      <x:c r="L1" s="674"/>
    </x:row>
    <x:row r="2" ht="40" customHeight="1">
      <x:c r="A2" s="707" t="str">
        <x:v>Оценка выполняется по одной и той же контрольной впадине до и после восстановления цвета. Потеря более одного пункта или итог ниже 4 блокируют закрытие зоны.</x:v>
      </x:c>
      <x:c r="B2" s="707"/>
      <x:c r="C2" s="707"/>
      <x:c r="D2" s="707"/>
      <x:c r="E2" s="707"/>
      <x:c r="F2" s="707"/>
      <x:c r="G2" s="707"/>
      <x:c r="H2" s="707"/>
      <x:c r="I2" s="707"/>
      <x:c r="J2" s="707"/>
      <x:c r="K2" s="707"/>
      <x:c r="L2" s="707"/>
    </x:row>
    <x:row r="4">
      <x:c r="A4" s="680" t="str">
        <x:v>Зон</x:v>
      </x:c>
      <x:c r="B4" s="710" t="n">
        <x:f>COUNTA(A8:A13)</x:f>
        <x:v>6</x:v>
      </x:c>
      <x:c r="C4" s="680" t="str">
        <x:v>PASS</x:v>
      </x:c>
      <x:c r="D4" s="710" t="n">
        <x:f>COUNTIF(H8:H13,"PASS")</x:f>
        <x:v>0</x:v>
      </x:c>
      <x:c r="E4" s="680" t="str">
        <x:v>BLOCK</x:v>
      </x:c>
      <x:c r="F4" s="710" t="n">
        <x:f>COUNTIF(H8:H13,"BLOCK")</x:f>
        <x:v>0</x:v>
      </x:c>
      <x:c r="G4" s="680" t="str">
        <x:v>Средняя потеря</x:v>
      </x:c>
      <x:c r="H4" s="711" t="str">
        <x:f>IF(COUNT(F8:F13)=0,"",SUM(F8:F13)/COUNT(F8:F13))</x:f>
      </x:c>
    </x:row>
    <x:row r="7" ht="48" customHeight="1">
      <x:c r="A7" s="700" t="str">
        <x:v>Зона</x:v>
      </x:c>
      <x:c r="B7" s="700" t="str">
        <x:v>Контрольная тень</x:v>
      </x:c>
      <x:c r="C7" s="700" t="str">
        <x:v>До S01, 1–5</x:v>
      </x:c>
      <x:c r="D7" s="700" t="str">
        <x:v>После S01, 1–5</x:v>
      </x:c>
      <x:c r="E7" s="700" t="str">
        <x:v>Изменение</x:v>
      </x:c>
      <x:c r="F7" s="700" t="str">
        <x:v>Потеря</x:v>
      </x:c>
      <x:c r="G7" s="700" t="str">
        <x:v>Фото/заметка</x:v>
      </x:c>
      <x:c r="H7" s="700" t="str">
        <x:v>Gate</x:v>
      </x:c>
      <x:c r="I7" s="700" t="str">
        <x:v>Коррекция</x:v>
      </x:c>
      <x:c r="J7" s="700" t="str">
        <x:v>Recipe ID</x:v>
      </x:c>
      <x:c r="K7" s="700" t="str">
        <x:v>Не трогать</x:v>
      </x:c>
      <x:c r="L7" s="700" t="str">
        <x:v>Проверено</x:v>
      </x:c>
    </x:row>
    <x:row r="8">
      <x:c r="A8" s="89" t="str">
        <x:v>Тестовый участок</x:v>
      </x:c>
      <x:c r="B8" s="89" t="str">
        <x:v>Самая глубокая складка выбранного участка</x:v>
      </x:c>
      <x:c r="C8" s="89"/>
      <x:c r="D8" s="89"/>
      <x:c r="E8" s="89" t="str">
        <x:f>IF(OR(C8="",D8=""),"",D8-C8)</x:f>
      </x:c>
      <x:c r="F8" s="89" t="str">
        <x:f>IF(E8="","",MAX(0,-E8))</x:f>
      </x:c>
      <x:c r="G8" s="89" t="str"/>
      <x:c r="H8" s="89" t="str">
        <x:f>IF(OR(D8="",L8&lt;&gt;"Да"),"PENDING",IF(OR(D8&lt;4,F8&gt;1),"BLOCK","PASS"))</x:f>
        <x:v>PENDING</x:v>
      </x:c>
      <x:c r="I8" s="89" t="str"/>
      <x:c r="J8" s="89" t="str">
        <x:v>451, 455</x:v>
      </x:c>
      <x:c r="K8" s="89" t="str">
        <x:v>Контрольную впадину</x:v>
      </x:c>
      <x:c r="L8" s="89" t="str">
        <x:v>Нет</x:v>
      </x:c>
    </x:row>
    <x:row r="9">
      <x:c r="A9" s="89" t="str">
        <x:v>Грудь</x:v>
      </x:c>
      <x:c r="B9" s="89" t="str">
        <x:v>Под грудной мышцей/у грудины</x:v>
      </x:c>
      <x:c r="C9" s="89"/>
      <x:c r="D9" s="89"/>
      <x:c r="E9" s="89" t="str">
        <x:f>IF(OR(C9="",D9=""),"",D9-C9)</x:f>
      </x:c>
      <x:c r="F9" s="89" t="str">
        <x:f>IF(E9="","",MAX(0,-E9))</x:f>
      </x:c>
      <x:c r="G9" s="89" t="str"/>
      <x:c r="H9" s="89" t="str">
        <x:f>IF(OR(D9="",L9&lt;&gt;"Да"),"PENDING",IF(OR(D9&lt;4,F9&gt;1),"BLOCK","PASS"))</x:f>
        <x:v>PENDING</x:v>
      </x:c>
      <x:c r="I9" s="89" t="str"/>
      <x:c r="J9" s="89" t="str">
        <x:v>456</x:v>
      </x:c>
      <x:c r="K9" s="89" t="str">
        <x:v>Самую глубокую линию</x:v>
      </x:c>
      <x:c r="L9" s="89" t="str">
        <x:v>Нет</x:v>
      </x:c>
    </x:row>
    <x:row r="10">
      <x:c r="A10" s="89" t="str">
        <x:v>Плечи</x:v>
      </x:c>
      <x:c r="B10" s="89" t="str">
        <x:v>Низ плеча у соединения с торсом</x:v>
      </x:c>
      <x:c r="C10" s="89"/>
      <x:c r="D10" s="89"/>
      <x:c r="E10" s="89" t="str">
        <x:f>IF(OR(C10="",D10=""),"",D10-C10)</x:f>
      </x:c>
      <x:c r="F10" s="89" t="str">
        <x:f>IF(E10="","",MAX(0,-E10))</x:f>
      </x:c>
      <x:c r="G10" s="89" t="str"/>
      <x:c r="H10" s="89" t="str">
        <x:f>IF(OR(D10="",L10&lt;&gt;"Да"),"PENDING",IF(OR(D10&lt;4,F10&gt;1),"BLOCK","PASS"))</x:f>
        <x:v>PENDING</x:v>
      </x:c>
      <x:c r="I10" s="89" t="str"/>
      <x:c r="J10" s="89" t="str">
        <x:v>457</x:v>
      </x:c>
      <x:c r="K10" s="89" t="str">
        <x:v>Нижнюю полусферу</x:v>
      </x:c>
      <x:c r="L10" s="89" t="str">
        <x:v>Нет</x:v>
      </x:c>
    </x:row>
    <x:row r="11">
      <x:c r="A11" s="89" t="str">
        <x:v>Верхние руки</x:v>
      </x:c>
      <x:c r="B11" s="89" t="str">
        <x:v>Внутренняя или нижняя сторона</x:v>
      </x:c>
      <x:c r="C11" s="89"/>
      <x:c r="D11" s="89"/>
      <x:c r="E11" s="89" t="str">
        <x:f>IF(OR(C11="",D11=""),"",D11-C11)</x:f>
      </x:c>
      <x:c r="F11" s="89" t="str">
        <x:f>IF(E11="","",MAX(0,-E11))</x:f>
      </x:c>
      <x:c r="G11" s="89" t="str"/>
      <x:c r="H11" s="89" t="str">
        <x:f>IF(OR(D11="",L11&lt;&gt;"Да"),"PENDING",IF(OR(D11&lt;4,F11&gt;1),"BLOCK","PASS"))</x:f>
        <x:v>PENDING</x:v>
      </x:c>
      <x:c r="I11" s="89" t="str"/>
      <x:c r="J11" s="89" t="str">
        <x:v>458</x:v>
      </x:c>
      <x:c r="K11" s="89" t="str">
        <x:v>Теневую продольную зону</x:v>
      </x:c>
      <x:c r="L11" s="89" t="str">
        <x:v>Нет</x:v>
      </x:c>
    </x:row>
    <x:row r="12">
      <x:c r="A12" s="89" t="str">
        <x:v>Верхняя спина</x:v>
      </x:c>
      <x:c r="B12" s="89" t="str">
        <x:v>Между лопатками/под крылом</x:v>
      </x:c>
      <x:c r="C12" s="89"/>
      <x:c r="D12" s="89"/>
      <x:c r="E12" s="89" t="str">
        <x:f>IF(OR(C12="",D12=""),"",D12-C12)</x:f>
      </x:c>
      <x:c r="F12" s="89" t="str">
        <x:f>IF(E12="","",MAX(0,-E12))</x:f>
      </x:c>
      <x:c r="G12" s="89" t="str"/>
      <x:c r="H12" s="89" t="str">
        <x:f>IF(OR(D12="",L12&lt;&gt;"Да"),"PENDING",IF(OR(D12&lt;4,F12&gt;1),"BLOCK","PASS"))</x:f>
        <x:v>PENDING</x:v>
      </x:c>
      <x:c r="I12" s="89" t="str"/>
      <x:c r="J12" s="89" t="str">
        <x:v>459</x:v>
      </x:c>
      <x:c r="K12" s="89" t="str">
        <x:v>Углубления под крыльями</x:v>
      </x:c>
      <x:c r="L12" s="89" t="str">
        <x:v>Нет</x:v>
      </x:c>
    </x:row>
    <x:row r="13">
      <x:c r="A13" s="89" t="str">
        <x:v>Объединение</x:v>
      </x:c>
      <x:c r="B13" s="89" t="str">
        <x:v>Граница двух восстановленных зон</x:v>
      </x:c>
      <x:c r="C13" s="89"/>
      <x:c r="D13" s="89"/>
      <x:c r="E13" s="89" t="str">
        <x:f>IF(OR(C13="",D13=""),"",D13-C13)</x:f>
      </x:c>
      <x:c r="F13" s="89" t="str">
        <x:f>IF(E13="","",MAX(0,-E13))</x:f>
      </x:c>
      <x:c r="G13" s="89" t="str"/>
      <x:c r="H13" s="89" t="str">
        <x:f>IF(OR(D13="",L13&lt;&gt;"Да"),"PENDING",IF(OR(D13&lt;4,F13&gt;1),"BLOCK","PASS"))</x:f>
        <x:v>PENDING</x:v>
      </x:c>
      <x:c r="I13" s="89" t="str"/>
      <x:c r="J13" s="89" t="str">
        <x:v>460</x:v>
      </x:c>
      <x:c r="K13" s="89" t="str">
        <x:v>Тени соседних зон</x:v>
      </x:c>
      <x:c r="L13" s="89" t="str">
        <x:v>Нет</x:v>
      </x:c>
    </x:row>
    <x:row r="16">
      <x:c r="A16" s="713" t="str">
        <x:v>Что делать при BLOCK</x:v>
      </x:c>
      <x:c r="B16" s="713"/>
      <x:c r="C16" s="713"/>
      <x:c r="D16" s="713"/>
      <x:c r="E16" s="713"/>
      <x:c r="F16" s="713"/>
    </x:row>
    <x:row r="17">
      <x:c r="A17" s="697" t="str">
        <x:v>1</x:v>
      </x:c>
      <x:c r="B17" s="697" t="str">
        <x:v>Остановить восстановление соседних зон</x:v>
      </x:c>
      <x:c r="C17" s="697" t="str"/>
      <x:c r="D17" s="697" t="str"/>
      <x:c r="E17" s="697" t="str"/>
      <x:c r="F17" s="697" t="str"/>
    </x:row>
    <x:row r="18">
      <x:c r="A18" s="697" t="str">
        <x:v>2</x:v>
      </x:c>
      <x:c r="B18" s="697" t="str">
        <x:v>Сделать смесь прозрачнее или уменьшить проходы</x:v>
      </x:c>
      <x:c r="C18" s="697" t="str"/>
      <x:c r="D18" s="697" t="str"/>
      <x:c r="E18" s="697" t="str"/>
      <x:c r="F18" s="697" t="str"/>
    </x:row>
    <x:row r="19">
      <x:c r="A19" s="697" t="str">
        <x:v>3</x:v>
      </x:c>
      <x:c r="B19" s="697" t="str">
        <x:v>Вернуть Targor/Dreadful glaze только в потерянную тень</x:v>
      </x:c>
      <x:c r="C19" s="697" t="str"/>
      <x:c r="D19" s="697" t="str"/>
      <x:c r="E19" s="697" t="str"/>
      <x:c r="F19" s="697" t="str"/>
    </x:row>
    <x:row r="20">
      <x:c r="A20" s="697" t="str">
        <x:v>4</x:v>
      </x:c>
      <x:c r="B20" s="697" t="str">
        <x:v>Повторно сравнить с контрольной впадиной</x:v>
      </x:c>
      <x:c r="C20" s="697" t="str"/>
      <x:c r="D20" s="697" t="str"/>
      <x:c r="E20" s="697" t="str"/>
      <x:c r="F20" s="697" t="str"/>
    </x:row>
    <x:row r="21">
      <x:c r="A21" s="697" t="str">
        <x:v>5</x:v>
      </x:c>
      <x:c r="B21" s="697" t="str">
        <x:v>Не углублять всю модель общей проливкой</x:v>
      </x:c>
      <x:c r="C21" s="697" t="str"/>
      <x:c r="D21" s="697" t="str"/>
      <x:c r="E21" s="697" t="str"/>
      <x:c r="F21" s="697" t="str"/>
    </x:row>
  </x:sheetData>
  <x:mergeCells>
    <x:mergeCell ref="A1:L1"/>
    <x:mergeCell ref="A2:L2"/>
    <x:mergeCell ref="A16:F16"/>
  </x:mergeCells>
  <x:conditionalFormatting sqref="H8:H13">
    <x:cfRule type="expression" dxfId="135" priority="1">
      <x:formula>H8="PASS"</x:formula>
    </x:cfRule>
    <x:cfRule type="expression" dxfId="136" priority="2">
      <x:formula>H8="BLOCK"</x:formula>
    </x:cfRule>
    <x:cfRule type="expression" dxfId="137" priority="3">
      <x:formula>H8="PENDING"</x:formula>
    </x:cfRule>
  </x:conditionalFormatting>
  <x:conditionalFormatting sqref="F8:F13">
    <x:cfRule type="colorScale" priority="4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dataValidations count="3">
    <x:dataValidation type="list" sqref="C8:C13">
      <x:formula1>"1,2,3,4,5"</x:formula1>
    </x:dataValidation>
    <x:dataValidation type="list" sqref="D8:D13">
      <x:formula1>"1,2,3,4,5"</x:formula1>
    </x:dataValidation>
    <x:dataValidation type="list" sqref="L8:L13">
      <x:formula1>"Нет,Да"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7c899a9fd54ce6"/>
  </x:tableParts>
</x:worksheet>
</file>

<file path=xl/worksheets/sheet6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7" hidden="0" customWidth="1"/>
    <x:col min="3" max="3" width="28" hidden="0" customWidth="1"/>
    <x:col min="4" max="4" width="63" hidden="0" customWidth="1"/>
    <x:col min="5" max="5" width="83" hidden="0" customWidth="1"/>
    <x:col min="6" max="6" width="89" hidden="0" customWidth="1"/>
  </x:cols>
  <x:sheetData>
    <x:row r="1" ht="38" customHeight="1">
      <x:c r="A1" s="674" t="str">
        <x:v>Шестнадцатый проход: исполняемый модуль сессии S01</x:v>
      </x:c>
      <x:c r="B1" s="674"/>
      <x:c r="C1" s="674"/>
      <x:c r="D1" s="674"/>
      <x:c r="E1" s="674"/>
      <x:c r="F1" s="674"/>
    </x:row>
    <x:row r="3">
      <x:c r="A3" s="679" t="str">
        <x:v>Показатель</x:v>
      </x:c>
      <x:c r="B3" s="679" t="str">
        <x:v>Результат</x:v>
      </x:c>
    </x:row>
    <x:row r="4">
      <x:c r="A4" s="690" t="str">
        <x:v>Рецептов до прохода</x:v>
      </x:c>
      <x:c r="B4" s="715" t="n">
        <x:v>450</x:v>
      </x:c>
    </x:row>
    <x:row r="5">
      <x:c r="A5" s="690" t="str">
        <x:v>Новых рецептов</x:v>
      </x:c>
      <x:c r="B5" s="715" t="n">
        <x:v>30</x:v>
      </x:c>
    </x:row>
    <x:row r="6">
      <x:c r="A6" s="690" t="str">
        <x:v>Рецептов после прохода</x:v>
      </x:c>
      <x:c r="B6" s="715" t="n">
        <x:v>480</x:v>
      </x:c>
    </x:row>
    <x:row r="7">
      <x:c r="A7" s="690" t="str">
        <x:v>Рабочих зон S01</x:v>
      </x:c>
      <x:c r="B7" s="715" t="n">
        <x:v>6</x:v>
      </x:c>
    </x:row>
    <x:row r="8">
      <x:c r="A8" s="690" t="str">
        <x:v>Контрольных масляных теней</x:v>
      </x:c>
      <x:c r="B8" s="715" t="n">
        <x:v>6</x:v>
      </x:c>
    </x:row>
    <x:row r="9">
      <x:c r="A9" s="690" t="str">
        <x:v>Палитр замесов</x:v>
      </x:c>
      <x:c r="B9" s="715" t="n">
        <x:v>8</x:v>
      </x:c>
    </x:row>
    <x:row r="10">
      <x:c r="A10" s="690" t="str">
        <x:v>Автоматический итог S01</x:v>
      </x:c>
      <x:c r="B10" s="715" t="str">
        <x:v>CLOSE S01 / CONTINUE</x:v>
      </x:c>
    </x:row>
    <x:row r="11">
      <x:c r="A11" s="690" t="str">
        <x:v>Критерий тени</x:v>
      </x:c>
      <x:c r="B11" s="715" t="str">
        <x:v>После ≥4/5; потеря ≤1</x:v>
      </x:c>
    </x:row>
    <x:row r="12">
      <x:c r="A12" s="690" t="str">
        <x:v>Критерий цвета</x:v>
      </x:c>
      <x:c r="B12" s="715" t="str">
        <x:v>≥4/5</x:v>
      </x:c>
    </x:row>
    <x:row r="13">
      <x:c r="A13" s="690" t="str">
        <x:v>Критерий гладкости</x:v>
      </x:c>
      <x:c r="B13" s="715" t="str">
        <x:v>≥3/5</x:v>
      </x:c>
    </x:row>
    <x:row r="14">
      <x:c r="A14" s="690" t="str">
        <x:v>Навигатор обновлён</x:v>
      </x:c>
      <x:c r="B14" s="715" t="str">
        <x:v>Recipe ID 1–480</x:v>
      </x:c>
    </x:row>
    <x:row r="15">
      <x:c r="A15" s="690" t="str">
        <x:v>Активный Recipe ID</x:v>
      </x:c>
      <x:c r="B15" s="715" t="n">
        <x:v>451</x:v>
      </x:c>
    </x:row>
    <x:row r="16">
      <x:c r="A16" s="690" t="str">
        <x:v>Ключевой принцип</x:v>
      </x:c>
      <x:c r="B16" s="690" t="str">
        <x:v>Сначала тест и возврат крупных цветовых масс; детализация запрещена до формального закрытия S01</x:v>
      </x:c>
    </x:row>
    <x:row r="19">
      <x:c r="A19" s="700" t="str">
        <x:v>ID</x:v>
      </x:c>
      <x:c r="B19" s="700" t="str">
        <x:v>Область</x:v>
      </x:c>
      <x:c r="C19" s="700" t="str">
        <x:v>Статус</x:v>
      </x:c>
      <x:c r="D19" s="700" t="str">
        <x:v>Что обнаружено</x:v>
      </x:c>
      <x:c r="E19" s="700" t="str">
        <x:v>Действие</x:v>
      </x:c>
      <x:c r="F19" s="700" t="str">
        <x:v>Основание</x:v>
      </x:c>
    </x:row>
    <x:row r="20">
      <x:c r="A20" s="89" t="str">
        <x:v>AUD16-01</x:v>
      </x:c>
      <x:c r="B20" s="89" t="str">
        <x:v>S01 как исполняемый процесс</x:v>
      </x:c>
      <x:c r="C20" s="89" t="str">
        <x:v>Добавлено</x:v>
      </x:c>
      <x:c r="D20" s="89" t="str">
        <x:v>План v22 описывал сессию, но не рассчитывал её фактическую готовность.</x:v>
      </x:c>
      <x:c r="E20" s="89" t="str">
        <x:v>Создан лист с шестью зонами, оценками тени, цвета и гладкости, фото-gate и автоматическим итогом.</x:v>
      </x:c>
      <x:c r="F20" s="89" t="str">
        <x:v>Лист «Сессия S01 — торс».</x:v>
      </x:c>
    </x:row>
    <x:row r="21">
      <x:c r="A21" s="89" t="str">
        <x:v>AUD16-02</x:v>
      </x:c>
      <x:c r="B21" s="89" t="str">
        <x:v>Тест перед торсом</x:v>
      </x:c>
      <x:c r="C21" s="89" t="str">
        <x:v>Добавлено</x:v>
      </x:c>
      <x:c r="D21" s="89" t="str">
        <x:v>Не было обязательного скрытого теста акрила поверх масляной поверхности.</x:v>
      </x:c>
      <x:c r="E21" s="89" t="str">
        <x:v>Рецепт 451 проверяет сухость, сцепление, цвет и сохранение тени на участке 10–15 мм.</x:v>
      </x:c>
      <x:c r="F21" s="89" t="str">
        <x:v>Распространение смеси блокируется до подтверждения теста.</x:v>
      </x:c>
    </x:row>
    <x:row r="22">
      <x:c r="A22" s="89" t="str">
        <x:v>AUD16-03</x:v>
      </x:c>
      <x:c r="B22" s="89" t="str">
        <x:v>Метод восстановления</x:v>
      </x:c>
      <x:c r="C22" s="89" t="str">
        <x:v>Уточнено</x:v>
      </x:c>
      <x:c r="D22" s="89" t="str">
        <x:v>Восстановление могло выполняться только кистью или только аэрографом без единой логики.</x:v>
      </x:c>
      <x:c r="E22" s="89" t="str">
        <x:v>Добавлены кистевой, аэрографный и предпочтительный гибридный методы.</x:v>
      </x:c>
      <x:c r="F22" s="89" t="str">
        <x:v>Рецепты 452–454.</x:v>
      </x:c>
    </x:row>
    <x:row r="23">
      <x:c r="A23" s="89" t="str">
        <x:v>AUD16-04</x:v>
      </x:c>
      <x:c r="B23" s="89" t="str">
        <x:v>Контроль масляной глубины</x:v>
      </x:c>
      <x:c r="C23" s="89" t="str">
        <x:v>Добавлено</x:v>
      </x:c>
      <x:c r="D23" s="89" t="str">
        <x:v>Сохранение тени оценивалось визуально без одинаковой контрольной точки.</x:v>
      </x:c>
      <x:c r="E23" s="89" t="str">
        <x:v>Для каждой зоны фиксируется одна и та же впадина до и после; потеря более одного пункта даёт BLOCK.</x:v>
      </x:c>
      <x:c r="F23" s="89" t="str">
        <x:v>Лист «Контроль теней S01».</x:v>
      </x:c>
    </x:row>
    <x:row r="24">
      <x:c r="A24" s="89" t="str">
        <x:v>AUD16-05</x:v>
      </x:c>
      <x:c r="B24" s="89" t="str">
        <x:v>Фактическая палитра</x:v>
      </x:c>
      <x:c r="C24" s="89" t="str">
        <x:v>Добавлено</x:v>
      </x:c>
      <x:c r="D24" s="89" t="str">
        <x:v>Рецепты использовали условный skin midtone, поскольку фотографии и точный исходный цвет недоступны.</x:v>
      </x:c>
      <x:c r="E24" s="89" t="str">
        <x:v>Создан редактируемый выбор из инвентаризации с автоматическим брендом, линейкой, каплями, долей Medium и статусом теста.</x:v>
      </x:c>
      <x:c r="F24" s="89" t="str">
        <x:v>Лист «Палитра S01».</x:v>
      </x:c>
    </x:row>
    <x:row r="25">
      <x:c r="A25" s="89" t="str">
        <x:v>AUD16-06</x:v>
      </x:c>
      <x:c r="B25" s="89" t="str">
        <x:v>Ограничение масштаба</x:v>
      </x:c>
      <x:c r="C25" s="89" t="str">
        <x:v>Уточнено</x:v>
      </x:c>
      <x:c r="D25" s="89" t="str">
        <x:v>S01 могла незаметно превратиться в полную детализацию кожи.</x:v>
      </x:c>
      <x:c r="E25" s="89" t="str">
        <x:v>Зафиксирован запрет на вены, поры, шрамы, кровь, крылья и широкие Pallid/White highlights.</x:v>
      </x:c>
      <x:c r="F25" s="89" t="str">
        <x:v>Рецепты 466–467 и верхний блок S01.</x:v>
      </x:c>
    </x:row>
    <x:row r="26">
      <x:c r="A26" s="89" t="str">
        <x:v>AUD16-07</x:v>
      </x:c>
      <x:c r="B26" s="89" t="str">
        <x:v>Формальный переход</x:v>
      </x:c>
      <x:c r="C26" s="89" t="str">
        <x:v>Добавлено</x:v>
      </x:c>
      <x:c r="D26" s="89" t="str">
        <x:v>Статусы проекта и следующей сессии обновлялись только вручную без критерия.</x:v>
      </x:c>
      <x:c r="E26" s="89" t="str">
        <x:v>Рецепт 480 задаёт переход S01 Done → S02 Next только после выполнения gate 470.</x:v>
      </x:c>
      <x:c r="F26" s="89" t="str">
        <x:v>Связь проекта, сессий и журнала.</x:v>
      </x:c>
    </x:row>
    <x:row r="27">
      <x:c r="A27" s="89" t="str">
        <x:v>AUD16-08</x:v>
      </x:c>
      <x:c r="B27" s="89" t="str">
        <x:v>Навигация</x:v>
      </x:c>
      <x:c r="C27" s="89" t="str">
        <x:v>Обновлено</x:v>
      </x:c>
      <x:c r="D27" s="89" t="str">
        <x:v>Навигатор v22 заканчивался на 450.</x:v>
      </x:c>
      <x:c r="E27" s="89" t="str">
        <x:v>Формулы и проверка ввода расширены до 480; стартовая карточка установлена на Recipe ID 451.</x:v>
      </x:c>
      <x:c r="F27" s="89" t="str">
        <x:v>Лист «Навигатор базы».</x:v>
      </x:c>
    </x:row>
    <x:row r="28">
      <x:c r="A28" s="89" t="str">
        <x:v>AUD16-09</x:v>
      </x:c>
      <x:c r="B28" s="89" t="str">
        <x:v>Фото Drive</x:v>
      </x:c>
      <x:c r="C28" s="89" t="str">
        <x:v>Проверено</x:v>
      </x:c>
      <x:c r="D28" s="89" t="str">
        <x:v>Поиск новых фотографий демон-принца по названию и среди недавних изображений не дал целевого файла.</x:v>
      </x:c>
      <x:c r="E28" s="89" t="str">
        <x:v>Направление света и фактический skin midtone оставлены редактируемыми, без выдуманных значений.</x:v>
      </x:c>
      <x:c r="F28" s="89" t="str">
        <x:v>Параметрический модуль S01.</x:v>
      </x:c>
    </x:row>
    <x:row r="32">
      <x:c r="A32" s="687" t="str">
        <x:v>Лист</x:v>
      </x:c>
      <x:c r="B32" s="687" t="str">
        <x:v>Назначение</x:v>
      </x:c>
      <x:c r="C32" s="687" t="str">
        <x:v>Главный результат</x:v>
      </x:c>
    </x:row>
    <x:row r="33">
      <x:c r="A33" s="690" t="str">
        <x:v>Сессия S01 — торс</x:v>
      </x:c>
      <x:c r="B33" s="690" t="str">
        <x:v>Исполнение и автоматический gate</x:v>
      </x:c>
      <x:c r="C33" s="690" t="str">
        <x:v>6 зон / CLOSE S01</x:v>
      </x:c>
    </x:row>
    <x:row r="34">
      <x:c r="A34" s="690" t="str">
        <x:v>Палитра S01</x:v>
      </x:c>
      <x:c r="B34" s="690" t="str">
        <x:v>Фактические краски и замесы</x:v>
      </x:c>
      <x:c r="C34" s="690" t="str">
        <x:v>8 смесей</x:v>
      </x:c>
    </x:row>
    <x:row r="35">
      <x:c r="A35" s="690" t="str">
        <x:v>Контроль теней S01</x:v>
      </x:c>
      <x:c r="B35" s="690" t="str">
        <x:v>До/после одной впадины</x:v>
      </x:c>
      <x:c r="C35" s="690" t="str">
        <x:v>PASS / BLOCK</x:v>
      </x:c>
    </x:row>
    <x:row r="36">
      <x:c r="A36" s="690" t="str">
        <x:v>Демон-принц — проект</x:v>
      </x:c>
      <x:c r="B36" s="690" t="str">
        <x:v>Активное действие и результат</x:v>
      </x:c>
      <x:c r="C36" s="690" t="str">
        <x:v>Recipe ID 451</x:v>
      </x:c>
    </x:row>
    <x:row r="37">
      <x:c r="A37" s="690" t="str">
        <x:v>Сессии демон-принца</x:v>
      </x:c>
      <x:c r="B37" s="690" t="str">
        <x:v>S01 связана с новым модулем</x:v>
      </x:c>
      <x:c r="C37" s="690" t="str">
        <x:v>Итог S01 отображается в заметке</x:v>
      </x:c>
    </x:row>
    <x:row r="38">
      <x:c r="A38" s="690" t="str">
        <x:v>Тестовые карты</x:v>
      </x:c>
      <x:c r="B38" s="690" t="str">
        <x:v>Персональная валидация</x:v>
      </x:c>
      <x:c r="C38" s="690" t="str">
        <x:v>Запись обновлена на 451</x:v>
      </x:c>
    </x:row>
    <x:row r="39">
      <x:c r="A39" s="690" t="str">
        <x:v>Навигатор базы</x:v>
      </x:c>
      <x:c r="B39" s="690" t="str">
        <x:v>Поиск рецептов</x:v>
      </x:c>
      <x:c r="C39" s="690" t="str">
        <x:v>ID 1–480</x:v>
      </x:c>
    </x:row>
  </x:sheetData>
  <x:mergeCells>
    <x:mergeCell ref="A1:F1"/>
  </x:mergeCells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48" hidden="0" customWidth="1"/>
    <x:col min="4" max="4" width="37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16" hidden="0" customWidth="1"/>
    <x:col min="10" max="10" width="14" hidden="0" customWidth="1"/>
    <x:col min="11" max="11" width="12" hidden="0" customWidth="1"/>
    <x:col min="12" max="12" width="46" hidden="0" customWidth="1"/>
    <x:col min="13" max="13" width="12" hidden="0" customWidth="1"/>
    <x:col min="14" max="14" width="12" hidden="0" customWidth="1"/>
  </x:cols>
  <x:sheetData>
    <x:row r="1" ht="38" customHeight="1">
      <x:c r="A1" s="729" t="str">
        <x:v>S02 — крупная анатомия и мягкое брюхо</x:v>
      </x:c>
      <x:c r="B1" s="729"/>
      <x:c r="C1" s="729"/>
      <x:c r="D1" s="729"/>
      <x:c r="E1" s="729"/>
      <x:c r="F1" s="729"/>
      <x:c r="G1" s="729"/>
      <x:c r="H1" s="729"/>
      <x:c r="I1" s="729"/>
      <x:c r="J1" s="729"/>
      <x:c r="K1" s="729"/>
      <x:c r="L1" s="729"/>
      <x:c r="M1" s="729"/>
      <x:c r="N1" s="729"/>
    </x:row>
    <x:row r="2" ht="38" customHeight="1">
      <x:c r="A2" s="732" t="str">
        <x:v>S02 формирует крупные мышечные и мягкие плоскости. Поры, вены, пигментация, шрамы и stippling остаются запрещены до CLOSE S02.</x:v>
      </x:c>
      <x:c r="B2" s="732"/>
      <x:c r="C2" s="732"/>
      <x:c r="D2" s="732"/>
      <x:c r="E2" s="732"/>
      <x:c r="F2" s="732"/>
      <x:c r="G2" s="732"/>
      <x:c r="H2" s="732"/>
      <x:c r="I2" s="732"/>
      <x:c r="J2" s="732"/>
      <x:c r="K2" s="732"/>
      <x:c r="L2" s="732"/>
      <x:c r="M2" s="732"/>
      <x:c r="N2" s="732"/>
    </x:row>
    <x:row r="4">
      <x:c r="A4" s="735" t="str">
        <x:v>Доступ</x:v>
      </x:c>
      <x:c r="B4" s="737" t="str">
        <x:f>IF('Сессия S01 — торс'!L4="CLOSE S01","READY","LOCKED")</x:f>
        <x:v>LOCKED</x:v>
      </x:c>
      <x:c r="C4" s="735" t="str">
        <x:v>Зон</x:v>
      </x:c>
      <x:c r="D4" s="737" t="n">
        <x:f>COUNTA(A14:A25)</x:f>
        <x:v>12</x:v>
      </x:c>
      <x:c r="E4" s="735" t="str">
        <x:v>PASS</x:v>
      </x:c>
      <x:c r="F4" s="737" t="n">
        <x:f>COUNTIF(J14:J25,"PASS")</x:f>
        <x:v>0</x:v>
      </x:c>
      <x:c r="G4" s="735" t="str">
        <x:v>BLOCK/PENDING</x:v>
      </x:c>
      <x:c r="H4" s="737" t="n">
        <x:f>COUNTIF(J14:J25,"BLOCK")+COUNTIF(J14:J25,"PENDING")+COUNTIF(J14:J25,"RETEST")+COUNTIF(J14:J25,"LOCKED")</x:f>
        <x:v>12</x:v>
      </x:c>
      <x:c r="J4" s="735" t="str">
        <x:v>Средняя анатомия</x:v>
      </x:c>
      <x:c r="K4" s="738" t="str">
        <x:f>IF(COUNT(E14:E25)=0,"",SUM(E14:E25)/COUNT(E14:E25))</x:f>
      </x:c>
      <x:c r="L4" s="738" t="str">
        <x:v>Средний свет</x:v>
      </x:c>
      <x:c r="M4" s="738" t="str">
        <x:f>IF(COUNT(F14:F25)=0,"",SUM(F14:F25)/COUNT(F14:F25))</x:f>
      </x:c>
      <x:c r="N4" s="753" t="str">
        <x:v>Итог S02</x:v>
      </x:c>
      <x:c r="P4" t="str">
        <x:v>Зона</x:v>
      </x:c>
      <x:c r="Q4" t="str">
        <x:v>Средняя</x:v>
      </x:c>
      <x:c r="R4" t="str">
        <x:v>Цель</x:v>
      </x:c>
    </x:row>
    <x:row r="5">
      <x:c r="N5" s="741" t="str">
        <x:f>IF(B4&lt;&gt;"READY","LOCKED",IF(COUNTIF(J14:J25,"BLOCK")&gt;0,"CONTINUE",IF(AND(COUNTIF(J14:J25,"PASS")=COUNTA(A14:A25),COUNTA(A14:A25)&gt;0,K8="PASS"),"CLOSE S02","CONTINUE")))</x:f>
        <x:v>LOCKED</x:v>
      </x:c>
      <x:c r="P5" t="str">
        <x:v>Тест</x:v>
      </x:c>
      <x:c r="Q5" t="str">
        <x:f>H14</x:f>
      </x:c>
      <x:c r="R5" t="n">
        <x:v>4</x:v>
      </x:c>
    </x:row>
    <x:row r="6">
      <x:c r="A6" s="743" t="str">
        <x:v>Настройка</x:v>
      </x:c>
      <x:c r="B6" s="743" t="str">
        <x:v>Фактическое значение</x:v>
      </x:c>
      <x:c r="D6" s="746" t="str">
        <x:v>Gate пяти значений</x:v>
      </x:c>
      <x:c r="E6" s="746"/>
      <x:c r="F6" s="746"/>
      <x:c r="G6" s="746"/>
      <x:c r="H6" s="746"/>
      <x:c r="I6" s="746"/>
      <x:c r="J6" s="746"/>
      <x:c r="K6" s="746"/>
      <x:c r="L6" s="746"/>
      <x:c r="P6" t="str">
        <x:v>Грудь</x:v>
      </x:c>
      <x:c r="Q6" t="str">
        <x:f>H15</x:f>
      </x:c>
      <x:c r="R6" t="n">
        <x:v>4</x:v>
      </x:c>
    </x:row>
    <x:row r="7">
      <x:c r="A7" s="745" t="str">
        <x:v>Метод</x:v>
      </x:c>
      <x:c r="B7" s="745" t="str">
        <x:v>Гибрид: аэрограф + кисть</x:v>
      </x:c>
      <x:c r="D7" s="748" t="str">
        <x:v>Уровень 1</x:v>
      </x:c>
      <x:c r="E7" s="748" t="str">
        <x:v>Уровень 2</x:v>
      </x:c>
      <x:c r="F7" s="748" t="str">
        <x:v>Уровень 3</x:v>
      </x:c>
      <x:c r="G7" s="748" t="str">
        <x:v>Уровень 4</x:v>
      </x:c>
      <x:c r="H7" s="748" t="str">
        <x:v>Уровень 5</x:v>
      </x:c>
      <x:c r="I7" s="748" t="str">
        <x:v>Фото</x:v>
      </x:c>
      <x:c r="J7" s="748" t="str">
        <x:v>Grayscale</x:v>
      </x:c>
      <x:c r="K7" s="748" t="str">
        <x:v>Gate</x:v>
      </x:c>
      <x:c r="L7" s="748" t="str">
        <x:v>Примечание</x:v>
      </x:c>
      <x:c r="P7" t="str">
        <x:v>Грудина</x:v>
      </x:c>
      <x:c r="Q7" t="str">
        <x:f>H16</x:f>
      </x:c>
      <x:c r="R7" t="n">
        <x:v>4</x:v>
      </x:c>
    </x:row>
    <x:row r="8">
      <x:c r="A8" s="745" t="str">
        <x:v>Направление света</x:v>
      </x:c>
      <x:c r="B8" s="745" t="str">
        <x:f>'Сессия S01 — торс'!B8</x:f>
        <x:v>Не выбрано</x:v>
      </x:c>
      <x:c r="D8" s="745" t="str">
        <x:v>Нет</x:v>
      </x:c>
      <x:c r="E8" s="745" t="str">
        <x:v>Нет</x:v>
      </x:c>
      <x:c r="F8" s="745" t="str">
        <x:v>Нет</x:v>
      </x:c>
      <x:c r="G8" s="745" t="str">
        <x:v>Нет</x:v>
      </x:c>
      <x:c r="H8" s="745" t="str">
        <x:v>Нет</x:v>
      </x:c>
      <x:c r="I8" s="745" t="str">
        <x:v>Нет</x:v>
      </x:c>
      <x:c r="J8" s="745" t="str">
        <x:v>Нет</x:v>
      </x:c>
      <x:c r="K8" s="745" t="str">
        <x:f>IF(B4&lt;&gt;"READY","LOCKED",IF(AND(D8="Да",E8="Да",F8="Да",G8="Да",H8="Да",I8="Да",J8="Да"),"PASS","PENDING"))</x:f>
        <x:v>LOCKED</x:v>
      </x:c>
      <x:c r="L8" s="745" t="str">
        <x:v>Отметить после фото</x:v>
      </x:c>
      <x:c r="P8" t="str">
        <x:v>Дельты</x:v>
      </x:c>
      <x:c r="Q8" t="str">
        <x:f>H17</x:f>
      </x:c>
      <x:c r="R8" t="n">
        <x:v>4</x:v>
      </x:c>
    </x:row>
    <x:row r="9">
      <x:c r="A9" s="745" t="str">
        <x:v>Основной набор</x:v>
      </x:c>
      <x:c r="B9" s="745" t="str">
        <x:v>482–500, 502–510</x:v>
      </x:c>
      <x:c r="D9" s="745" t="str">
        <x:v>Глубочайшая тень</x:v>
      </x:c>
      <x:c r="E9" s="745" t="str">
        <x:v>Теневая плоскость</x:v>
      </x:c>
      <x:c r="F9" s="745" t="str">
        <x:v>Основной midtone</x:v>
      </x:c>
      <x:c r="G9" s="745" t="str">
        <x:v>Световая плоскость</x:v>
      </x:c>
      <x:c r="H9" s="745" t="str">
        <x:v>Максимум &lt;5%</x:v>
      </x:c>
      <x:c r="I9" s="745" t="str">
        <x:v>Обязательное фото</x:v>
      </x:c>
      <x:c r="J9" s="745" t="str">
        <x:v>Обязательный grayscale</x:v>
      </x:c>
      <x:c r="K9" s="745"/>
      <x:c r="L9" s="745"/>
      <x:c r="P9" t="str">
        <x:v>Руки</x:v>
      </x:c>
      <x:c r="Q9" t="str">
        <x:f>H18</x:f>
      </x:c>
      <x:c r="R9" t="n">
        <x:v>4</x:v>
      </x:c>
    </x:row>
    <x:row r="10">
      <x:c r="A10" s="745" t="str">
        <x:v>Запрет</x:v>
      </x:c>
      <x:c r="B10" s="745" t="str">
        <x:v>Поры, вены, шрамы, кровь и stippling</x:v>
      </x:c>
      <x:c r="P10" t="str">
        <x:v>Подмышки</x:v>
      </x:c>
      <x:c r="Q10" t="str">
        <x:f>H19</x:f>
      </x:c>
      <x:c r="R10" t="n">
        <x:v>4</x:v>
      </x:c>
    </x:row>
    <x:row r="11">
      <x:c r="A11" s="745" t="str">
        <x:v>Зависимость</x:v>
      </x:c>
      <x:c r="B11" s="745" t="str">
        <x:v>S01 = CLOSE S01</x:v>
      </x:c>
      <x:c r="P11" t="str">
        <x:v>Шея</x:v>
      </x:c>
      <x:c r="Q11" t="str">
        <x:f>H20</x:f>
      </x:c>
      <x:c r="R11" t="n">
        <x:v>4</x:v>
      </x:c>
    </x:row>
    <x:row r="12">
      <x:c r="P12" t="str">
        <x:v>Лопатки</x:v>
      </x:c>
      <x:c r="Q12" t="str">
        <x:f>H21</x:f>
      </x:c>
      <x:c r="R12" t="n">
        <x:v>4</x:v>
      </x:c>
    </x:row>
    <x:row r="13" ht="50" customHeight="1">
      <x:c r="A13" s="749" t="str">
        <x:v>Зона</x:v>
      </x:c>
      <x:c r="B13" s="749" t="str">
        <x:v>Recipe ID</x:v>
      </x:c>
      <x:c r="C13" s="749" t="str">
        <x:v>Анатомическая задача</x:v>
      </x:c>
      <x:c r="D13" s="749" t="str">
        <x:v>Контрольная тень</x:v>
      </x:c>
      <x:c r="E13" s="749" t="str">
        <x:v>Анатомия 1–5</x:v>
      </x:c>
      <x:c r="F13" s="749" t="str">
        <x:v>Свет 1–5</x:v>
      </x:c>
      <x:c r="G13" s="749" t="str">
        <x:v>Мягкость 1–5</x:v>
      </x:c>
      <x:c r="H13" s="749" t="str">
        <x:v>Средняя</x:v>
      </x:c>
      <x:c r="I13" s="749" t="str">
        <x:v>Статус зоны</x:v>
      </x:c>
      <x:c r="J13" s="749" t="str">
        <x:v>Gate</x:v>
      </x:c>
      <x:c r="K13" s="749" t="str">
        <x:v>Фото</x:v>
      </x:c>
      <x:c r="L13" s="749" t="str">
        <x:v>Коррекция</x:v>
      </x:c>
      <x:c r="M13" s="749" t="str">
        <x:v>Начало</x:v>
      </x:c>
      <x:c r="N13" s="749" t="str">
        <x:v>Конец</x:v>
      </x:c>
      <x:c r="P13" t="str">
        <x:v>Бок</x:v>
      </x:c>
      <x:c r="Q13" t="str">
        <x:f>H22</x:f>
      </x:c>
      <x:c r="R13" t="n">
        <x:v>4</x:v>
      </x:c>
    </x:row>
    <x:row r="14">
      <x:c r="A14" s="89" t="str">
        <x:v>Тестовая граница</x:v>
      </x:c>
      <x:c r="B14" s="89" t="n">
        <x:v>482</x:v>
      </x:c>
      <x:c r="C14" s="89" t="str">
        <x:v>Одна естественная глубокая граница</x:v>
      </x:c>
      <x:c r="D14" s="89" t="str">
        <x:v>Грудина или под дельтой</x:v>
      </x:c>
      <x:c r="E14" s="89"/>
      <x:c r="F14" s="89"/>
      <x:c r="G14" s="89"/>
      <x:c r="H14" s="702" t="str">
        <x:f>IF(COUNT(E14:G14)=0,"",SUM(E14:G14)/COUNT(E14:G14))</x:f>
      </x:c>
      <x:c r="I14" s="89" t="str">
        <x:v>Не начато</x:v>
      </x:c>
      <x:c r="J14" s="89" t="str">
        <x:f>IF($B$4&lt;&gt;"READY","LOCKED",IF(COUNT(E14:G14)=0,"PENDING",IF(OR(E14&lt;4,F14&lt;4,G14&lt;3),"BLOCK",IF(AND(I14="Готово",K14="Да"),"PASS","RETEST"))))</x:f>
        <x:v>LOCKED</x:v>
      </x:c>
      <x:c r="K14" s="89" t="str">
        <x:v>Нет</x:v>
      </x:c>
      <x:c r="L14" s="89" t="str"/>
      <x:c r="M14" s="701"/>
      <x:c r="N14" s="701"/>
      <x:c r="P14" t="str">
        <x:v>Брюхо</x:v>
      </x:c>
      <x:c r="Q14" t="str">
        <x:f>H23</x:f>
      </x:c>
      <x:c r="R14" t="n">
        <x:v>4</x:v>
      </x:c>
    </x:row>
    <x:row r="15">
      <x:c r="A15" s="89" t="str">
        <x:v>Грудные мышцы</x:v>
      </x:c>
      <x:c r="B15" s="89" t="n">
        <x:v>484</x:v>
      </x:c>
      <x:c r="C15" s="89" t="str">
        <x:v>2–4 крупные наклонные плоскости</x:v>
      </x:c>
      <x:c r="D15" s="89" t="str">
        <x:v>Низ груди/грудина</x:v>
      </x:c>
      <x:c r="E15" s="89"/>
      <x:c r="F15" s="89"/>
      <x:c r="G15" s="89"/>
      <x:c r="H15" s="702" t="str">
        <x:f>IF(COUNT(E15:G15)=0,"",SUM(E15:G15)/COUNT(E15:G15))</x:f>
      </x:c>
      <x:c r="I15" s="89" t="str">
        <x:v>Не начато</x:v>
      </x:c>
      <x:c r="J15" s="89" t="str">
        <x:f>IF($B$4&lt;&gt;"READY","LOCKED",IF(COUNT(E15:G15)=0,"PENDING",IF(OR(E15&lt;4,F15&lt;4,G15&lt;3),"BLOCK",IF(AND(I15="Готово",K15="Да"),"PASS","RETEST"))))</x:f>
        <x:v>LOCKED</x:v>
      </x:c>
      <x:c r="K15" s="89" t="str">
        <x:v>Нет</x:v>
      </x:c>
      <x:c r="L15" s="89" t="str"/>
      <x:c r="M15" s="701"/>
      <x:c r="N15" s="701"/>
      <x:c r="P15" t="str">
        <x:v>Косые</x:v>
      </x:c>
      <x:c r="Q15" t="str">
        <x:f>H24</x:f>
      </x:c>
      <x:c r="R15" t="n">
        <x:v>4</x:v>
      </x:c>
    </x:row>
    <x:row r="16">
      <x:c r="A16" s="89" t="str">
        <x:v>Грудина и ключицы</x:v>
      </x:c>
      <x:c r="B16" s="89" t="n">
        <x:v>485</x:v>
      </x:c>
      <x:c r="C16" s="89" t="str">
        <x:v>Прерывистая светлая ось</x:v>
      </x:c>
      <x:c r="D16" s="89" t="str">
        <x:v>Боковые углубления</x:v>
      </x:c>
      <x:c r="E16" s="89"/>
      <x:c r="F16" s="89"/>
      <x:c r="G16" s="89"/>
      <x:c r="H16" s="702" t="str">
        <x:f>IF(COUNT(E16:G16)=0,"",SUM(E16:G16)/COUNT(E16:G16))</x:f>
      </x:c>
      <x:c r="I16" s="89" t="str">
        <x:v>Не начато</x:v>
      </x:c>
      <x:c r="J16" s="89" t="str">
        <x:f>IF($B$4&lt;&gt;"READY","LOCKED",IF(COUNT(E16:G16)=0,"PENDING",IF(OR(E16&lt;4,F16&lt;4,G16&lt;3),"BLOCK",IF(AND(I16="Готово",K16="Да"),"PASS","RETEST"))))</x:f>
        <x:v>LOCKED</x:v>
      </x:c>
      <x:c r="K16" s="89" t="str">
        <x:v>Нет</x:v>
      </x:c>
      <x:c r="L16" s="89" t="str"/>
      <x:c r="M16" s="701"/>
      <x:c r="N16" s="701"/>
      <x:c r="P16" t="str">
        <x:v>Переход</x:v>
      </x:c>
      <x:c r="Q16" t="n">
        <x:f>H25</x:f>
        <x:v>0</x:v>
      </x:c>
      <x:c r="R16" t="n">
        <x:v>4</x:v>
      </x:c>
    </x:row>
    <x:row r="17">
      <x:c r="A17" s="89" t="str">
        <x:v>Дельты</x:v>
      </x:c>
      <x:c r="B17" s="89" t="n">
        <x:v>486</x:v>
      </x:c>
      <x:c r="C17" s="89" t="str">
        <x:v>Единая сферическая масса</x:v>
      </x:c>
      <x:c r="D17" s="89" t="str">
        <x:v>Низ дельты</x:v>
      </x:c>
      <x:c r="E17" s="89"/>
      <x:c r="F17" s="89"/>
      <x:c r="G17" s="89"/>
      <x:c r="H17" s="702" t="str">
        <x:f>IF(COUNT(E17:G17)=0,"",SUM(E17:G17)/COUNT(E17:G17))</x:f>
      </x:c>
      <x:c r="I17" s="89" t="str">
        <x:v>Не начато</x:v>
      </x:c>
      <x:c r="J17" s="89" t="str">
        <x:f>IF($B$4&lt;&gt;"READY","LOCKED",IF(COUNT(E17:G17)=0,"PENDING",IF(OR(E17&lt;4,F17&lt;4,G17&lt;3),"BLOCK",IF(AND(I17="Готово",K17="Да"),"PASS","RETEST"))))</x:f>
        <x:v>LOCKED</x:v>
      </x:c>
      <x:c r="K17" s="89" t="str">
        <x:v>Нет</x:v>
      </x:c>
      <x:c r="L17" s="89" t="str"/>
      <x:c r="M17" s="701"/>
      <x:c r="N17" s="701"/>
    </x:row>
    <x:row r="18">
      <x:c r="A18" s="89" t="str">
        <x:v>Бицепс/трицепс</x:v>
      </x:c>
      <x:c r="B18" s="89" t="n">
        <x:v>487</x:v>
      </x:c>
      <x:c r="C18" s="89" t="str">
        <x:v>Две продольные несимметричные массы</x:v>
      </x:c>
      <x:c r="D18" s="89" t="str">
        <x:v>Глубокий стык</x:v>
      </x:c>
      <x:c r="E18" s="89"/>
      <x:c r="F18" s="89"/>
      <x:c r="G18" s="89"/>
      <x:c r="H18" s="702" t="str">
        <x:f>IF(COUNT(E18:G18)=0,"",SUM(E18:G18)/COUNT(E18:G18))</x:f>
      </x:c>
      <x:c r="I18" s="89" t="str">
        <x:v>Не начато</x:v>
      </x:c>
      <x:c r="J18" s="89" t="str">
        <x:f>IF($B$4&lt;&gt;"READY","LOCKED",IF(COUNT(E18:G18)=0,"PENDING",IF(OR(E18&lt;4,F18&lt;4,G18&lt;3),"BLOCK",IF(AND(I18="Готово",K18="Да"),"PASS","RETEST"))))</x:f>
        <x:v>LOCKED</x:v>
      </x:c>
      <x:c r="K18" s="89" t="str">
        <x:v>Нет</x:v>
      </x:c>
      <x:c r="L18" s="89" t="str"/>
      <x:c r="M18" s="701"/>
      <x:c r="N18" s="701"/>
    </x:row>
    <x:row r="19">
      <x:c r="A19" s="89" t="str">
        <x:v>Подмышки</x:v>
      </x:c>
      <x:c r="B19" s="89" t="n">
        <x:v>488</x:v>
      </x:c>
      <x:c r="C19" s="89" t="str">
        <x:v>Глубина без чёрной дыры</x:v>
      </x:c>
      <x:c r="D19" s="89" t="str">
        <x:v>Самая закрытая точка</x:v>
      </x:c>
      <x:c r="E19" s="89"/>
      <x:c r="F19" s="89"/>
      <x:c r="G19" s="89"/>
      <x:c r="H19" s="702" t="str">
        <x:f>IF(COUNT(E19:G19)=0,"",SUM(E19:G19)/COUNT(E19:G19))</x:f>
      </x:c>
      <x:c r="I19" s="89" t="str">
        <x:v>Не начато</x:v>
      </x:c>
      <x:c r="J19" s="89" t="str">
        <x:f>IF($B$4&lt;&gt;"READY","LOCKED",IF(COUNT(E19:G19)=0,"PENDING",IF(OR(E19&lt;4,F19&lt;4,G19&lt;3),"BLOCK",IF(AND(I19="Готово",K19="Да"),"PASS","RETEST"))))</x:f>
        <x:v>LOCKED</x:v>
      </x:c>
      <x:c r="K19" s="89" t="str">
        <x:v>Нет</x:v>
      </x:c>
      <x:c r="L19" s="89" t="str"/>
      <x:c r="M19" s="701"/>
      <x:c r="N19" s="701"/>
    </x:row>
    <x:row r="20">
      <x:c r="A20" s="89" t="str">
        <x:v>Шея и трапеции</x:v>
      </x:c>
      <x:c r="B20" s="89" t="n">
        <x:v>489</x:v>
      </x:c>
      <x:c r="C20" s="89" t="str">
        <x:v>Направить форму к лицу</x:v>
      </x:c>
      <x:c r="D20" s="89" t="str">
        <x:v>Под челюстью/у шеи</x:v>
      </x:c>
      <x:c r="E20" s="89"/>
      <x:c r="F20" s="89"/>
      <x:c r="G20" s="89"/>
      <x:c r="H20" s="702" t="str">
        <x:f>IF(COUNT(E20:G20)=0,"",SUM(E20:G20)/COUNT(E20:G20))</x:f>
      </x:c>
      <x:c r="I20" s="89" t="str">
        <x:v>Не начато</x:v>
      </x:c>
      <x:c r="J20" s="89" t="str">
        <x:f>IF($B$4&lt;&gt;"READY","LOCKED",IF(COUNT(E20:G20)=0,"PENDING",IF(OR(E20&lt;4,F20&lt;4,G20&lt;3),"BLOCK",IF(AND(I20="Готово",K20="Да"),"PASS","RETEST"))))</x:f>
        <x:v>LOCKED</x:v>
      </x:c>
      <x:c r="K20" s="89" t="str">
        <x:v>Нет</x:v>
      </x:c>
      <x:c r="L20" s="89" t="str"/>
      <x:c r="M20" s="701"/>
      <x:c r="N20" s="701"/>
    </x:row>
    <x:row r="21">
      <x:c r="A21" s="89" t="str">
        <x:v>Лопатки</x:v>
      </x:c>
      <x:c r="B21" s="89" t="n">
        <x:v>490</x:v>
      </x:c>
      <x:c r="C21" s="89" t="str">
        <x:v>Две большие наклонные плоскости</x:v>
      </x:c>
      <x:c r="D21" s="89" t="str">
        <x:v>Между лопатками</x:v>
      </x:c>
      <x:c r="E21" s="89"/>
      <x:c r="F21" s="89"/>
      <x:c r="G21" s="89"/>
      <x:c r="H21" s="702" t="str">
        <x:f>IF(COUNT(E21:G21)=0,"",SUM(E21:G21)/COUNT(E21:G21))</x:f>
      </x:c>
      <x:c r="I21" s="89" t="str">
        <x:v>Не начато</x:v>
      </x:c>
      <x:c r="J21" s="89" t="str">
        <x:f>IF($B$4&lt;&gt;"READY","LOCKED",IF(COUNT(E21:G21)=0,"PENDING",IF(OR(E21&lt;4,F21&lt;4,G21&lt;3),"BLOCK",IF(AND(I21="Готово",K21="Да"),"PASS","RETEST"))))</x:f>
        <x:v>LOCKED</x:v>
      </x:c>
      <x:c r="K21" s="89" t="str">
        <x:v>Нет</x:v>
      </x:c>
      <x:c r="L21" s="89" t="str"/>
      <x:c r="M21" s="701"/>
      <x:c r="N21" s="701"/>
    </x:row>
    <x:row r="22">
      <x:c r="A22" s="89" t="str">
        <x:v>Бок и рёбра</x:v>
      </x:c>
      <x:c r="B22" s="89" t="str">
        <x:v>491–492</x:v>
      </x:c>
      <x:c r="C22" s="89" t="str">
        <x:v>Большая боковая тень и намёк на рёбра</x:v>
      </x:c>
      <x:c r="D22" s="89" t="str">
        <x:v>Нижняя боковая граница</x:v>
      </x:c>
      <x:c r="E22" s="89"/>
      <x:c r="F22" s="89"/>
      <x:c r="G22" s="89"/>
      <x:c r="H22" s="702" t="str">
        <x:f>IF(COUNT(E22:G22)=0,"",SUM(E22:G22)/COUNT(E22:G22))</x:f>
      </x:c>
      <x:c r="I22" s="89" t="str">
        <x:v>Не начато</x:v>
      </x:c>
      <x:c r="J22" s="89" t="str">
        <x:f>IF($B$4&lt;&gt;"READY","LOCKED",IF(COUNT(E22:G22)=0,"PENDING",IF(OR(E22&lt;4,F22&lt;4,G22&lt;3),"BLOCK",IF(AND(I22="Готово",K22="Да"),"PASS","RETEST"))))</x:f>
        <x:v>LOCKED</x:v>
      </x:c>
      <x:c r="K22" s="89" t="str">
        <x:v>Нет</x:v>
      </x:c>
      <x:c r="L22" s="89" t="str"/>
      <x:c r="M22" s="701"/>
      <x:c r="N22" s="701"/>
    </x:row>
    <x:row r="23">
      <x:c r="A23" s="89" t="str">
        <x:v>Мягкое брюхо</x:v>
      </x:c>
      <x:c r="B23" s="89" t="n">
        <x:v>493</x:v>
      </x:c>
      <x:c r="C23" s="89" t="str">
        <x:v>Countershade без превышения верхнего света</x:v>
      </x:c>
      <x:c r="D23" s="89" t="str">
        <x:v>Нижние складки</x:v>
      </x:c>
      <x:c r="E23" s="89"/>
      <x:c r="F23" s="89"/>
      <x:c r="G23" s="89"/>
      <x:c r="H23" s="702" t="str">
        <x:f>IF(COUNT(E23:G23)=0,"",SUM(E23:G23)/COUNT(E23:G23))</x:f>
      </x:c>
      <x:c r="I23" s="89" t="str">
        <x:v>Не начато</x:v>
      </x:c>
      <x:c r="J23" s="89" t="str">
        <x:f>IF($B$4&lt;&gt;"READY","LOCKED",IF(COUNT(E23:G23)=0,"PENDING",IF(OR(E23&lt;4,F23&lt;4,G23&lt;3),"BLOCK",IF(AND(I23="Готово",K23="Да"),"PASS","RETEST"))))</x:f>
        <x:v>LOCKED</x:v>
      </x:c>
      <x:c r="K23" s="89" t="str">
        <x:v>Нет</x:v>
      </x:c>
      <x:c r="L23" s="89" t="str"/>
      <x:c r="M23" s="701"/>
      <x:c r="N23" s="701"/>
    </x:row>
    <x:row r="24">
      <x:c r="A24" s="89" t="str">
        <x:v>Косые/пупок</x:v>
      </x:c>
      <x:c r="B24" s="89" t="str">
        <x:v>494–495</x:v>
      </x:c>
      <x:c r="C24" s="89" t="str">
        <x:v>Мягкие диагонали и локальная глубина</x:v>
      </x:c>
      <x:c r="D24" s="89" t="str">
        <x:v>Пупок/глубокая складка</x:v>
      </x:c>
      <x:c r="E24" s="89"/>
      <x:c r="F24" s="89"/>
      <x:c r="G24" s="89"/>
      <x:c r="H24" s="702" t="str">
        <x:f>IF(COUNT(E24:G24)=0,"",SUM(E24:G24)/COUNT(E24:G24))</x:f>
      </x:c>
      <x:c r="I24" s="89" t="str">
        <x:v>Не начато</x:v>
      </x:c>
      <x:c r="J24" s="89" t="str">
        <x:f>IF($B$4&lt;&gt;"READY","LOCKED",IF(COUNT(E24:G24)=0,"PENDING",IF(OR(E24&lt;4,F24&lt;4,G24&lt;3),"BLOCK",IF(AND(I24="Готово",K24="Да"),"PASS","RETEST"))))</x:f>
        <x:v>LOCKED</x:v>
      </x:c>
      <x:c r="K24" s="89" t="str">
        <x:v>Нет</x:v>
      </x:c>
      <x:c r="L24" s="89" t="str"/>
      <x:c r="M24" s="701"/>
      <x:c r="N24" s="701"/>
    </x:row>
    <x:row r="25">
      <x:c r="A25" s="89" t="str">
        <x:v>Грудь → брюхо</x:v>
      </x:c>
      <x:c r="B25" s="89" t="n">
        <x:v>496</x:v>
      </x:c>
      <x:c r="C25" s="89" t="str">
        <x:v>Плавная смена пигментации и мягкости</x:v>
      </x:c>
      <x:c r="D25" s="89" t="str">
        <x:v>Боковая граница</x:v>
      </x:c>
      <x:c r="E25" s="89"/>
      <x:c r="F25" s="89"/>
      <x:c r="G25" s="89"/>
      <x:c r="H25" s="702" t="str">
        <x:f>IF(COUNT(E25:G25)=0,"",SUM(E25:G25)/COUNT(E25:G25))</x:f>
      </x:c>
      <x:c r="I25" s="89" t="str">
        <x:v>Не начато</x:v>
      </x:c>
      <x:c r="J25" s="89" t="str">
        <x:f>IF($B$4&lt;&gt;"READY","LOCKED",IF(COUNT(E25:G25)=0,"PENDING",IF(OR(E25&lt;4,F25&lt;4,G25&lt;3),"BLOCK",IF(AND(I25="Готово",K25="Да"),"PASS","RETEST"))))</x:f>
        <x:v>LOCKED</x:v>
      </x:c>
      <x:c r="K25" s="89" t="str">
        <x:v>Нет</x:v>
      </x:c>
      <x:c r="L25" s="89" t="str"/>
      <x:c r="M25" s="701"/>
      <x:c r="N25" s="701"/>
    </x:row>
    <x:row r="28">
      <x:c r="A28" s="751" t="str">
        <x:v>Закрытие S02</x:v>
      </x:c>
      <x:c r="B28" s="751"/>
      <x:c r="C28" s="751"/>
      <x:c r="D28" s="751"/>
      <x:c r="E28" s="751"/>
      <x:c r="F28" s="751"/>
      <x:c r="G28" s="751"/>
      <x:c r="H28" s="751"/>
    </x:row>
    <x:row r="29">
      <x:c r="A29" s="735" t="str">
        <x:v>Проверка</x:v>
      </x:c>
      <x:c r="B29" s="735" t="str">
        <x:v>Статус</x:v>
      </x:c>
      <x:c r="C29" s="735" t="str">
        <x:v>Основание</x:v>
      </x:c>
      <x:c r="D29" s="735" t="str">
        <x:v>Примечание</x:v>
      </x:c>
    </x:row>
    <x:row r="30">
      <x:c r="A30" s="88" t="str">
        <x:v>S01 действительно закрыта</x:v>
      </x:c>
      <x:c r="B30" s="88" t="str">
        <x:f>B4</x:f>
        <x:v>LOCKED</x:v>
      </x:c>
      <x:c r="C30" s="88" t="str">
        <x:v>Доступ READY</x:v>
      </x:c>
      <x:c r="D30" s="88" t="str"/>
    </x:row>
    <x:row r="31">
      <x:c r="A31" s="88" t="str">
        <x:v>Все 12 зон PASS</x:v>
      </x:c>
      <x:c r="B31" s="88" t="str">
        <x:v>Не проверено</x:v>
      </x:c>
      <x:c r="C31" s="88" t="str">
        <x:v>Анатомия/свет ≥4; мягкость ≥3</x:v>
      </x:c>
      <x:c r="D31" s="88" t="str"/>
    </x:row>
    <x:row r="32">
      <x:c r="A32" s="88" t="str">
        <x:v>Пятиуровневый gate PASS</x:v>
      </x:c>
      <x:c r="B32" s="88" t="str">
        <x:v>Не проверено</x:v>
      </x:c>
      <x:c r="C32" s="88" t="str">
        <x:v>Глубина, midtone и свет присутствуют</x:v>
      </x:c>
      <x:c r="D32" s="88" t="str"/>
    </x:row>
    <x:row r="33">
      <x:c r="A33" s="88" t="str">
        <x:v>Фронт, оба профиля и спина сняты</x:v>
      </x:c>
      <x:c r="B33" s="88" t="str">
        <x:v>Не проверено</x:v>
      </x:c>
      <x:c r="C33" s="88" t="str">
        <x:v>До фактурной детализации</x:v>
      </x:c>
      <x:c r="D33" s="88" t="str"/>
    </x:row>
    <x:row r="34">
      <x:c r="A34" s="88" t="str">
        <x:v>Записаны максимум три исправления</x:v>
      </x:c>
      <x:c r="B34" s="88" t="str">
        <x:v>Не проверено</x:v>
      </x:c>
      <x:c r="C34" s="88" t="str">
        <x:v>Или указано «нет»</x:v>
      </x:c>
      <x:c r="D34" s="88" t="str"/>
    </x:row>
    <x:row r="35">
      <x:c r="A35" s="88" t="str">
        <x:v>Поры, вены и шрамы не начаты</x:v>
      </x:c>
      <x:c r="B35" s="88" t="str">
        <x:v>Не проверено</x:v>
      </x:c>
      <x:c r="C35" s="88" t="str">
        <x:v>Gate к S03</x:v>
      </x:c>
      <x:c r="D35" s="88" t="str"/>
    </x:row>
  </x:sheetData>
  <x:mergeCells>
    <x:mergeCell ref="A1:N1"/>
    <x:mergeCell ref="A2:N2"/>
    <x:mergeCell ref="D6:L6"/>
    <x:mergeCell ref="A28:H28"/>
  </x:mergeCells>
  <x:conditionalFormatting sqref="B4:B4">
    <x:cfRule type="expression" dxfId="143" priority="1">
      <x:formula>B4="READY"</x:formula>
    </x:cfRule>
    <x:cfRule type="expression" dxfId="144" priority="2">
      <x:formula>B4="LOCKED"</x:formula>
    </x:cfRule>
  </x:conditionalFormatting>
  <x:conditionalFormatting sqref="N4:N5">
    <x:cfRule type="expression" dxfId="145" priority="3">
      <x:formula>N4="CLOSE S02"</x:formula>
    </x:cfRule>
    <x:cfRule type="expression" dxfId="146" priority="4">
      <x:formula>N4="LOCKED"</x:formula>
    </x:cfRule>
    <x:cfRule type="expression" dxfId="147" priority="5">
      <x:formula>N4="CONTINUE"</x:formula>
    </x:cfRule>
  </x:conditionalFormatting>
  <x:conditionalFormatting sqref="K8:K8">
    <x:cfRule type="expression" dxfId="148" priority="6">
      <x:formula>K8="PASS"</x:formula>
    </x:cfRule>
    <x:cfRule type="expression" dxfId="149" priority="7">
      <x:formula>K8="LOCKED"</x:formula>
    </x:cfRule>
    <x:cfRule type="expression" dxfId="150" priority="8">
      <x:formula>K8="PENDING"</x:formula>
    </x:cfRule>
  </x:conditionalFormatting>
  <x:conditionalFormatting sqref="J14:J25">
    <x:cfRule type="expression" dxfId="151" priority="9">
      <x:formula>J14="PASS"</x:formula>
    </x:cfRule>
    <x:cfRule type="expression" dxfId="152" priority="10">
      <x:formula>J14="RETEST"</x:formula>
    </x:cfRule>
    <x:cfRule type="expression" dxfId="153" priority="11">
      <x:formula>J14="BLOCK"</x:formula>
    </x:cfRule>
    <x:cfRule type="expression" dxfId="154" priority="12">
      <x:formula>J14="PENDING"</x:formula>
    </x:cfRule>
    <x:cfRule type="expression" dxfId="155" priority="13">
      <x:formula>J14="LOCKED"</x:formula>
    </x:cfRule>
  </x:conditionalFormatting>
  <x:conditionalFormatting sqref="H14:H25">
    <x:cfRule type="colorScale" priority="14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N5:N5">
    <x:cfRule type="expression" dxfId="161" priority="15">
      <x:formula>N5="CLOSE S02"</x:formula>
    </x:cfRule>
    <x:cfRule type="expression" dxfId="162" priority="16">
      <x:formula>N5="LOCKED"</x:formula>
    </x:cfRule>
    <x:cfRule type="expression" dxfId="163" priority="17">
      <x:formula>N5="CONTINUE"</x:formula>
    </x:cfRule>
  </x:conditionalFormatting>
  <x:dataValidations count="15">
    <x:dataValidation type="list" sqref="B7">
      <x:formula1>"Кисть,Аэрограф,Гибрид: аэрограф + кисть"</x:formula1>
    </x:dataValidation>
    <x:dataValidation type="list" sqref="D8">
      <x:formula1>"Нет,Да"</x:formula1>
    </x:dataValidation>
    <x:dataValidation type="list" sqref="E8">
      <x:formula1>"Нет,Да"</x:formula1>
    </x:dataValidation>
    <x:dataValidation type="list" sqref="F8">
      <x:formula1>"Нет,Да"</x:formula1>
    </x:dataValidation>
    <x:dataValidation type="list" sqref="G8">
      <x:formula1>"Нет,Да"</x:formula1>
    </x:dataValidation>
    <x:dataValidation type="list" sqref="H8">
      <x:formula1>"Нет,Да"</x:formula1>
    </x:dataValidation>
    <x:dataValidation type="list" sqref="I8:J8">
      <x:formula1>"Нет,Да"</x:formula1>
    </x:dataValidation>
    <x:dataValidation type="list" sqref="E14:E25">
      <x:formula1>"1,2,3,4,5"</x:formula1>
    </x:dataValidation>
    <x:dataValidation type="list" sqref="F14:F25">
      <x:formula1>"1,2,3,4,5"</x:formula1>
    </x:dataValidation>
    <x:dataValidation type="list" sqref="G14:G25">
      <x:formula1>"1,2,3,4,5"</x:formula1>
    </x:dataValidation>
    <x:dataValidation type="list" sqref="I14:I25">
      <x:formula1>"Не начато,В работе,Готово,Коррекция"</x:formula1>
    </x:dataValidation>
    <x:dataValidation type="list" sqref="K14:K25">
      <x:formula1>"Нет,Да"</x:formula1>
    </x:dataValidation>
    <x:dataValidation type="list" sqref="B31:B35">
      <x:formula1>"Не проверено,PASS,RETEST"</x:formula1>
    </x:dataValidation>
    <x:dataValidation type="list" sqref="I8">
      <x:formula1>"Нет,Да"</x:formula1>
    </x:dataValidation>
    <x:dataValidation type="list" sqref="J8">
      <x:formula1>"Нет,Да"</x:formula1>
    </x:dataValidation>
  </x:dataValidations>
  <x:pageMargins left="0.7" right="0.7" top="0.75" bottom="0.75" header="0.3" footer="0.3"/>
  <x:drawing xmlns:r="http://schemas.openxmlformats.org/officeDocument/2006/relationships" r:id="R322c4da9502443db"/>
  <x:tableParts count="2">
    <x:tablePart xmlns:r="http://schemas.openxmlformats.org/officeDocument/2006/relationships" r:id="R9c61d3e8cdbf4b8b"/>
    <x:tablePart xmlns:r="http://schemas.openxmlformats.org/officeDocument/2006/relationships" r:id="R729450c47f4b4bc2"/>
  </x:tableParts>
</x:worksheet>
</file>

<file path=xl/worksheets/sheet6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9" hidden="0" customWidth="1"/>
    <x:col min="3" max="3" width="29" hidden="0" customWidth="1"/>
    <x:col min="4" max="4" width="29" hidden="0" customWidth="1"/>
    <x:col min="5" max="5" width="17" hidden="0" customWidth="1"/>
    <x:col min="6" max="6" width="17" hidden="0" customWidth="1"/>
    <x:col min="7" max="7" width="42" hidden="0" customWidth="1"/>
    <x:col min="8" max="8" width="43" hidden="0" customWidth="1"/>
    <x:col min="9" max="9" width="15" hidden="0" customWidth="1"/>
    <x:col min="10" max="10" width="16" hidden="0" customWidth="1"/>
    <x:col min="11" max="11" width="29" hidden="0" customWidth="1"/>
    <x:col min="12" max="12" width="16" hidden="0" customWidth="1"/>
  </x:cols>
  <x:sheetData>
    <x:row r="1" ht="38" customHeight="1">
      <x:c r="A1" s="729" t="str">
        <x:v>Палитра S02: анатомия, мягкое брюхо и переходы</x:v>
      </x:c>
      <x:c r="B1" s="729"/>
      <x:c r="C1" s="729"/>
      <x:c r="D1" s="729"/>
      <x:c r="E1" s="729"/>
      <x:c r="F1" s="729"/>
      <x:c r="G1" s="729"/>
      <x:c r="H1" s="729"/>
    </x:row>
    <x:row r="2" ht="38" customHeight="1">
      <x:c r="A2" s="732" t="str">
        <x:v>Основные цвета наследуются из S01. Жёлтый столбец позволяет задать замену; эффективная краска и её бренд рассчитываются автоматически.</x:v>
      </x:c>
      <x:c r="B2" s="732"/>
      <x:c r="C2" s="732"/>
      <x:c r="D2" s="732"/>
      <x:c r="E2" s="732"/>
      <x:c r="F2" s="732"/>
      <x:c r="G2" s="732"/>
      <x:c r="H2" s="732"/>
    </x:row>
    <x:row r="4" ht="46" customHeight="1">
      <x:c r="A4" s="749" t="str">
        <x:v>Роль</x:v>
      </x:c>
      <x:c r="B4" s="749" t="str">
        <x:v>Источник S01</x:v>
      </x:c>
      <x:c r="C4" s="749" t="str">
        <x:v>Замена</x:v>
      </x:c>
      <x:c r="D4" s="749" t="str">
        <x:v>Эффективная краска</x:v>
      </x:c>
      <x:c r="E4" s="749" t="str">
        <x:v>Бренд</x:v>
      </x:c>
      <x:c r="F4" s="749" t="str">
        <x:v>Линейка</x:v>
      </x:c>
      <x:c r="G4" s="749" t="str">
        <x:v>Назначение</x:v>
      </x:c>
      <x:c r="H4" s="749" t="str">
        <x:v>Ограничение</x:v>
      </x:c>
    </x:row>
    <x:row r="5">
      <x:c r="A5" s="89" t="str">
        <x:v>Основной skin midtone</x:v>
      </x:c>
      <x:c r="B5" s="89" t="str">
        <x:f>IF('Палитра S01'!B5="","",'Палитра S01'!B5)</x:f>
      </x:c>
      <x:c r="C5" s="722" t="str"/>
      <x:c r="D5" s="89" t="str">
        <x:f>IF(C5&lt;&gt;"",C5,IF(B5&lt;&gt;"",B5,""))</x:f>
      </x:c>
      <x:c r="E5" s="89" t="str">
        <x:f>IFERROR(INDEX('Инвентаризация'!$B$2:$B$260,MATCH(D5,'Инвентаризация'!$D$2:$D$260,0)),"")</x:f>
      </x:c>
      <x:c r="F5" s="89" t="str">
        <x:f>IFERROR(INDEX('Инвентаризация'!$E$2:$E$260,MATCH(D5,'Инвентаризация'!$D$2:$D$260,0)),"")</x:f>
      </x:c>
      <x:c r="G5" s="89" t="str">
        <x:v>Сужение теней и объединение</x:v>
      </x:c>
      <x:c r="H5" s="89" t="str">
        <x:v>Остаётся основной массой</x:v>
      </x:c>
    </x:row>
    <x:row r="6">
      <x:c r="A6" s="89" t="str">
        <x:v>Светлый skin midtone</x:v>
      </x:c>
      <x:c r="B6" s="89" t="str">
        <x:f>IF('Палитра S01'!B6="","",'Палитра S01'!B6)</x:f>
      </x:c>
      <x:c r="C6" s="722" t="str"/>
      <x:c r="D6" s="89" t="str">
        <x:f>IF(C6&lt;&gt;"",C6,IF(B6&lt;&gt;"",B6,""))</x:f>
      </x:c>
      <x:c r="E6" s="89" t="str">
        <x:f>IFERROR(INDEX('Инвентаризация'!$B$2:$B$260,MATCH(D6,'Инвентаризация'!$D$2:$D$260,0)),"")</x:f>
      </x:c>
      <x:c r="F6" s="89" t="str">
        <x:f>IFERROR(INDEX('Инвентаризация'!$E$2:$E$260,MATCH(D6,'Инвентаризация'!$D$2:$D$260,0)),"")</x:f>
      </x:c>
      <x:c r="G6" s="89" t="str">
        <x:v>Верхние анатомические плоскости</x:v>
      </x:c>
      <x:c r="H6" s="89" t="str">
        <x:v>Не более 25–35% кожи S02</x:v>
      </x:c>
    </x:row>
    <x:row r="7">
      <x:c r="A7" s="89" t="str">
        <x:v>Теневая glaze</x:v>
      </x:c>
      <x:c r="B7" s="89" t="str">
        <x:v>Targor Rageshade</x:v>
      </x:c>
      <x:c r="C7" s="722" t="str"/>
      <x:c r="D7" s="89" t="str">
        <x:f>IF(C7&lt;&gt;"",C7,IF(B7&lt;&gt;"",B7,""))</x:f>
        <x:v>Targor Rageshade</x:v>
      </x:c>
      <x:c r="E7" s="89" t="str">
        <x:f>IFERROR(INDEX('Инвентаризация'!$B$2:$B$260,MATCH(D7,'Инвентаризация'!$D$2:$D$260,0)),"")</x:f>
        <x:v>Citadel</x:v>
      </x:c>
      <x:c r="F7" s="89" t="str">
        <x:f>IFERROR(INDEX('Инвентаризация'!$E$2:$E$260,MATCH(D7,'Инвентаризация'!$D$2:$D$260,0)),"")</x:f>
        <x:v>Shade</x:v>
      </x:c>
      <x:c r="G7" s="89" t="str">
        <x:v>Глубокие естественные стыки</x:v>
      </x:c>
      <x:c r="H7" s="89" t="str">
        <x:v>Не общая проливка</x:v>
      </x:c>
    </x:row>
    <x:row r="8">
      <x:c r="A8" s="89" t="str">
        <x:v>Холодная тень</x:v>
      </x:c>
      <x:c r="B8" s="89" t="str">
        <x:v>Dreadful Visage</x:v>
      </x:c>
      <x:c r="C8" s="722" t="str"/>
      <x:c r="D8" s="89" t="str">
        <x:f>IF(C8&lt;&gt;"",C8,IF(B8&lt;&gt;"",B8,""))</x:f>
        <x:v>Dreadful Visage</x:v>
      </x:c>
      <x:c r="E8" s="89" t="str">
        <x:f>IFERROR(INDEX('Инвентаризация'!$B$2:$B$260,MATCH(D8,'Инвентаризация'!$D$2:$D$260,0)),"")</x:f>
        <x:v>Citadel</x:v>
      </x:c>
      <x:c r="F8" s="89" t="str">
        <x:f>IFERROR(INDEX('Инвентаризация'!$E$2:$E$260,MATCH(D8,'Инвентаризация'!$D$2:$D$260,0)),"")</x:f>
        <x:v>Contrast</x:v>
      </x:c>
      <x:c r="G8" s="89" t="str">
        <x:v>Подмышки, бок, нижние складки</x:v>
      </x:c>
      <x:c r="H8" s="89" t="str">
        <x:v>Сильно разбавлять</x:v>
      </x:c>
    </x:row>
    <x:row r="9">
      <x:c r="A9" s="89" t="str">
        <x:v>База мягкого брюха</x:v>
      </x:c>
      <x:c r="B9" s="89" t="str">
        <x:v>Rakarth Flesh</x:v>
      </x:c>
      <x:c r="C9" s="722" t="str"/>
      <x:c r="D9" s="89" t="str">
        <x:f>IF(C9&lt;&gt;"",C9,IF(B9&lt;&gt;"",B9,""))</x:f>
        <x:v>Rakarth Flesh</x:v>
      </x:c>
      <x:c r="E9" s="89" t="str">
        <x:f>IFERROR(INDEX('Инвентаризация'!$B$2:$B$260,MATCH(D9,'Инвентаризация'!$D$2:$D$260,0)),"")</x:f>
        <x:v>Citadel</x:v>
      </x:c>
      <x:c r="F9" s="89" t="str">
        <x:f>IFERROR(INDEX('Инвентаризация'!$E$2:$E$260,MATCH(D9,'Инвентаризация'!$D$2:$D$260,0)),"")</x:f>
        <x:v>Base</x:v>
      </x:c>
      <x:c r="G9" s="89" t="str">
        <x:v>Смесь 1:1 с skin midtone</x:v>
      </x:c>
      <x:c r="H9" s="89" t="str">
        <x:v>Не ярче верхнего света</x:v>
      </x:c>
    </x:row>
    <x:row r="10">
      <x:c r="A10" s="89" t="str">
        <x:v>Свет мягкого брюха</x:v>
      </x:c>
      <x:c r="B10" s="89" t="str">
        <x:v>Deepkin Flesh</x:v>
      </x:c>
      <x:c r="C10" s="722" t="str"/>
      <x:c r="D10" s="89" t="str">
        <x:f>IF(C10&lt;&gt;"",C10,IF(B10&lt;&gt;"",B10,""))</x:f>
        <x:v>Deepkin Flesh</x:v>
      </x:c>
      <x:c r="E10" s="89" t="str">
        <x:f>IFERROR(INDEX('Инвентаризация'!$B$2:$B$260,MATCH(D10,'Инвентаризация'!$D$2:$D$260,0)),"")</x:f>
        <x:v>Citadel</x:v>
      </x:c>
      <x:c r="F10" s="89" t="str">
        <x:f>IFERROR(INDEX('Инвентаризация'!$E$2:$E$260,MATCH(D10,'Инвентаризация'!$D$2:$D$260,0)),"")</x:f>
        <x:v>Layer</x:v>
      </x:c>
      <x:c r="G10" s="89" t="str">
        <x:v>Центр countershade</x:v>
      </x:c>
      <x:c r="H10" s="89" t="str">
        <x:v>Только гладкими слоями</x:v>
      </x:c>
    </x:row>
    <x:row r="11">
      <x:c r="A11" s="89" t="str">
        <x:v>Тёплый модификатор груди</x:v>
      </x:c>
      <x:c r="B11" s="89" t="str">
        <x:v>Cadian Fleshtone</x:v>
      </x:c>
      <x:c r="C11" s="722" t="str"/>
      <x:c r="D11" s="89" t="str">
        <x:f>IF(C11&lt;&gt;"",C11,IF(B11&lt;&gt;"",B11,""))</x:f>
        <x:v>Cadian Fleshtone</x:v>
      </x:c>
      <x:c r="E11" s="89" t="str">
        <x:f>IFERROR(INDEX('Инвентаризация'!$B$2:$B$260,MATCH(D11,'Инвентаризация'!$D$2:$D$260,0)),"")</x:f>
        <x:v>Citadel</x:v>
      </x:c>
      <x:c r="F11" s="89" t="str">
        <x:f>IFERROR(INDEX('Инвентаризация'!$E$2:$E$260,MATCH(D11,'Инвентаризация'!$D$2:$D$260,0)),"")</x:f>
        <x:v>Layer</x:v>
      </x:c>
      <x:c r="G11" s="89" t="str">
        <x:v>Слабое потепление груди</x:v>
      </x:c>
      <x:c r="H11" s="89" t="str">
        <x:v>Малая доля</x:v>
      </x:c>
    </x:row>
    <x:row r="12">
      <x:c r="A12" s="89" t="str">
        <x:v>Проверочный максимум</x:v>
      </x:c>
      <x:c r="B12" s="89" t="str">
        <x:v>Pale Flesh</x:v>
      </x:c>
      <x:c r="C12" s="722" t="str"/>
      <x:c r="D12" s="89" t="str">
        <x:f>IF(C12&lt;&gt;"",C12,IF(B12&lt;&gt;"",B12,""))</x:f>
        <x:v>Pale Flesh</x:v>
      </x:c>
      <x:c r="E12" s="89" t="str">
        <x:f>IFERROR(INDEX('Инвентаризация'!$B$2:$B$260,MATCH(D12,'Инвентаризация'!$D$2:$D$260,0)),"")</x:f>
        <x:v>Vallejo</x:v>
      </x:c>
      <x:c r="F12" s="89" t="str">
        <x:f>IFERROR(INDEX('Инвентаризация'!$E$2:$E$260,MATCH(D12,'Инвентаризация'!$D$2:$D$260,0)),"")</x:f>
        <x:v>Game Air</x:v>
      </x:c>
      <x:c r="G12" s="89" t="str">
        <x:v>Уровень 5</x:v>
      </x:c>
      <x:c r="H12" s="89" t="str">
        <x:v>Менее 5% кожи</x:v>
      </x:c>
    </x:row>
    <x:row r="13">
      <x:c r="A13" s="89" t="str">
        <x:v>Поздний максимум</x:v>
      </x:c>
      <x:c r="B13" s="89" t="str">
        <x:v>Pallid Wych Flesh</x:v>
      </x:c>
      <x:c r="C13" s="722" t="str"/>
      <x:c r="D13" s="89" t="str">
        <x:f>IF(C13&lt;&gt;"",C13,IF(B13&lt;&gt;"",B13,""))</x:f>
        <x:v>Pallid Wych Flesh</x:v>
      </x:c>
      <x:c r="E13" s="89" t="str">
        <x:f>IFERROR(INDEX('Инвентаризация'!$B$2:$B$260,MATCH(D13,'Инвентаризация'!$D$2:$D$260,0)),"")</x:f>
        <x:v>Citadel</x:v>
      </x:c>
      <x:c r="F13" s="89" t="str">
        <x:f>IFERROR(INDEX('Инвентаризация'!$E$2:$E$260,MATCH(D13,'Инвентаризация'!$D$2:$D$260,0)),"")</x:f>
        <x:v>Layer</x:v>
      </x:c>
      <x:c r="G13" s="89" t="str">
        <x:v>Резерв лица/фокуса</x:v>
      </x:c>
      <x:c r="H13" s="89" t="str">
        <x:v>Почти не использовать в S02</x:v>
      </x:c>
    </x:row>
    <x:row r="14">
      <x:c r="A14" s="89" t="str">
        <x:v>Средство для glaze</x:v>
      </x:c>
      <x:c r="B14" s="89" t="str">
        <x:v>Lahmian Medium</x:v>
      </x:c>
      <x:c r="C14" s="722" t="str"/>
      <x:c r="D14" s="89" t="str">
        <x:f>IF(C14&lt;&gt;"",C14,IF(B14&lt;&gt;"",B14,""))</x:f>
        <x:v>Lahmian Medium</x:v>
      </x:c>
      <x:c r="E14" s="89" t="str">
        <x:f>IFERROR(INDEX('Инвентаризация'!$B$2:$B$260,MATCH(D14,'Инвентаризация'!$D$2:$D$260,0)),"")</x:f>
        <x:v>Citadel</x:v>
      </x:c>
      <x:c r="F14" s="89" t="str">
        <x:f>IFERROR(INDEX('Инвентаризация'!$E$2:$E$260,MATCH(D14,'Инвентаризация'!$D$2:$D$260,0)),"")</x:f>
        <x:v>Technical</x:v>
      </x:c>
      <x:c r="G14" s="89" t="str">
        <x:v>Прозрачность и смягчение</x:v>
      </x:c>
      <x:c r="H14" s="89" t="str">
        <x:v>Без белёсого высыхания</x:v>
      </x:c>
    </x:row>
    <x:row r="17" ht="48" customHeight="1">
      <x:c r="A17" s="749" t="str">
        <x:v>Mix ID</x:v>
      </x:c>
      <x:c r="B17" s="749" t="str">
        <x:v>Назначение</x:v>
      </x:c>
      <x:c r="C17" s="749" t="str">
        <x:v>Краска A</x:v>
      </x:c>
      <x:c r="D17" s="749" t="str">
        <x:v>Краска B</x:v>
      </x:c>
      <x:c r="E17" s="749" t="str">
        <x:v>Капли A</x:v>
      </x:c>
      <x:c r="F17" s="749" t="str">
        <x:v>Капли B</x:v>
      </x:c>
      <x:c r="G17" s="749" t="str">
        <x:v>Medium</x:v>
      </x:c>
      <x:c r="H17" s="749" t="str">
        <x:v>Всего</x:v>
      </x:c>
      <x:c r="I17" s="749" t="str">
        <x:v>Доля Medium</x:v>
      </x:c>
      <x:c r="J17" s="749" t="str">
        <x:v>Метод</x:v>
      </x:c>
      <x:c r="K17" s="749" t="str">
        <x:v>Зона</x:v>
      </x:c>
      <x:c r="L17" s="749" t="str">
        <x:v>Статус</x:v>
      </x:c>
    </x:row>
    <x:row r="18">
      <x:c r="A18" s="89" t="str">
        <x:v>A01</x:v>
      </x:c>
      <x:c r="B18" s="89" t="str">
        <x:v>Тестовая анатомическая граница</x:v>
      </x:c>
      <x:c r="C18" s="722" t="str">
        <x:v>Targor Rageshade</x:v>
      </x:c>
      <x:c r="D18" s="722" t="str">
        <x:v>Lahmian Medium</x:v>
      </x:c>
      <x:c r="E18" s="89"/>
      <x:c r="F18" s="89"/>
      <x:c r="G18" s="89"/>
      <x:c r="H18" s="89" t="str">
        <x:f>IF(COUNT(E18:G18)=0,"",SUM(E18:G18))</x:f>
      </x:c>
      <x:c r="I18" s="708" t="str">
        <x:f>IF(OR(H18="",H18=0),"",G18/H18)</x:f>
      </x:c>
      <x:c r="J18" s="89" t="str">
        <x:v>Кисть</x:v>
      </x:c>
      <x:c r="K18" s="89" t="str">
        <x:v>Грудина/дельта</x:v>
      </x:c>
      <x:c r="L18" s="89" t="str">
        <x:f>IF('Сессия S02 — анатомия'!$B$4&lt;&gt;"READY","LOCKED",IF(OR(C18="",D18=""),"SET MIX","READY"))</x:f>
        <x:v>LOCKED</x:v>
      </x:c>
    </x:row>
    <x:row r="19">
      <x:c r="A19" s="89" t="str">
        <x:v>A02</x:v>
      </x:c>
      <x:c r="B19" s="89" t="str">
        <x:v>Сужение тени skin midtone</x:v>
      </x:c>
      <x:c r="C19" s="722" t="str">
        <x:f>IF(D5="","",D5)</x:f>
      </x:c>
      <x:c r="D19" s="722" t="str">
        <x:v>Lahmian Medium</x:v>
      </x:c>
      <x:c r="E19" s="89"/>
      <x:c r="F19" s="89"/>
      <x:c r="G19" s="89"/>
      <x:c r="H19" s="89" t="str">
        <x:f>IF(COUNT(E19:G19)=0,"",SUM(E19:G19))</x:f>
      </x:c>
      <x:c r="I19" s="708" t="str">
        <x:f>IF(OR(H19="",H19=0),"",G19/H19)</x:f>
      </x:c>
      <x:c r="J19" s="89" t="str">
        <x:v>Кисть</x:v>
      </x:c>
      <x:c r="K19" s="89" t="str">
        <x:v>Все зоны</x:v>
      </x:c>
      <x:c r="L19" s="89" t="str">
        <x:f>IF('Сессия S02 — анатомия'!$B$4&lt;&gt;"READY","LOCKED",IF(OR(C19="",D19=""),"SET MIX","READY"))</x:f>
        <x:v>LOCKED</x:v>
      </x:c>
    </x:row>
    <x:row r="20">
      <x:c r="A20" s="89" t="str">
        <x:v>A03</x:v>
      </x:c>
      <x:c r="B20" s="89" t="str">
        <x:v>Световая плоскость груди</x:v>
      </x:c>
      <x:c r="C20" s="722" t="str">
        <x:f>IF(D6="","",D6)</x:f>
      </x:c>
      <x:c r="D20" s="722" t="str">
        <x:v>Lahmian Medium</x:v>
      </x:c>
      <x:c r="E20" s="89"/>
      <x:c r="F20" s="89"/>
      <x:c r="G20" s="89"/>
      <x:c r="H20" s="89" t="str">
        <x:f>IF(COUNT(E20:G20)=0,"",SUM(E20:G20))</x:f>
      </x:c>
      <x:c r="I20" s="708" t="str">
        <x:f>IF(OR(H20="",H20=0),"",G20/H20)</x:f>
      </x:c>
      <x:c r="J20" s="89" t="str">
        <x:v>Гибрид</x:v>
      </x:c>
      <x:c r="K20" s="89" t="str">
        <x:v>Грудь</x:v>
      </x:c>
      <x:c r="L20" s="89" t="str">
        <x:f>IF('Сессия S02 — анатомия'!$B$4&lt;&gt;"READY","LOCKED",IF(OR(C20="",D20=""),"SET MIX","READY"))</x:f>
        <x:v>LOCKED</x:v>
      </x:c>
    </x:row>
    <x:row r="21">
      <x:c r="A21" s="89" t="str">
        <x:v>A04</x:v>
      </x:c>
      <x:c r="B21" s="89" t="str">
        <x:v>Брюхо 1:1</x:v>
      </x:c>
      <x:c r="C21" s="722" t="str">
        <x:f>IF(D5="","",D5)</x:f>
      </x:c>
      <x:c r="D21" s="722" t="str">
        <x:v>Rakarth Flesh</x:v>
      </x:c>
      <x:c r="E21" s="89"/>
      <x:c r="F21" s="89"/>
      <x:c r="G21" s="89"/>
      <x:c r="H21" s="89" t="str">
        <x:f>IF(COUNT(E21:G21)=0,"",SUM(E21:G21))</x:f>
      </x:c>
      <x:c r="I21" s="708" t="str">
        <x:f>IF(OR(H21="",H21=0),"",G21/H21)</x:f>
      </x:c>
      <x:c r="J21" s="89" t="str">
        <x:v>Кисть</x:v>
      </x:c>
      <x:c r="K21" s="89" t="str">
        <x:v>Мягкое брюхо</x:v>
      </x:c>
      <x:c r="L21" s="89" t="str">
        <x:f>IF('Сессия S02 — анатомия'!$B$4&lt;&gt;"READY","LOCKED",IF(OR(C21="",D21=""),"SET MIX","READY"))</x:f>
        <x:v>LOCKED</x:v>
      </x:c>
    </x:row>
    <x:row r="22">
      <x:c r="A22" s="89" t="str">
        <x:v>A05</x:v>
      </x:c>
      <x:c r="B22" s="89" t="str">
        <x:v>Свет брюха</x:v>
      </x:c>
      <x:c r="C22" s="722" t="str">
        <x:v>Deepkin Flesh</x:v>
      </x:c>
      <x:c r="D22" s="722" t="str">
        <x:v>Lahmian Medium</x:v>
      </x:c>
      <x:c r="E22" s="89"/>
      <x:c r="F22" s="89"/>
      <x:c r="G22" s="89"/>
      <x:c r="H22" s="89" t="str">
        <x:f>IF(COUNT(E22:G22)=0,"",SUM(E22:G22))</x:f>
      </x:c>
      <x:c r="I22" s="708" t="str">
        <x:f>IF(OR(H22="",H22=0),"",G22/H22)</x:f>
      </x:c>
      <x:c r="J22" s="89" t="str">
        <x:v>Кисть</x:v>
      </x:c>
      <x:c r="K22" s="89" t="str">
        <x:v>Центр брюха</x:v>
      </x:c>
      <x:c r="L22" s="89" t="str">
        <x:f>IF('Сессия S02 — анатомия'!$B$4&lt;&gt;"READY","LOCKED",IF(OR(C22="",D22=""),"SET MIX","READY"))</x:f>
        <x:v>LOCKED</x:v>
      </x:c>
    </x:row>
    <x:row r="23">
      <x:c r="A23" s="89" t="str">
        <x:v>A06</x:v>
      </x:c>
      <x:c r="B23" s="89" t="str">
        <x:v>Грудь → брюхо 3:1</x:v>
      </x:c>
      <x:c r="C23" s="722" t="str">
        <x:f>IF(D5="","",D5)</x:f>
      </x:c>
      <x:c r="D23" s="722" t="str">
        <x:f>IF(D9="","",D9)</x:f>
        <x:v>Rakarth Flesh</x:v>
      </x:c>
      <x:c r="E23" s="89" t="n">
        <x:v>3</x:v>
      </x:c>
      <x:c r="F23" s="89" t="n">
        <x:v>1</x:v>
      </x:c>
      <x:c r="G23" s="89"/>
      <x:c r="H23" s="89" t="n">
        <x:f>IF(COUNT(E23:G23)=0,"",SUM(E23:G23))</x:f>
        <x:v>4</x:v>
      </x:c>
      <x:c r="I23" s="708" t="n">
        <x:f>IF(OR(H23="",H23=0),"",G23/H23)</x:f>
        <x:v>0</x:v>
      </x:c>
      <x:c r="J23" s="89" t="str">
        <x:v>Кисть</x:v>
      </x:c>
      <x:c r="K23" s="89" t="str">
        <x:v>Верх перехода</x:v>
      </x:c>
      <x:c r="L23" s="89" t="str">
        <x:f>IF('Сессия S02 — анатомия'!$B$4&lt;&gt;"READY","LOCKED",IF(OR(C23="",D23=""),"SET MIX","READY"))</x:f>
        <x:v>LOCKED</x:v>
      </x:c>
    </x:row>
    <x:row r="24">
      <x:c r="A24" s="89" t="str">
        <x:v>A07</x:v>
      </x:c>
      <x:c r="B24" s="89" t="str">
        <x:v>Грудь → брюхо 1:1</x:v>
      </x:c>
      <x:c r="C24" s="722" t="str">
        <x:f>IF(D5="","",D5)</x:f>
      </x:c>
      <x:c r="D24" s="722" t="str">
        <x:f>IF(D9="","",D9)</x:f>
        <x:v>Rakarth Flesh</x:v>
      </x:c>
      <x:c r="E24" s="89" t="n">
        <x:v>1</x:v>
      </x:c>
      <x:c r="F24" s="89" t="n">
        <x:v>1</x:v>
      </x:c>
      <x:c r="G24" s="89"/>
      <x:c r="H24" s="89" t="n">
        <x:f>IF(COUNT(E24:G24)=0,"",SUM(E24:G24))</x:f>
        <x:v>2</x:v>
      </x:c>
      <x:c r="I24" s="708" t="n">
        <x:f>IF(OR(H24="",H24=0),"",G24/H24)</x:f>
        <x:v>0</x:v>
      </x:c>
      <x:c r="J24" s="89" t="str">
        <x:v>Кисть</x:v>
      </x:c>
      <x:c r="K24" s="89" t="str">
        <x:v>Центр перехода</x:v>
      </x:c>
      <x:c r="L24" s="89" t="str">
        <x:f>IF('Сессия S02 — анатомия'!$B$4&lt;&gt;"READY","LOCKED",IF(OR(C24="",D24=""),"SET MIX","READY"))</x:f>
        <x:v>LOCKED</x:v>
      </x:c>
    </x:row>
    <x:row r="25">
      <x:c r="A25" s="89" t="str">
        <x:v>A08</x:v>
      </x:c>
      <x:c r="B25" s="89" t="str">
        <x:v>Грудь → брюхо 1:3</x:v>
      </x:c>
      <x:c r="C25" s="722" t="str">
        <x:f>IF(D5="","",D5)</x:f>
      </x:c>
      <x:c r="D25" s="722" t="str">
        <x:f>IF(D9="","",D9)</x:f>
        <x:v>Rakarth Flesh</x:v>
      </x:c>
      <x:c r="E25" s="89" t="n">
        <x:v>1</x:v>
      </x:c>
      <x:c r="F25" s="89" t="n">
        <x:v>3</x:v>
      </x:c>
      <x:c r="G25" s="89"/>
      <x:c r="H25" s="89" t="n">
        <x:f>IF(COUNT(E25:G25)=0,"",SUM(E25:G25))</x:f>
        <x:v>4</x:v>
      </x:c>
      <x:c r="I25" s="708" t="n">
        <x:f>IF(OR(H25="",H25=0),"",G25/H25)</x:f>
        <x:v>0</x:v>
      </x:c>
      <x:c r="J25" s="89" t="str">
        <x:v>Кисть</x:v>
      </x:c>
      <x:c r="K25" s="89" t="str">
        <x:v>Низ перехода</x:v>
      </x:c>
      <x:c r="L25" s="89" t="str">
        <x:f>IF('Сессия S02 — анатомия'!$B$4&lt;&gt;"READY","LOCKED",IF(OR(C25="",D25=""),"SET MIX","READY"))</x:f>
        <x:v>LOCKED</x:v>
      </x:c>
    </x:row>
    <x:row r="26">
      <x:c r="A26" s="89" t="str">
        <x:v>A09</x:v>
      </x:c>
      <x:c r="B26" s="89" t="str">
        <x:v>Объединяющая skin glaze</x:v>
      </x:c>
      <x:c r="C26" s="722" t="str">
        <x:f>IF(D5="","",D5)</x:f>
      </x:c>
      <x:c r="D26" s="722" t="str">
        <x:v>Lahmian Medium</x:v>
      </x:c>
      <x:c r="E26" s="89"/>
      <x:c r="F26" s="89"/>
      <x:c r="G26" s="89"/>
      <x:c r="H26" s="89" t="str">
        <x:f>IF(COUNT(E26:G26)=0,"",SUM(E26:G26))</x:f>
      </x:c>
      <x:c r="I26" s="708" t="str">
        <x:f>IF(OR(H26="",H26=0),"",G26/H26)</x:f>
      </x:c>
      <x:c r="J26" s="89" t="str">
        <x:v>Кисть</x:v>
      </x:c>
      <x:c r="K26" s="89" t="str">
        <x:v>Границы зон</x:v>
      </x:c>
      <x:c r="L26" s="89" t="str">
        <x:f>IF('Сессия S02 — анатомия'!$B$4&lt;&gt;"READY","LOCKED",IF(OR(C26="",D26=""),"SET MIX","READY"))</x:f>
        <x:v>LOCKED</x:v>
      </x:c>
    </x:row>
  </x:sheetData>
  <x:mergeCells>
    <x:mergeCell ref="A1:H1"/>
    <x:mergeCell ref="A2:H2"/>
  </x:mergeCells>
  <x:conditionalFormatting sqref="L18:L26">
    <x:cfRule type="expression" dxfId="156" priority="1">
      <x:formula>L18="READY"</x:formula>
    </x:cfRule>
    <x:cfRule type="expression" dxfId="157" priority="2">
      <x:formula>L18="SET MIX"</x:formula>
    </x:cfRule>
    <x:cfRule type="expression" dxfId="158" priority="3">
      <x:formula>L18="LOCKED"</x:formula>
    </x:cfRule>
  </x:conditionalFormatting>
  <x:dataValidations count="4">
    <x:dataValidation type="list" sqref="C5:C14">
      <x:formula1>'Инвентаризация'!$D$2:$D$260</x:formula1>
    </x:dataValidation>
    <x:dataValidation type="list" sqref="C18:D26">
      <x:formula1>'Инвентаризация'!$D$2:$D$260</x:formula1>
    </x:dataValidation>
    <x:dataValidation operator="between" sqref="E18:G26">
      <x:formula1>0</x:formula1>
      <x:formula2>100</x:formula2>
    </x:dataValidation>
    <x:dataValidation type="list" sqref="J18:J26">
      <x:formula1>"Кисть,Аэрограф,Гибрид"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72c3ed9a472c411a"/>
    <x:tablePart xmlns:r="http://schemas.openxmlformats.org/officeDocument/2006/relationships" r:id="R7be20624280c40bc"/>
  </x:tableParts>
</x:worksheet>
</file>

<file path=xl/worksheets/sheet6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6" hidden="0" customWidth="1"/>
    <x:col min="3" max="3" width="39" hidden="0" customWidth="1"/>
    <x:col min="4" max="4" width="39" hidden="0" customWidth="1"/>
    <x:col min="5" max="5" width="28" hidden="0" customWidth="1"/>
    <x:col min="6" max="6" width="32" hidden="0" customWidth="1"/>
    <x:col min="7" max="7" width="45" hidden="0" customWidth="1"/>
    <x:col min="8" max="8" width="17" hidden="0" customWidth="1"/>
    <x:col min="9" max="9" width="25" hidden="0" customWidth="1"/>
    <x:col min="10" max="10" width="14" hidden="0" customWidth="1"/>
    <x:col min="11" max="11" width="38" hidden="0" customWidth="1"/>
  </x:cols>
  <x:sheetData>
    <x:row r="1" ht="38" customHeight="1">
      <x:c r="A1" s="729" t="str">
        <x:v>Карта анатомии S02: большие формы до фактуры</x:v>
      </x:c>
      <x:c r="B1" s="729"/>
      <x:c r="C1" s="729"/>
      <x:c r="D1" s="729"/>
      <x:c r="E1" s="729"/>
      <x:c r="F1" s="729"/>
      <x:c r="G1" s="729"/>
      <x:c r="H1" s="729"/>
      <x:c r="I1" s="729"/>
      <x:c r="J1" s="729"/>
      <x:c r="K1" s="729"/>
    </x:row>
    <x:row r="2" ht="40" customHeight="1">
      <x:c r="A2" s="732" t="str">
        <x:v>Карта описывает не медицинскую детализацию, а читаемые покрасочные массы. В S02 каждая форма получает одну основную тень и одну световую плоскость.</x:v>
      </x:c>
      <x:c r="B2" s="732"/>
      <x:c r="C2" s="732"/>
      <x:c r="D2" s="732"/>
      <x:c r="E2" s="732"/>
      <x:c r="F2" s="732"/>
      <x:c r="G2" s="732"/>
      <x:c r="H2" s="732"/>
      <x:c r="I2" s="732"/>
      <x:c r="J2" s="732"/>
      <x:c r="K2" s="732"/>
    </x:row>
    <x:row r="4">
      <x:c r="A4" s="746" t="str">
        <x:v>Значение</x:v>
      </x:c>
      <x:c r="B4" s="746" t="str">
        <x:v>Роль</x:v>
      </x:c>
      <x:c r="C4" s="746" t="str">
        <x:v>Площадь</x:v>
      </x:c>
      <x:c r="D4" s="746" t="str">
        <x:v>Где обязательно</x:v>
      </x:c>
      <x:c r="E4" s="746" t="str">
        <x:v>Не использовать</x:v>
      </x:c>
    </x:row>
    <x:row r="5">
      <x:c r="A5" s="745" t="n">
        <x:v>1</x:v>
      </x:c>
      <x:c r="B5" s="745" t="str">
        <x:v>Глубочайшая тень</x:v>
      </x:c>
      <x:c r="C5" s="745" t="str">
        <x:v>Очень мало</x:v>
      </x:c>
      <x:c r="D5" s="745" t="str">
        <x:v>Подмышка, грудина, между лопатками</x:v>
      </x:c>
      <x:c r="E5" s="745" t="str">
        <x:v>Широкая обводка</x:v>
      </x:c>
    </x:row>
    <x:row r="6">
      <x:c r="A6" s="745" t="n">
        <x:v>2</x:v>
      </x:c>
      <x:c r="B6" s="745" t="str">
        <x:v>Теневая плоскость</x:v>
      </x:c>
      <x:c r="C6" s="745" t="str">
        <x:v>20–30%</x:v>
      </x:c>
      <x:c r="D6" s="745" t="str">
        <x:v>Теневая сторона форм</x:v>
      </x:c>
      <x:c r="E6" s="745" t="str">
        <x:v>Одинаково вокруг каждой мышцы</x:v>
      </x:c>
    </x:row>
    <x:row r="7">
      <x:c r="A7" s="745" t="n">
        <x:v>3</x:v>
      </x:c>
      <x:c r="B7" s="745" t="str">
        <x:v>Основной midtone</x:v>
      </x:c>
      <x:c r="C7" s="745" t="str">
        <x:v>40–60%</x:v>
      </x:c>
      <x:c r="D7" s="745" t="str">
        <x:v>Главная масса кожи</x:v>
      </x:c>
      <x:c r="E7" s="745" t="str">
        <x:v>Сводить до узкой полосы</x:v>
      </x:c>
    </x:row>
    <x:row r="8">
      <x:c r="A8" s="745" t="n">
        <x:v>4</x:v>
      </x:c>
      <x:c r="B8" s="745" t="str">
        <x:v>Световая плоскость</x:v>
      </x:c>
      <x:c r="C8" s="745" t="str">
        <x:v>15–25%</x:v>
      </x:c>
      <x:c r="D8" s="745" t="str">
        <x:v>Сторона ключевого света</x:v>
      </x:c>
      <x:c r="E8" s="745" t="str">
        <x:v>Симметрично на обеих сторонах</x:v>
      </x:c>
    </x:row>
    <x:row r="9">
      <x:c r="A9" s="745" t="n">
        <x:v>5</x:v>
      </x:c>
      <x:c r="B9" s="745" t="str">
        <x:v>Редкий максимум</x:v>
      </x:c>
      <x:c r="C9" s="745" t="str">
        <x:v>&lt;5%</x:v>
      </x:c>
      <x:c r="D9" s="745" t="str">
        <x:v>Ключицы, верх плеча, будущий фокус</x:v>
      </x:c>
      <x:c r="E9" s="745" t="str">
        <x:v>По всей анатомии</x:v>
      </x:c>
    </x:row>
    <x:row r="12" ht="48" customHeight="1">
      <x:c r="A12" s="749" t="str">
        <x:v>Зона</x:v>
      </x:c>
      <x:c r="B12" s="749" t="str">
        <x:v>Форма</x:v>
      </x:c>
      <x:c r="C12" s="749" t="str">
        <x:v>Основная тень</x:v>
      </x:c>
      <x:c r="D12" s="749" t="str">
        <x:v>Световая плоскость</x:v>
      </x:c>
      <x:c r="E12" s="749" t="str">
        <x:v>Максимум</x:v>
      </x:c>
      <x:c r="F12" s="749" t="str">
        <x:v>Связь</x:v>
      </x:c>
      <x:c r="G12" s="749" t="str">
        <x:v>Не делать</x:v>
      </x:c>
      <x:c r="H12" s="749" t="str">
        <x:v>Recipe ID</x:v>
      </x:c>
      <x:c r="I12" s="749" t="str">
        <x:v>Контрольный ракурс</x:v>
      </x:c>
      <x:c r="J12" s="749" t="str">
        <x:v>Статус</x:v>
      </x:c>
      <x:c r="K12" s="749" t="str">
        <x:v>Примечание</x:v>
      </x:c>
    </x:row>
    <x:row r="13">
      <x:c r="A13" s="89" t="str">
        <x:v>Грудь</x:v>
      </x:c>
      <x:c r="B13" s="89" t="str">
        <x:v>2–4 наклонные плоскости</x:v>
      </x:c>
      <x:c r="C13" s="89" t="str">
        <x:v>Низ груди и грудина</x:v>
      </x:c>
      <x:c r="D13" s="89" t="str">
        <x:v>Верхняя плоскость со стороны света</x:v>
      </x:c>
      <x:c r="E13" s="89" t="str">
        <x:v>Верхний изгиб</x:v>
      </x:c>
      <x:c r="F13" s="89" t="str">
        <x:v>Ключицы, дельты, брюхо</x:v>
      </x:c>
      <x:c r="G13" s="89" t="str">
        <x:v>Обводить каждый сегмент</x:v>
      </x:c>
      <x:c r="H13" s="89" t="n">
        <x:v>484</x:v>
      </x:c>
      <x:c r="I13" s="89" t="str">
        <x:v>Фронт</x:v>
      </x:c>
      <x:c r="J13" s="89" t="str">
        <x:f>IF('Сессия S02 — анатомия'!$B$4="READY","READY","LOCKED")</x:f>
        <x:v>LOCKED</x:v>
      </x:c>
      <x:c r="K13" s="89" t="str"/>
    </x:row>
    <x:row r="14">
      <x:c r="A14" s="89" t="str">
        <x:v>Грудина/ключицы</x:v>
      </x:c>
      <x:c r="B14" s="89" t="str">
        <x:v>Прерывистая ось и гребни</x:v>
      </x:c>
      <x:c r="C14" s="89" t="str">
        <x:v>По бокам оси</x:v>
      </x:c>
      <x:c r="D14" s="89" t="str">
        <x:v>Верх ключиц</x:v>
      </x:c>
      <x:c r="E14" s="89" t="str">
        <x:v>Точки у центра света</x:v>
      </x:c>
      <x:c r="F14" s="89" t="str">
        <x:v>Шея и грудь</x:v>
      </x:c>
      <x:c r="G14" s="89" t="str">
        <x:v>Белая непрерывная линия</x:v>
      </x:c>
      <x:c r="H14" s="89" t="n">
        <x:v>485</x:v>
      </x:c>
      <x:c r="I14" s="89" t="str">
        <x:v>Фронт/сверху</x:v>
      </x:c>
      <x:c r="J14" s="89" t="str">
        <x:f>IF('Сессия S02 — анатомия'!$B$4="READY","READY","LOCKED")</x:f>
        <x:v>LOCKED</x:v>
      </x:c>
      <x:c r="K14" s="89" t="str"/>
    </x:row>
    <x:row r="15">
      <x:c r="A15" s="89" t="str">
        <x:v>Дельты</x:v>
      </x:c>
      <x:c r="B15" s="89" t="str">
        <x:v>Единая сфера</x:v>
      </x:c>
      <x:c r="C15" s="89" t="str">
        <x:v>Низ и стык с грудью</x:v>
      </x:c>
      <x:c r="D15" s="89" t="str">
        <x:v>Верхняя дуга</x:v>
      </x:c>
      <x:c r="E15" s="89" t="str">
        <x:v>Малая дуга</x:v>
      </x:c>
      <x:c r="F15" s="89" t="str">
        <x:v>Грудь и рука</x:v>
      </x:c>
      <x:c r="G15" s="89" t="str">
        <x:v>Три тёмных разделения</x:v>
      </x:c>
      <x:c r="H15" s="89" t="n">
        <x:v>486</x:v>
      </x:c>
      <x:c r="I15" s="89" t="str">
        <x:v>Профиль</x:v>
      </x:c>
      <x:c r="J15" s="89" t="str">
        <x:f>IF('Сессия S02 — анатомия'!$B$4="READY","READY","LOCKED")</x:f>
        <x:v>LOCKED</x:v>
      </x:c>
      <x:c r="K15" s="89" t="str"/>
    </x:row>
    <x:row r="16">
      <x:c r="A16" s="89" t="str">
        <x:v>Бицепс/трицепс</x:v>
      </x:c>
      <x:c r="B16" s="89" t="str">
        <x:v>Две продольные массы</x:v>
      </x:c>
      <x:c r="C16" s="89" t="str">
        <x:v>Глубокий внутренний стык</x:v>
      </x:c>
      <x:c r="D16" s="89" t="str">
        <x:v>Одна доминирующая световая масса</x:v>
      </x:c>
      <x:c r="E16" s="89" t="str">
        <x:v>Верхний изгиб</x:v>
      </x:c>
      <x:c r="F16" s="89" t="str">
        <x:v>Дельта и предплечье</x:v>
      </x:c>
      <x:c r="G16" s="89" t="str">
        <x:v>Зеркальные света</x:v>
      </x:c>
      <x:c r="H16" s="89" t="n">
        <x:v>487</x:v>
      </x:c>
      <x:c r="I16" s="89" t="str">
        <x:v>Оба профиля</x:v>
      </x:c>
      <x:c r="J16" s="89" t="str">
        <x:f>IF('Сессия S02 — анатомия'!$B$4="READY","READY","LOCKED")</x:f>
        <x:v>LOCKED</x:v>
      </x:c>
      <x:c r="K16" s="89" t="str"/>
    </x:row>
    <x:row r="17">
      <x:c r="A17" s="89" t="str">
        <x:v>Подмышка</x:v>
      </x:c>
      <x:c r="B17" s="89" t="str">
        <x:v>Глубокая воронка</x:v>
      </x:c>
      <x:c r="C17" s="89" t="str">
        <x:v>Центр</x:v>
      </x:c>
      <x:c r="D17" s="89" t="str">
        <x:v>Передний натянутый край</x:v>
      </x:c>
      <x:c r="E17" s="89" t="str">
        <x:v>Редко</x:v>
      </x:c>
      <x:c r="F17" s="89" t="str">
        <x:v>Грудь и рука</x:v>
      </x:c>
      <x:c r="G17" s="89" t="str">
        <x:v>Чёрная дыра</x:v>
      </x:c>
      <x:c r="H17" s="89" t="n">
        <x:v>488</x:v>
      </x:c>
      <x:c r="I17" s="89" t="str">
        <x:v>Профиль/снизу</x:v>
      </x:c>
      <x:c r="J17" s="89" t="str">
        <x:f>IF('Сессия S02 — анатомия'!$B$4="READY","READY","LOCKED")</x:f>
        <x:v>LOCKED</x:v>
      </x:c>
      <x:c r="K17" s="89" t="str"/>
    </x:row>
    <x:row r="18">
      <x:c r="A18" s="89" t="str">
        <x:v>Шея/трапеции</x:v>
      </x:c>
      <x:c r="B18" s="89" t="str">
        <x:v>Две направляющие к голове</x:v>
      </x:c>
      <x:c r="C18" s="89" t="str">
        <x:v>Под челюстью и у основания</x:v>
      </x:c>
      <x:c r="D18" s="89" t="str">
        <x:v>Верхние гребни</x:v>
      </x:c>
      <x:c r="E18" s="89" t="str">
        <x:v>Ближе к лицу</x:v>
      </x:c>
      <x:c r="F18" s="89" t="str">
        <x:v>Голова и спина</x:v>
      </x:c>
      <x:c r="G18" s="89" t="str">
        <x:v>Ярче лица</x:v>
      </x:c>
      <x:c r="H18" s="89" t="n">
        <x:v>489</x:v>
      </x:c>
      <x:c r="I18" s="89" t="str">
        <x:v>Фронт/спина</x:v>
      </x:c>
      <x:c r="J18" s="89" t="str">
        <x:f>IF('Сессия S02 — анатомия'!$B$4="READY","READY","LOCKED")</x:f>
        <x:v>LOCKED</x:v>
      </x:c>
      <x:c r="K18" s="89" t="str"/>
    </x:row>
    <x:row r="19">
      <x:c r="A19" s="89" t="str">
        <x:v>Лопатки</x:v>
      </x:c>
      <x:c r="B19" s="89" t="str">
        <x:v>Две большие плоскости</x:v>
      </x:c>
      <x:c r="C19" s="89" t="str">
        <x:v>Между ними и под крыльями</x:v>
      </x:c>
      <x:c r="D19" s="89" t="str">
        <x:v>Световая лопатка</x:v>
      </x:c>
      <x:c r="E19" s="89" t="str">
        <x:v>Верхний гребень</x:v>
      </x:c>
      <x:c r="F19" s="89" t="str">
        <x:v>Трапеции и бок</x:v>
      </x:c>
      <x:c r="G19" s="89" t="str">
        <x:v>Симметричный свет</x:v>
      </x:c>
      <x:c r="H19" s="89" t="n">
        <x:v>490</x:v>
      </x:c>
      <x:c r="I19" s="89" t="str">
        <x:v>Спина</x:v>
      </x:c>
      <x:c r="J19" s="89" t="str">
        <x:f>IF('Сессия S02 — анатомия'!$B$4="READY","READY","LOCKED")</x:f>
        <x:v>LOCKED</x:v>
      </x:c>
      <x:c r="K19" s="89" t="str"/>
    </x:row>
    <x:row r="20">
      <x:c r="A20" s="89" t="str">
        <x:v>Бок/широчайшие</x:v>
      </x:c>
      <x:c r="B20" s="89" t="str">
        <x:v>Большая теневая плоскость</x:v>
      </x:c>
      <x:c r="C20" s="89" t="str">
        <x:v>Низ и задняя сторона</x:v>
      </x:c>
      <x:c r="D20" s="89" t="str">
        <x:v>Узкая верхняя зона</x:v>
      </x:c>
      <x:c r="E20" s="89" t="str">
        <x:v>Редко</x:v>
      </x:c>
      <x:c r="F20" s="89" t="str">
        <x:v>Грудь, спина, брюхо</x:v>
      </x:c>
      <x:c r="G20" s="89" t="str">
        <x:v>Слишком широкий свет</x:v>
      </x:c>
      <x:c r="H20" s="89" t="n">
        <x:v>491</x:v>
      </x:c>
      <x:c r="I20" s="89" t="str">
        <x:v>Профиль</x:v>
      </x:c>
      <x:c r="J20" s="89" t="str">
        <x:f>IF('Сессия S02 — анатомия'!$B$4="READY","READY","LOCKED")</x:f>
        <x:v>LOCKED</x:v>
      </x:c>
      <x:c r="K20" s="89" t="str"/>
    </x:row>
    <x:row r="21">
      <x:c r="A21" s="89" t="str">
        <x:v>Рёбра</x:v>
      </x:c>
      <x:c r="B21" s="89" t="str">
        <x:v>Намёк короткими дугами</x:v>
      </x:c>
      <x:c r="C21" s="89" t="str">
        <x:v>Под нижней дугой</x:v>
      </x:c>
      <x:c r="D21" s="89" t="str">
        <x:v>1–2 верхние дуги</x:v>
      </x:c>
      <x:c r="E21" s="89" t="str">
        <x:v>Редкие точки</x:v>
      </x:c>
      <x:c r="F21" s="89" t="str">
        <x:v>Бок торса</x:v>
      </x:c>
      <x:c r="G21" s="89" t="str">
        <x:v>Параллельные полосы</x:v>
      </x:c>
      <x:c r="H21" s="89" t="n">
        <x:v>492</x:v>
      </x:c>
      <x:c r="I21" s="89" t="str">
        <x:v>Профиль</x:v>
      </x:c>
      <x:c r="J21" s="89" t="str">
        <x:f>IF('Сессия S02 — анатомия'!$B$4="READY","READY","LOCKED")</x:f>
        <x:v>LOCKED</x:v>
      </x:c>
      <x:c r="K21" s="89" t="str"/>
    </x:row>
    <x:row r="22">
      <x:c r="A22" s="89" t="str">
        <x:v>Мягкое брюхо</x:v>
      </x:c>
      <x:c r="B22" s="89" t="str">
        <x:v>Одна мягкая выпуклая масса</x:v>
      </x:c>
      <x:c r="C22" s="89" t="str">
        <x:v>Нижние складки</x:v>
      </x:c>
      <x:c r="D22" s="89" t="str">
        <x:v>Центр countershade</x:v>
      </x:c>
      <x:c r="E22" s="89" t="str">
        <x:v>Верхняя натянутая часть</x:v>
      </x:c>
      <x:c r="F22" s="89" t="str">
        <x:v>Бок и грудь</x:v>
      </x:c>
      <x:c r="G22" s="89" t="str">
        <x:v>Ярче плеч</x:v>
      </x:c>
      <x:c r="H22" s="89" t="n">
        <x:v>493</x:v>
      </x:c>
      <x:c r="I22" s="89" t="str">
        <x:v>Фронт/сверху</x:v>
      </x:c>
      <x:c r="J22" s="89" t="str">
        <x:f>IF('Сессия S02 — анатомия'!$B$4="READY","READY","LOCKED")</x:f>
        <x:v>LOCKED</x:v>
      </x:c>
      <x:c r="K22" s="89" t="str"/>
    </x:row>
    <x:row r="23">
      <x:c r="A23" s="89" t="str">
        <x:v>Косые мышцы</x:v>
      </x:c>
      <x:c r="B23" s="89" t="str">
        <x:v>Мягкие диагонали</x:v>
      </x:c>
      <x:c r="C23" s="89" t="str">
        <x:v>1–2 глубокие диагонали</x:v>
      </x:c>
      <x:c r="D23" s="89" t="str">
        <x:v>Верхняя сторона складки</x:v>
      </x:c>
      <x:c r="E23" s="89" t="str">
        <x:v>Редко</x:v>
      </x:c>
      <x:c r="F23" s="89" t="str">
        <x:v>Брюхо и бок</x:v>
      </x:c>
      <x:c r="G23" s="89" t="str">
        <x:v>Жёсткая сетка</x:v>
      </x:c>
      <x:c r="H23" s="89" t="n">
        <x:v>494</x:v>
      </x:c>
      <x:c r="I23" s="89" t="str">
        <x:v>Профиль</x:v>
      </x:c>
      <x:c r="J23" s="89" t="str">
        <x:f>IF('Сессия S02 — анатомия'!$B$4="READY","READY","LOCKED")</x:f>
        <x:v>LOCKED</x:v>
      </x:c>
      <x:c r="K23" s="89" t="str"/>
    </x:row>
    <x:row r="24">
      <x:c r="A24" s="89" t="str">
        <x:v>Пупок/складки</x:v>
      </x:c>
      <x:c r="B24" s="89" t="str">
        <x:v>Локальная точка и мягкие складки</x:v>
      </x:c>
      <x:c r="C24" s="89" t="str">
        <x:v>Пупок</x:v>
      </x:c>
      <x:c r="D24" s="89" t="str">
        <x:v>Верх складки</x:v>
      </x:c>
      <x:c r="E24" s="89" t="str">
        <x:v>Натянутая кожа</x:v>
      </x:c>
      <x:c r="F24" s="89" t="str">
        <x:v>Центр брюха</x:v>
      </x:c>
      <x:c r="G24" s="89" t="str">
        <x:v>Чёрное отверстие</x:v>
      </x:c>
      <x:c r="H24" s="89" t="n">
        <x:v>495</x:v>
      </x:c>
      <x:c r="I24" s="89" t="str">
        <x:v>Фронт</x:v>
      </x:c>
      <x:c r="J24" s="89" t="str">
        <x:f>IF('Сессия S02 — анатомия'!$B$4="READY","READY","LOCKED")</x:f>
        <x:v>LOCKED</x:v>
      </x:c>
      <x:c r="K24" s="89" t="str"/>
    </x:row>
    <x:row r="25">
      <x:c r="A25" s="89" t="str">
        <x:v>Грудь → брюхо</x:v>
      </x:c>
      <x:c r="B25" s="89" t="str">
        <x:v>Три переходные полосы</x:v>
      </x:c>
      <x:c r="C25" s="89" t="str">
        <x:v>Боковая граница</x:v>
      </x:c>
      <x:c r="D25" s="89" t="str">
        <x:v>Единый свет через обе зоны</x:v>
      </x:c>
      <x:c r="E25" s="89" t="str">
        <x:v>Верх перехода</x:v>
      </x:c>
      <x:c r="F25" s="89" t="str">
        <x:v>Вся передняя масса</x:v>
      </x:c>
      <x:c r="G25" s="89" t="str">
        <x:v>Белая вставка</x:v>
      </x:c>
      <x:c r="H25" s="89" t="n">
        <x:v>496</x:v>
      </x:c>
      <x:c r="I25" s="89" t="str">
        <x:v>Фронт</x:v>
      </x:c>
      <x:c r="J25" s="89" t="str">
        <x:f>IF('Сессия S02 — анатомия'!$B$4="READY","READY","LOCKED")</x:f>
        <x:v>LOCKED</x:v>
      </x:c>
      <x:c r="K25" s="89" t="str"/>
    </x:row>
  </x:sheetData>
  <x:mergeCells>
    <x:mergeCell ref="A1:K1"/>
    <x:mergeCell ref="A2:K2"/>
  </x:mergeCells>
  <x:conditionalFormatting sqref="A5:A9">
    <x:cfRule type="colorScale" priority="1">
      <x:colorScale>
        <x:cfvo type="min"/>
        <x:cfvo type="percentile" val="50"/>
        <x:cfvo type="max"/>
        <x:color rgb="FF111827"/>
        <x:color rgb="FF94A3B8"/>
        <x:color rgb="FFF8FAFC"/>
      </x:colorScale>
    </x:cfRule>
  </x:conditionalFormatting>
  <x:conditionalFormatting sqref="J13:J25">
    <x:cfRule type="expression" dxfId="159" priority="2">
      <x:formula>J13="READY"</x:formula>
    </x:cfRule>
    <x:cfRule type="expression" dxfId="160" priority="3">
      <x:formula>J13="LOCKED"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ae8d261679d4f28"/>
  </x:tableParts>
</x:worksheet>
</file>

<file path=xl/worksheets/sheet6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7" hidden="0" customWidth="1"/>
    <x:col min="3" max="3" width="30" hidden="0" customWidth="1"/>
    <x:col min="4" max="4" width="64" hidden="0" customWidth="1"/>
    <x:col min="5" max="5" width="84" hidden="0" customWidth="1"/>
    <x:col min="6" max="6" width="90" hidden="0" customWidth="1"/>
  </x:cols>
  <x:sheetData>
    <x:row r="1" ht="38" customHeight="1">
      <x:c r="A1" s="729" t="str">
        <x:v>Семнадцатый проход: заблокированный модуль S02 — крупная анатомия</x:v>
      </x:c>
      <x:c r="B1" s="729"/>
      <x:c r="C1" s="729"/>
      <x:c r="D1" s="729"/>
      <x:c r="E1" s="729"/>
      <x:c r="F1" s="729"/>
    </x:row>
    <x:row r="3">
      <x:c r="A3" s="734" t="str">
        <x:v>Показатель</x:v>
      </x:c>
      <x:c r="B3" s="734" t="str">
        <x:v>Результат</x:v>
      </x:c>
    </x:row>
    <x:row r="4">
      <x:c r="A4" s="745" t="str">
        <x:v>Рецептов до прохода</x:v>
      </x:c>
      <x:c r="B4" s="755" t="n">
        <x:v>480</x:v>
      </x:c>
    </x:row>
    <x:row r="5">
      <x:c r="A5" s="745" t="str">
        <x:v>Новых рецептов</x:v>
      </x:c>
      <x:c r="B5" s="755" t="n">
        <x:v>30</x:v>
      </x:c>
    </x:row>
    <x:row r="6">
      <x:c r="A6" s="745" t="str">
        <x:v>Рецептов после прохода</x:v>
      </x:c>
      <x:c r="B6" s="755" t="n">
        <x:v>510</x:v>
      </x:c>
    </x:row>
    <x:row r="7">
      <x:c r="A7" s="745" t="str">
        <x:v>Текущий статус S02</x:v>
      </x:c>
      <x:c r="B7" s="755" t="str">
        <x:f>'Сессия S02 — анатомия'!B4</x:f>
        <x:v>LOCKED</x:v>
      </x:c>
    </x:row>
    <x:row r="8">
      <x:c r="A8" s="745" t="str">
        <x:v>Условие разблокировки</x:v>
      </x:c>
      <x:c r="B8" s="755" t="str">
        <x:v>S01 = CLOSE S01</x:v>
      </x:c>
    </x:row>
    <x:row r="9">
      <x:c r="A9" s="745" t="str">
        <x:v>Анатомических зон</x:v>
      </x:c>
      <x:c r="B9" s="755" t="n">
        <x:v>12</x:v>
      </x:c>
    </x:row>
    <x:row r="10">
      <x:c r="A10" s="745" t="str">
        <x:v>Оцениваемых параметров зоны</x:v>
      </x:c>
      <x:c r="B10" s="755" t="str">
        <x:v>Анатомия / свет / мягкость</x:v>
      </x:c>
    </x:row>
    <x:row r="11">
      <x:c r="A11" s="745" t="str">
        <x:v>Порог PASS</x:v>
      </x:c>
      <x:c r="B11" s="755" t="str">
        <x:v>4 / 4 / 3</x:v>
      </x:c>
    </x:row>
    <x:row r="12">
      <x:c r="A12" s="745" t="str">
        <x:v>Пятиуровневый gate</x:v>
      </x:c>
      <x:c r="B12" s="755" t="str">
        <x:v>Уровни 1–4 обязательны; уровень 5 &lt;5%</x:v>
      </x:c>
    </x:row>
    <x:row r="13">
      <x:c r="A13" s="745" t="str">
        <x:v>Ролевых красок S02</x:v>
      </x:c>
      <x:c r="B13" s="755" t="n">
        <x:v>10</x:v>
      </x:c>
    </x:row>
    <x:row r="14">
      <x:c r="A14" s="745" t="str">
        <x:v>Замесов S02</x:v>
      </x:c>
      <x:c r="B14" s="755" t="n">
        <x:v>9</x:v>
      </x:c>
    </x:row>
    <x:row r="15">
      <x:c r="A15" s="745" t="str">
        <x:v>Контрольных ракурсов</x:v>
      </x:c>
      <x:c r="B15" s="755" t="str">
        <x:v>Фронт / оба профиля / спина / grayscale</x:v>
      </x:c>
    </x:row>
    <x:row r="16">
      <x:c r="A16" s="745" t="str">
        <x:v>Навигатор обновлён</x:v>
      </x:c>
      <x:c r="B16" s="755" t="str">
        <x:v>Recipe ID 1–510</x:v>
      </x:c>
    </x:row>
    <x:row r="17">
      <x:c r="A17" s="745" t="str">
        <x:v>Ключевой принцип</x:v>
      </x:c>
      <x:c r="B17" s="745" t="str">
        <x:v>Фактура S03 наносится только поверх подтверждённой крупной анатомии S02</x:v>
      </x:c>
    </x:row>
    <x:row r="20">
      <x:c r="A20" s="749" t="str">
        <x:v>ID</x:v>
      </x:c>
      <x:c r="B20" s="749" t="str">
        <x:v>Область</x:v>
      </x:c>
      <x:c r="C20" s="749" t="str">
        <x:v>Статус</x:v>
      </x:c>
      <x:c r="D20" s="749" t="str">
        <x:v>Что обнаружено</x:v>
      </x:c>
      <x:c r="E20" s="749" t="str">
        <x:v>Действие</x:v>
      </x:c>
      <x:c r="F20" s="749" t="str">
        <x:v>Основание</x:v>
      </x:c>
    </x:row>
    <x:row r="21">
      <x:c r="A21" s="89" t="str">
        <x:v>AUD17-01</x:v>
      </x:c>
      <x:c r="B21" s="89" t="str">
        <x:v>Dependency gate</x:v>
      </x:c>
      <x:c r="C21" s="89" t="str">
        <x:v>Добавлено</x:v>
      </x:c>
      <x:c r="D21" s="89" t="str">
        <x:v>S02 ранее существовала только как строка плана и могла быть начата вручную до S01.</x:v>
      </x:c>
      <x:c r="E21" s="89" t="str">
        <x:v>Лист S02 автоматически показывает LOCKED, пока итог S01 не станет CLOSE S01.</x:v>
      </x:c>
      <x:c r="F21" s="89" t="str">
        <x:v>Формула доступа B4 и recipe 481.</x:v>
      </x:c>
    </x:row>
    <x:row r="22">
      <x:c r="A22" s="89" t="str">
        <x:v>AUD17-02</x:v>
      </x:c>
      <x:c r="B22" s="89" t="str">
        <x:v>Крупная анатомия</x:v>
      </x:c>
      <x:c r="C22" s="89" t="str">
        <x:v>Систематизировано</x:v>
      </x:c>
      <x:c r="D22" s="89" t="str">
        <x:v>Рецепты груди и брюха не покрывали все связанные массы.</x:v>
      </x:c>
      <x:c r="E22" s="89" t="str">
        <x:v>Добавлены грудь, ключицы, дельты, руки, подмышки, трапеции, лопатки, бок, рёбра и мягкое брюхо.</x:v>
      </x:c>
      <x:c r="F22" s="89" t="str">
        <x:v>Рецепты 484–496.</x:v>
      </x:c>
    </x:row>
    <x:row r="23">
      <x:c r="A23" s="89" t="str">
        <x:v>AUD17-03</x:v>
      </x:c>
      <x:c r="B23" s="89" t="str">
        <x:v>Масштаб модели</x:v>
      </x:c>
      <x:c r="C23" s="89" t="str">
        <x:v>Уточнено</x:v>
      </x:c>
      <x:c r="D23" s="89" t="str">
        <x:v>Мелкие мышечные highlights могли уменьшить визуальный масштаб демон-принца.</x:v>
      </x:c>
      <x:c r="E23" s="89" t="str">
        <x:v>Каждая зона теперь имеет одну основную тень и одну крупную световую плоскость.</x:v>
      </x:c>
      <x:c r="F23" s="89" t="str">
        <x:v>Карта анатомии S02.</x:v>
      </x:c>
    </x:row>
    <x:row r="24">
      <x:c r="A24" s="89" t="str">
        <x:v>AUD17-04</x:v>
      </x:c>
      <x:c r="B24" s="89" t="str">
        <x:v>Пятиуровневые значения</x:v>
      </x:c>
      <x:c r="C24" s="89" t="str">
        <x:v>Добавлено</x:v>
      </x:c>
      <x:c r="D24" s="89" t="str">
        <x:v>Числовые оценки зон не гарантировали наличие глубины, midtone и направленного света.</x:v>
      </x:c>
      <x:c r="E24" s="89" t="str">
        <x:v>Введён отдельный gate значений 1–5 и обязательный grayscale.</x:v>
      </x:c>
      <x:c r="F24" s="89" t="str">
        <x:v>Рецепты 483, 507.</x:v>
      </x:c>
    </x:row>
    <x:row r="25">
      <x:c r="A25" s="89" t="str">
        <x:v>AUD17-05</x:v>
      </x:c>
      <x:c r="B25" s="89" t="str">
        <x:v>Мягкое брюхо</x:v>
      </x:c>
      <x:c r="C25" s="89" t="str">
        <x:v>Расширено</x:v>
      </x:c>
      <x:c r="D25" s="89" t="str">
        <x:v>Countershade был одним рецептом без перехода от грудной клетки.</x:v>
      </x:c>
      <x:c r="E25" s="89" t="str">
        <x:v>Добавлены косые мышцы, пупок и смеси 3:1 → 1:1 → 1:3.</x:v>
      </x:c>
      <x:c r="F25" s="89" t="str">
        <x:v>Рецепты 493–496.</x:v>
      </x:c>
    </x:row>
    <x:row r="26">
      <x:c r="A26" s="89" t="str">
        <x:v>AUD17-06</x:v>
      </x:c>
      <x:c r="B26" s="89" t="str">
        <x:v>Палитра</x:v>
      </x:c>
      <x:c r="C26" s="89" t="str">
        <x:v>Связано с S01</x:v>
      </x:c>
      <x:c r="D26" s="89" t="str">
        <x:v>Новая сессия могла случайно ввести другой основной цвет кожи.</x:v>
      </x:c>
      <x:c r="E26" s="89" t="str">
        <x:v>S02 наследует основной и светлый midtone из Палитры S01, но допускает явную замену.</x:v>
      </x:c>
      <x:c r="F26" s="89" t="str">
        <x:v>Лист «Палитра S02».</x:v>
      </x:c>
    </x:row>
    <x:row r="27">
      <x:c r="A27" s="89" t="str">
        <x:v>AUD17-07</x:v>
      </x:c>
      <x:c r="B27" s="89" t="str">
        <x:v>Коррекция анатомии</x:v>
      </x:c>
      <x:c r="C27" s="89" t="str">
        <x:v>Добавлено</x:v>
      </x:c>
      <x:c r="D27" s="89" t="str">
        <x:v>Диагностика описывала blacklining и раздробленность, но не давала отдельных восстановительных рецептов.</x:v>
      </x:c>
      <x:c r="E27" s="89" t="str">
        <x:v>Добавлены сужение тени, объединение масс, возврат объёма и исправление направления света.</x:v>
      </x:c>
      <x:c r="F27" s="89" t="str">
        <x:v>Рецепты 502–505.</x:v>
      </x:c>
    </x:row>
    <x:row r="28">
      <x:c r="A28" s="89" t="str">
        <x:v>AUD17-08</x:v>
      </x:c>
      <x:c r="B28" s="89" t="str">
        <x:v>Закрытие S02</x:v>
      </x:c>
      <x:c r="C28" s="89" t="str">
        <x:v>Добавлено</x:v>
      </x:c>
      <x:c r="D28" s="89" t="str">
        <x:v>Не было формального допуска к фактурной сессии S03.</x:v>
      </x:c>
      <x:c r="E28" s="89" t="str">
        <x:v>CLOSE S02 требует 12 PASS-зон, пятиуровневый gate и контрольные фотографии.</x:v>
      </x:c>
      <x:c r="F28" s="89" t="str">
        <x:v>Рецепты 506–510.</x:v>
      </x:c>
    </x:row>
    <x:row r="29">
      <x:c r="A29" s="89" t="str">
        <x:v>AUD17-09</x:v>
      </x:c>
      <x:c r="B29" s="89" t="str">
        <x:v>Проектные связи</x:v>
      </x:c>
      <x:c r="C29" s="89" t="str">
        <x:v>Обновлено</x:v>
      </x:c>
      <x:c r="D29" s="89" t="str">
        <x:v>Строки проекта и сессионного плана ссылались только на 422–423.</x:v>
      </x:c>
      <x:c r="E29" s="89" t="str">
        <x:v>S02 связана с рецептурой 481–510, результатом N5 и отдельными листами.</x:v>
      </x:c>
      <x:c r="F29" s="89" t="str">
        <x:v>Демон-принц — проект / Сессии демон-принца.</x:v>
      </x:c>
    </x:row>
    <x:row r="33">
      <x:c r="A33" s="743" t="str">
        <x:v>Лист</x:v>
      </x:c>
      <x:c r="B33" s="743" t="str">
        <x:v>Назначение</x:v>
      </x:c>
      <x:c r="C33" s="743" t="str">
        <x:v>Текущий результат</x:v>
      </x:c>
    </x:row>
    <x:row r="34">
      <x:c r="A34" s="745" t="str">
        <x:v>Сессия S02 — анатомия</x:v>
      </x:c>
      <x:c r="B34" s="745" t="str">
        <x:v>12 зон и автоматический gate</x:v>
      </x:c>
      <x:c r="C34" s="745" t="str">
        <x:f>'Сессия S02 — анатомия'!N5</x:f>
        <x:v>LOCKED</x:v>
      </x:c>
    </x:row>
    <x:row r="35">
      <x:c r="A35" s="745" t="str">
        <x:v>Палитра S02</x:v>
      </x:c>
      <x:c r="B35" s="745" t="str">
        <x:v>Наследование S01 и 9 замесов</x:v>
      </x:c>
      <x:c r="C35" s="745" t="str">
        <x:v>LOCKED до CLOSE S01</x:v>
      </x:c>
    </x:row>
    <x:row r="36">
      <x:c r="A36" s="745" t="str">
        <x:v>Карта анатомии S02</x:v>
      </x:c>
      <x:c r="B36" s="745" t="str">
        <x:v>Форма, тень, свет и запреты</x:v>
      </x:c>
      <x:c r="C36" s="745" t="str">
        <x:v>13 картированных областей</x:v>
      </x:c>
    </x:row>
    <x:row r="37">
      <x:c r="A37" s="745" t="str">
        <x:v>Демон-принц — проект</x:v>
      </x:c>
      <x:c r="B37" s="745" t="str">
        <x:v>Этапы 3–4</x:v>
      </x:c>
      <x:c r="C37" s="745" t="str">
        <x:v>Результат связан с S02 N5</x:v>
      </x:c>
    </x:row>
    <x:row r="38">
      <x:c r="A38" s="745" t="str">
        <x:v>Сессии демон-принца</x:v>
      </x:c>
      <x:c r="B38" s="745" t="str">
        <x:v>Строка S02</x:v>
      </x:c>
      <x:c r="C38" s="745" t="str">
        <x:v>Recipe ID 481–510</x:v>
      </x:c>
    </x:row>
    <x:row r="39">
      <x:c r="A39" s="745" t="str">
        <x:v>Тестовые карты</x:v>
      </x:c>
      <x:c r="B39" s="745" t="str">
        <x:v>Будущий test patch</x:v>
      </x:c>
      <x:c r="C39" s="745" t="str">
        <x:v>Recipe ID 482</x:v>
      </x:c>
    </x:row>
    <x:row r="40">
      <x:c r="A40" s="745" t="str">
        <x:v>Навигатор базы</x:v>
      </x:c>
      <x:c r="B40" s="745" t="str">
        <x:v>Поиск рецептов</x:v>
      </x:c>
      <x:c r="C40" s="745" t="str">
        <x:v>ID 1–510</x:v>
      </x:c>
    </x:row>
  </x:sheetData>
  <x:mergeCells>
    <x:mergeCell ref="A1:F1"/>
  </x:mergeCells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48" hidden="0" customWidth="1"/>
    <x:col min="4" max="4" width="18" hidden="0" customWidth="1"/>
    <x:col min="5" max="5" width="17" hidden="0" customWidth="1"/>
    <x:col min="6" max="6" width="17" hidden="0" customWidth="1"/>
    <x:col min="7" max="7" width="17" hidden="0" customWidth="1"/>
    <x:col min="8" max="8" width="14" hidden="0" customWidth="1"/>
    <x:col min="9" max="9" width="16" hidden="0" customWidth="1"/>
    <x:col min="10" max="10" width="14" hidden="0" customWidth="1"/>
    <x:col min="11" max="11" width="12" hidden="0" customWidth="1"/>
    <x:col min="12" max="12" width="46" hidden="0" customWidth="1"/>
    <x:col min="13" max="13" width="12" hidden="0" customWidth="1"/>
    <x:col min="14" max="14" width="12" hidden="0" customWidth="1"/>
  </x:cols>
  <x:sheetData>
    <x:row r="1" ht="38" customHeight="1">
      <x:c r="A1" s="769" t="str">
        <x:v>S03 — фактура и физиология кожи</x:v>
      </x:c>
      <x:c r="B1" s="769"/>
      <x:c r="C1" s="769"/>
      <x:c r="D1" s="769"/>
      <x:c r="E1" s="769"/>
      <x:c r="F1" s="769"/>
      <x:c r="G1" s="769"/>
      <x:c r="H1" s="769"/>
      <x:c r="I1" s="769"/>
      <x:c r="J1" s="769"/>
      <x:c r="K1" s="769"/>
      <x:c r="L1" s="769"/>
      <x:c r="M1" s="769"/>
      <x:c r="N1" s="769"/>
    </x:row>
    <x:row r="2" ht="40" customHeight="1">
      <x:c r="A2" s="772" t="str">
        <x:v>S03 добавляет stippling, поры, пигментацию и физиологические оттенки поверх уже подтверждённой анатомии. Лицо и мягкое брюхо остаются зонами минимальной фактуры.</x:v>
      </x:c>
      <x:c r="B2" s="772"/>
      <x:c r="C2" s="772"/>
      <x:c r="D2" s="772"/>
      <x:c r="E2" s="772"/>
      <x:c r="F2" s="772"/>
      <x:c r="G2" s="772"/>
      <x:c r="H2" s="772"/>
      <x:c r="I2" s="772"/>
      <x:c r="J2" s="772"/>
      <x:c r="K2" s="772"/>
      <x:c r="L2" s="772"/>
      <x:c r="M2" s="772"/>
      <x:c r="N2" s="772"/>
    </x:row>
    <x:row r="4">
      <x:c r="A4" s="775" t="str">
        <x:v>Доступ</x:v>
      </x:c>
      <x:c r="B4" s="777" t="str">
        <x:f>IF('Сессия S02 — анатомия'!N5="CLOSE S02","READY","LOCKED")</x:f>
        <x:v>LOCKED</x:v>
      </x:c>
      <x:c r="C4" s="775" t="str">
        <x:v>Зон</x:v>
      </x:c>
      <x:c r="D4" s="777" t="n">
        <x:f>COUNTA(A14:A25)</x:f>
        <x:v>12</x:v>
      </x:c>
      <x:c r="E4" s="775" t="str">
        <x:v>PASS</x:v>
      </x:c>
      <x:c r="F4" s="777" t="n">
        <x:f>COUNTIF(J14:J25,"PASS")</x:f>
        <x:v>0</x:v>
      </x:c>
      <x:c r="G4" s="775" t="str">
        <x:v>BLOCK/PENDING</x:v>
      </x:c>
      <x:c r="H4" s="777" t="n">
        <x:f>COUNTIF(J14:J25,"BLOCK")+COUNTIF(J14:J25,"PENDING")+COUNTIF(J14:J25,"RETEST")+COUNTIF(J14:J25,"LOCKED")</x:f>
        <x:v>12</x:v>
      </x:c>
      <x:c r="J4" s="775" t="str">
        <x:v>Средняя фактура</x:v>
      </x:c>
      <x:c r="K4" s="778" t="str">
        <x:f>IF(COUNT(E14:E25)=0,"",SUM(E14:E25)/COUNT(E14:E25))</x:f>
      </x:c>
      <x:c r="L4" s="778" t="str">
        <x:v>Средняя физиология</x:v>
      </x:c>
      <x:c r="M4" s="778" t="str">
        <x:f>IF(COUNT(F14:F25)=0,"",SUM(F14:F25)/COUNT(F14:F25))</x:f>
      </x:c>
      <x:c r="N4" s="775" t="str">
        <x:v>Итог S03</x:v>
      </x:c>
      <x:c r="P4" t="str">
        <x:v>Зона</x:v>
      </x:c>
      <x:c r="Q4" t="str">
        <x:v>Средняя</x:v>
      </x:c>
      <x:c r="R4" t="str">
        <x:v>Цель</x:v>
      </x:c>
    </x:row>
    <x:row r="5">
      <x:c r="N5" s="777" t="str">
        <x:f>IF(B4&lt;&gt;"READY","LOCKED",IF(COUNTIF(J14:J25,"BLOCK")&gt;0,"CONTINUE",IF(AND(COUNTIF(J14:J25,"PASS")=COUNTA(A14:A25),COUNTA(A14:A25)&gt;0,K8="PASS"),"CLOSE S03","CONTINUE")))</x:f>
        <x:v>LOCKED</x:v>
      </x:c>
      <x:c r="P5" t="str">
        <x:v>Тест</x:v>
      </x:c>
      <x:c r="Q5" t="str">
        <x:f>H14</x:f>
      </x:c>
      <x:c r="R5" t="n">
        <x:v>4</x:v>
      </x:c>
    </x:row>
    <x:row r="6">
      <x:c r="A6" s="782" t="str">
        <x:v>Настройка</x:v>
      </x:c>
      <x:c r="B6" s="782" t="str">
        <x:v>Фактическое значение</x:v>
      </x:c>
      <x:c r="D6" s="785" t="str">
        <x:v>Gate масштаба фактуры</x:v>
      </x:c>
      <x:c r="E6" s="785"/>
      <x:c r="F6" s="785"/>
      <x:c r="G6" s="785"/>
      <x:c r="H6" s="785"/>
      <x:c r="I6" s="785"/>
      <x:c r="J6" s="785"/>
      <x:c r="K6" s="785"/>
      <x:c r="L6" s="785"/>
      <x:c r="P6" t="str">
        <x:v>Плечи</x:v>
      </x:c>
      <x:c r="Q6" t="str">
        <x:f>H15</x:f>
      </x:c>
      <x:c r="R6" t="n">
        <x:v>4</x:v>
      </x:c>
    </x:row>
    <x:row r="7">
      <x:c r="A7" s="784" t="str">
        <x:v>Метод</x:v>
      </x:c>
      <x:c r="B7" s="784" t="str">
        <x:v>Кисть: stippling + glaze</x:v>
      </x:c>
      <x:c r="D7" s="787" t="str">
        <x:v>Макро</x:v>
      </x:c>
      <x:c r="E7" s="787" t="str">
        <x:v>Игровая дистанция</x:v>
      </x:c>
      <x:c r="F7" s="787" t="str">
        <x:v>Grayscale</x:v>
      </x:c>
      <x:c r="G7" s="787" t="str">
        <x:v>Анатомия S02</x:v>
      </x:c>
      <x:c r="H7" s="787" t="str">
        <x:v>Лицо чистое</x:v>
      </x:c>
      <x:c r="I7" s="787" t="str">
        <x:v>Брюхо гладкое</x:v>
      </x:c>
      <x:c r="J7" s="787" t="str">
        <x:v>Фото</x:v>
      </x:c>
      <x:c r="K7" s="787" t="str">
        <x:v>Gate</x:v>
      </x:c>
      <x:c r="L7" s="787" t="str">
        <x:v>Примечание</x:v>
      </x:c>
      <x:c r="P7" t="str">
        <x:v>Спина</x:v>
      </x:c>
      <x:c r="Q7" t="str">
        <x:f>H16</x:f>
      </x:c>
      <x:c r="R7" t="n">
        <x:v>4</x:v>
      </x:c>
    </x:row>
    <x:row r="8">
      <x:c r="A8" s="784" t="str">
        <x:v>Плотность теста</x:v>
      </x:c>
      <x:c r="B8" s="784" t="str">
        <x:v>Не выбрана</x:v>
      </x:c>
      <x:c r="D8" s="784" t="str">
        <x:v>Нет</x:v>
      </x:c>
      <x:c r="E8" s="784" t="str">
        <x:v>Нет</x:v>
      </x:c>
      <x:c r="F8" s="784" t="str">
        <x:v>Нет</x:v>
      </x:c>
      <x:c r="G8" s="784" t="str">
        <x:v>Нет</x:v>
      </x:c>
      <x:c r="H8" s="784" t="str">
        <x:v>Нет</x:v>
      </x:c>
      <x:c r="I8" s="784" t="str">
        <x:v>Нет</x:v>
      </x:c>
      <x:c r="J8" s="784" t="str">
        <x:v>Нет</x:v>
      </x:c>
      <x:c r="K8" s="784" t="str">
        <x:f>IF(B4&lt;&gt;"READY","LOCKED",IF(AND(D8="Да",E8="Да",F8="Да",G8="Да",H8="Да",I8="Да",J8="Да"),"PASS","PENDING"))</x:f>
        <x:v>LOCKED</x:v>
      </x:c>
      <x:c r="L8" s="784" t="str">
        <x:v>Отметить после фото</x:v>
      </x:c>
      <x:c r="P8" t="str">
        <x:v>Руки</x:v>
      </x:c>
      <x:c r="Q8" t="str">
        <x:f>H17</x:f>
      </x:c>
      <x:c r="R8" t="n">
        <x:v>4</x:v>
      </x:c>
    </x:row>
    <x:row r="9">
      <x:c r="A9" s="784" t="str">
        <x:v>Основной набор</x:v>
      </x:c>
      <x:c r="B9" s="784" t="str">
        <x:v>512–540</x:v>
      </x:c>
      <x:c r="D9" s="784" t="str">
        <x:v>Кластеры видны</x:v>
      </x:c>
      <x:c r="E9" s="784" t="str">
        <x:v>Крапинка исчезает</x:v>
      </x:c>
      <x:c r="F9" s="784" t="str">
        <x:v>Значения сохранены</x:v>
      </x:c>
      <x:c r="G9" s="784" t="str">
        <x:v>Формы читаются</x:v>
      </x:c>
      <x:c r="H9" s="784" t="str">
        <x:v>Минимальная фактура</x:v>
      </x:c>
      <x:c r="I9" s="784" t="str">
        <x:v>Минимальная фактура</x:v>
      </x:c>
      <x:c r="J9" s="784" t="str">
        <x:v>Обязательно</x:v>
      </x:c>
      <x:c r="K9" s="784"/>
      <x:c r="L9" s="784" t="str"/>
      <x:c r="P9" t="str">
        <x:v>Суставы</x:v>
      </x:c>
      <x:c r="Q9" t="str">
        <x:f>H18</x:f>
      </x:c>
      <x:c r="R9" t="n">
        <x:v>4</x:v>
      </x:c>
    </x:row>
    <x:row r="10">
      <x:c r="A10" s="784" t="str">
        <x:v>Запрет</x:v>
      </x:c>
      <x:c r="B10" s="784" t="str">
        <x:v>Не завершать лицо; не перегружать брюхо</x:v>
      </x:c>
      <x:c r="P10" t="str">
        <x:v>Кисти</x:v>
      </x:c>
      <x:c r="Q10" t="str">
        <x:f>H19</x:f>
      </x:c>
      <x:c r="R10" t="n">
        <x:v>4</x:v>
      </x:c>
    </x:row>
    <x:row r="11">
      <x:c r="A11" s="784" t="str">
        <x:v>Зависимость</x:v>
      </x:c>
      <x:c r="B11" s="784" t="str">
        <x:v>S02 = CLOSE S02</x:v>
      </x:c>
      <x:c r="P11" t="str">
        <x:v>Грудь</x:v>
      </x:c>
      <x:c r="Q11" t="str">
        <x:f>H20</x:f>
      </x:c>
      <x:c r="R11" t="n">
        <x:v>4</x:v>
      </x:c>
    </x:row>
    <x:row r="12">
      <x:c r="P12" t="str">
        <x:v>Брюхо</x:v>
      </x:c>
      <x:c r="Q12" t="str">
        <x:f>H21</x:f>
      </x:c>
      <x:c r="R12" t="n">
        <x:v>4</x:v>
      </x:c>
    </x:row>
    <x:row r="13" ht="50" customHeight="1">
      <x:c r="A13" s="788" t="str">
        <x:v>Зона</x:v>
      </x:c>
      <x:c r="B13" s="788" t="str">
        <x:v>Recipe ID</x:v>
      </x:c>
      <x:c r="C13" s="788" t="str">
        <x:v>Задача</x:v>
      </x:c>
      <x:c r="D13" s="788" t="str">
        <x:v>Плотность</x:v>
      </x:c>
      <x:c r="E13" s="788" t="str">
        <x:v>Фактура 1–5</x:v>
      </x:c>
      <x:c r="F13" s="788" t="str">
        <x:v>Физиология 1–5</x:v>
      </x:c>
      <x:c r="G13" s="788" t="str">
        <x:v>Сохранение формы 1–5</x:v>
      </x:c>
      <x:c r="H13" s="788" t="str">
        <x:v>Средняя</x:v>
      </x:c>
      <x:c r="I13" s="788" t="str">
        <x:v>Статус зоны</x:v>
      </x:c>
      <x:c r="J13" s="788" t="str">
        <x:v>Gate</x:v>
      </x:c>
      <x:c r="K13" s="788" t="str">
        <x:v>Фото</x:v>
      </x:c>
      <x:c r="L13" s="788" t="str">
        <x:v>Коррекция</x:v>
      </x:c>
      <x:c r="M13" s="788" t="str">
        <x:v>Начало</x:v>
      </x:c>
      <x:c r="N13" s="788" t="str">
        <x:v>Конец</x:v>
      </x:c>
      <x:c r="P13" t="str">
        <x:v>Пигментация</x:v>
      </x:c>
      <x:c r="Q13" t="str">
        <x:f>H22</x:f>
      </x:c>
      <x:c r="R13" t="n">
        <x:v>4</x:v>
      </x:c>
    </x:row>
    <x:row r="14">
      <x:c r="A14" s="89" t="str">
        <x:v>Тестовый участок</x:v>
      </x:c>
      <x:c r="B14" s="89" t="n">
        <x:v>512</x:v>
      </x:c>
      <x:c r="C14" s="89" t="str">
        <x:v>Выбрать плотность stippling</x:v>
      </x:c>
      <x:c r="D14" s="89"/>
      <x:c r="E14" s="89"/>
      <x:c r="F14" s="89"/>
      <x:c r="G14" s="89"/>
      <x:c r="H14" s="702" t="str">
        <x:f>IF(COUNT(E14:G14)=0,"",SUM(E14:G14)/COUNT(E14:G14))</x:f>
      </x:c>
      <x:c r="I14" s="89" t="str">
        <x:v>Не начато</x:v>
      </x:c>
      <x:c r="J14" s="89" t="str">
        <x:f>IF($B$4&lt;&gt;"READY","LOCKED",IF(COUNT(E14:G14)=0,"PENDING",IF(OR(E14&lt;4,F14&lt;3,G14&lt;4),"BLOCK",IF(AND(I14="Готово",K14="Да"),"PASS","RETEST"))))</x:f>
        <x:v>LOCKED</x:v>
      </x:c>
      <x:c r="K14" s="89" t="str">
        <x:v>Нет</x:v>
      </x:c>
      <x:c r="L14" s="89" t="str"/>
      <x:c r="M14" s="701"/>
      <x:c r="N14" s="701"/>
      <x:c r="P14" t="str">
        <x:v>Вены</x:v>
      </x:c>
      <x:c r="Q14" t="str">
        <x:f>H23</x:f>
      </x:c>
      <x:c r="R14" t="n">
        <x:v>4</x:v>
      </x:c>
    </x:row>
    <x:row r="15">
      <x:c r="A15" s="89" t="str">
        <x:v>Плечи</x:v>
      </x:c>
      <x:c r="B15" s="89" t="n">
        <x:v>519</x:v>
      </x:c>
      <x:c r="C15" s="89" t="str">
        <x:v>Максимальная, но кластерная фактура</x:v>
      </x:c>
      <x:c r="D15" s="89"/>
      <x:c r="E15" s="89"/>
      <x:c r="F15" s="89"/>
      <x:c r="G15" s="89"/>
      <x:c r="H15" s="702" t="str">
        <x:f>IF(COUNT(E15:G15)=0,"",SUM(E15:G15)/COUNT(E15:G15))</x:f>
      </x:c>
      <x:c r="I15" s="89" t="str">
        <x:v>Не начато</x:v>
      </x:c>
      <x:c r="J15" s="89" t="str">
        <x:f>IF($B$4&lt;&gt;"READY","LOCKED",IF(COUNT(E15:G15)=0,"PENDING",IF(OR(E15&lt;4,F15&lt;3,G15&lt;4),"BLOCK",IF(AND(I15="Готово",K15="Да"),"PASS","RETEST"))))</x:f>
        <x:v>LOCKED</x:v>
      </x:c>
      <x:c r="K15" s="89" t="str">
        <x:v>Нет</x:v>
      </x:c>
      <x:c r="L15" s="89" t="str"/>
      <x:c r="M15" s="701"/>
      <x:c r="N15" s="701"/>
      <x:c r="P15" t="str">
        <x:v>Рубцы</x:v>
      </x:c>
      <x:c r="Q15" t="str">
        <x:f>H24</x:f>
      </x:c>
      <x:c r="R15" t="n">
        <x:v>4</x:v>
      </x:c>
    </x:row>
    <x:row r="16">
      <x:c r="A16" s="89" t="str">
        <x:v>Верхняя спина</x:v>
      </x:c>
      <x:c r="B16" s="89" t="n">
        <x:v>520</x:v>
      </x:c>
      <x:c r="C16" s="89" t="str">
        <x:v>Крупные кластеры, поры и сухие гребни</x:v>
      </x:c>
      <x:c r="D16" s="89"/>
      <x:c r="E16" s="89"/>
      <x:c r="F16" s="89"/>
      <x:c r="G16" s="89"/>
      <x:c r="H16" s="702" t="str">
        <x:f>IF(COUNT(E16:G16)=0,"",SUM(E16:G16)/COUNT(E16:G16))</x:f>
      </x:c>
      <x:c r="I16" s="89" t="str">
        <x:v>Не начато</x:v>
      </x:c>
      <x:c r="J16" s="89" t="str">
        <x:f>IF($B$4&lt;&gt;"READY","LOCKED",IF(COUNT(E16:G16)=0,"PENDING",IF(OR(E16&lt;4,F16&lt;3,G16&lt;4),"BLOCK",IF(AND(I16="Готово",K16="Да"),"PASS","RETEST"))))</x:f>
        <x:v>LOCKED</x:v>
      </x:c>
      <x:c r="K16" s="89" t="str">
        <x:v>Нет</x:v>
      </x:c>
      <x:c r="L16" s="89" t="str"/>
      <x:c r="M16" s="701"/>
      <x:c r="N16" s="701"/>
      <x:c r="P16" t="str">
        <x:v>Объединение</x:v>
      </x:c>
      <x:c r="Q16" t="n">
        <x:f>H25</x:f>
        <x:v>0</x:v>
      </x:c>
      <x:c r="R16" t="n">
        <x:v>4</x:v>
      </x:c>
    </x:row>
    <x:row r="17">
      <x:c r="A17" s="89" t="str">
        <x:v>Внешние руки</x:v>
      </x:c>
      <x:c r="B17" s="89" t="n">
        <x:v>521</x:v>
      </x:c>
      <x:c r="C17" s="89" t="str">
        <x:v>Продольные кластеры по форме</x:v>
      </x:c>
      <x:c r="D17" s="89"/>
      <x:c r="E17" s="89"/>
      <x:c r="F17" s="89"/>
      <x:c r="G17" s="89"/>
      <x:c r="H17" s="702" t="str">
        <x:f>IF(COUNT(E17:G17)=0,"",SUM(E17:G17)/COUNT(E17:G17))</x:f>
      </x:c>
      <x:c r="I17" s="89" t="str">
        <x:v>Не начато</x:v>
      </x:c>
      <x:c r="J17" s="89" t="str">
        <x:f>IF($B$4&lt;&gt;"READY","LOCKED",IF(COUNT(E17:G17)=0,"PENDING",IF(OR(E17&lt;4,F17&lt;3,G17&lt;4),"BLOCK",IF(AND(I17="Готово",K17="Да"),"PASS","RETEST"))))</x:f>
        <x:v>LOCKED</x:v>
      </x:c>
      <x:c r="K17" s="89" t="str">
        <x:v>Нет</x:v>
      </x:c>
      <x:c r="L17" s="89" t="str"/>
      <x:c r="M17" s="701"/>
      <x:c r="N17" s="701"/>
    </x:row>
    <x:row r="18">
      <x:c r="A18" s="89" t="str">
        <x:v>Локти/колени</x:v>
      </x:c>
      <x:c r="B18" s="89" t="n">
        <x:v>522</x:v>
      </x:c>
      <x:c r="C18" s="89" t="str">
        <x:v>Сухие мозоли</x:v>
      </x:c>
      <x:c r="D18" s="89"/>
      <x:c r="E18" s="89"/>
      <x:c r="F18" s="89"/>
      <x:c r="G18" s="89"/>
      <x:c r="H18" s="702" t="str">
        <x:f>IF(COUNT(E18:G18)=0,"",SUM(E18:G18)/COUNT(E18:G18))</x:f>
      </x:c>
      <x:c r="I18" s="89" t="str">
        <x:v>Не начато</x:v>
      </x:c>
      <x:c r="J18" s="89" t="str">
        <x:f>IF($B$4&lt;&gt;"READY","LOCKED",IF(COUNT(E18:G18)=0,"PENDING",IF(OR(E18&lt;4,F18&lt;3,G18&lt;4),"BLOCK",IF(AND(I18="Готово",K18="Да"),"PASS","RETEST"))))</x:f>
        <x:v>LOCKED</x:v>
      </x:c>
      <x:c r="K18" s="89" t="str">
        <x:v>Нет</x:v>
      </x:c>
      <x:c r="L18" s="89" t="str"/>
      <x:c r="M18" s="701"/>
      <x:c r="N18" s="701"/>
    </x:row>
    <x:row r="19">
      <x:c r="A19" s="89" t="str">
        <x:v>Кисти/костяшки</x:v>
      </x:c>
      <x:c r="B19" s="89" t="n">
        <x:v>523</x:v>
      </x:c>
      <x:c r="C19" s="89" t="str">
        <x:v>Мелкая сухая фактура и красные складки</x:v>
      </x:c>
      <x:c r="D19" s="89"/>
      <x:c r="E19" s="89"/>
      <x:c r="F19" s="89"/>
      <x:c r="G19" s="89"/>
      <x:c r="H19" s="702" t="str">
        <x:f>IF(COUNT(E19:G19)=0,"",SUM(E19:G19)/COUNT(E19:G19))</x:f>
      </x:c>
      <x:c r="I19" s="89" t="str">
        <x:v>Не начато</x:v>
      </x:c>
      <x:c r="J19" s="89" t="str">
        <x:f>IF($B$4&lt;&gt;"READY","LOCKED",IF(COUNT(E19:G19)=0,"PENDING",IF(OR(E19&lt;4,F19&lt;3,G19&lt;4),"BLOCK",IF(AND(I19="Готово",K19="Да"),"PASS","RETEST"))))</x:f>
        <x:v>LOCKED</x:v>
      </x:c>
      <x:c r="K19" s="89" t="str">
        <x:v>Нет</x:v>
      </x:c>
      <x:c r="L19" s="89" t="str"/>
      <x:c r="M19" s="701"/>
      <x:c r="N19" s="701"/>
    </x:row>
    <x:row r="20">
      <x:c r="A20" s="89" t="str">
        <x:v>Грудь</x:v>
      </x:c>
      <x:c r="B20" s="89" t="n">
        <x:v>524</x:v>
      </x:c>
      <x:c r="C20" s="89" t="str">
        <x:v>Слабая фактура без потери фокуса</x:v>
      </x:c>
      <x:c r="D20" s="89"/>
      <x:c r="E20" s="89"/>
      <x:c r="F20" s="89"/>
      <x:c r="G20" s="89"/>
      <x:c r="H20" s="702" t="str">
        <x:f>IF(COUNT(E20:G20)=0,"",SUM(E20:G20)/COUNT(E20:G20))</x:f>
      </x:c>
      <x:c r="I20" s="89" t="str">
        <x:v>Не начато</x:v>
      </x:c>
      <x:c r="J20" s="89" t="str">
        <x:f>IF($B$4&lt;&gt;"READY","LOCKED",IF(COUNT(E20:G20)=0,"PENDING",IF(OR(E20&lt;4,F20&lt;3,G20&lt;4),"BLOCK",IF(AND(I20="Готово",K20="Да"),"PASS","RETEST"))))</x:f>
        <x:v>LOCKED</x:v>
      </x:c>
      <x:c r="K20" s="89" t="str">
        <x:v>Нет</x:v>
      </x:c>
      <x:c r="L20" s="89" t="str"/>
      <x:c r="M20" s="701"/>
      <x:c r="N20" s="701"/>
    </x:row>
    <x:row r="21">
      <x:c r="A21" s="89" t="str">
        <x:v>Брюхо</x:v>
      </x:c>
      <x:c r="B21" s="89" t="n">
        <x:v>525</x:v>
      </x:c>
      <x:c r="C21" s="89" t="str">
        <x:v>Сохранить гладкость</x:v>
      </x:c>
      <x:c r="D21" s="89"/>
      <x:c r="E21" s="89"/>
      <x:c r="F21" s="89"/>
      <x:c r="G21" s="89"/>
      <x:c r="H21" s="702" t="str">
        <x:f>IF(COUNT(E21:G21)=0,"",SUM(E21:G21)/COUNT(E21:G21))</x:f>
      </x:c>
      <x:c r="I21" s="89" t="str">
        <x:v>Не начато</x:v>
      </x:c>
      <x:c r="J21" s="89" t="str">
        <x:f>IF($B$4&lt;&gt;"READY","LOCKED",IF(COUNT(E21:G21)=0,"PENDING",IF(OR(E21&lt;4,F21&lt;3,G21&lt;4),"BLOCK",IF(AND(I21="Готово",K21="Да"),"PASS","RETEST"))))</x:f>
        <x:v>LOCKED</x:v>
      </x:c>
      <x:c r="K21" s="89" t="str">
        <x:v>Нет</x:v>
      </x:c>
      <x:c r="L21" s="89" t="str"/>
      <x:c r="M21" s="701"/>
      <x:c r="N21" s="701"/>
    </x:row>
    <x:row r="22">
      <x:c r="A22" s="89" t="str">
        <x:v>Пигментация</x:v>
      </x:c>
      <x:c r="B22" s="89" t="str">
        <x:v>526–530</x:v>
      </x:c>
      <x:c r="C22" s="89" t="str">
        <x:v>Ограниченные температурные кластеры</x:v>
      </x:c>
      <x:c r="D22" s="89"/>
      <x:c r="E22" s="89"/>
      <x:c r="F22" s="89"/>
      <x:c r="G22" s="89"/>
      <x:c r="H22" s="702" t="str">
        <x:f>IF(COUNT(E22:G22)=0,"",SUM(E22:G22)/COUNT(E22:G22))</x:f>
      </x:c>
      <x:c r="I22" s="89" t="str">
        <x:v>Не начато</x:v>
      </x:c>
      <x:c r="J22" s="89" t="str">
        <x:f>IF($B$4&lt;&gt;"READY","LOCKED",IF(COUNT(E22:G22)=0,"PENDING",IF(OR(E22&lt;4,F22&lt;3,G22&lt;4),"BLOCK",IF(AND(I22="Готово",K22="Да"),"PASS","RETEST"))))</x:f>
        <x:v>LOCKED</x:v>
      </x:c>
      <x:c r="K22" s="89" t="str">
        <x:v>Нет</x:v>
      </x:c>
      <x:c r="L22" s="89" t="str"/>
      <x:c r="M22" s="701"/>
      <x:c r="N22" s="701"/>
    </x:row>
    <x:row r="23">
      <x:c r="A23" s="89" t="str">
        <x:v>Вены</x:v>
      </x:c>
      <x:c r="B23" s="89" t="str">
        <x:v>531–532</x:v>
      </x:c>
      <x:c r="C23" s="89" t="str">
        <x:v>3–6 вен под skin glaze</x:v>
      </x:c>
      <x:c r="D23" s="89"/>
      <x:c r="E23" s="89"/>
      <x:c r="F23" s="89"/>
      <x:c r="G23" s="89"/>
      <x:c r="H23" s="702" t="str">
        <x:f>IF(COUNT(E23:G23)=0,"",SUM(E23:G23)/COUNT(E23:G23))</x:f>
      </x:c>
      <x:c r="I23" s="89" t="str">
        <x:v>Не начато</x:v>
      </x:c>
      <x:c r="J23" s="89" t="str">
        <x:f>IF($B$4&lt;&gt;"READY","LOCKED",IF(COUNT(E23:G23)=0,"PENDING",IF(OR(E23&lt;4,F23&lt;3,G23&lt;4),"BLOCK",IF(AND(I23="Готово",K23="Да"),"PASS","RETEST"))))</x:f>
        <x:v>LOCKED</x:v>
      </x:c>
      <x:c r="K23" s="89" t="str">
        <x:v>Нет</x:v>
      </x:c>
      <x:c r="L23" s="89" t="str"/>
      <x:c r="M23" s="701"/>
      <x:c r="N23" s="701"/>
    </x:row>
    <x:row r="24">
      <x:c r="A24" s="89" t="str">
        <x:v>Растяжки/рубцы</x:v>
      </x:c>
      <x:c r="B24" s="89" t="str">
        <x:v>533–535</x:v>
      </x:c>
      <x:c r="C24" s="89" t="str">
        <x:v>Выбрать максимум два типа</x:v>
      </x:c>
      <x:c r="D24" s="89"/>
      <x:c r="E24" s="89"/>
      <x:c r="F24" s="89"/>
      <x:c r="G24" s="89"/>
      <x:c r="H24" s="702" t="str">
        <x:f>IF(COUNT(E24:G24)=0,"",SUM(E24:G24)/COUNT(E24:G24))</x:f>
      </x:c>
      <x:c r="I24" s="89" t="str">
        <x:v>Не начато</x:v>
      </x:c>
      <x:c r="J24" s="89" t="str">
        <x:f>IF($B$4&lt;&gt;"READY","LOCKED",IF(COUNT(E24:G24)=0,"PENDING",IF(OR(E24&lt;4,F24&lt;3,G24&lt;4),"BLOCK",IF(AND(I24="Готово",K24="Да"),"PASS","RETEST"))))</x:f>
        <x:v>LOCKED</x:v>
      </x:c>
      <x:c r="K24" s="89" t="str">
        <x:v>Нет</x:v>
      </x:c>
      <x:c r="L24" s="89" t="str"/>
      <x:c r="M24" s="701"/>
      <x:c r="N24" s="701"/>
    </x:row>
    <x:row r="25">
      <x:c r="A25" s="89" t="str">
        <x:v>Объединение</x:v>
      </x:c>
      <x:c r="B25" s="89" t="str">
        <x:v>517, 530</x:v>
      </x:c>
      <x:c r="C25" s="89" t="str">
        <x:v>Сохранить фокус и доминирующий skin colour</x:v>
      </x:c>
      <x:c r="D25" s="89"/>
      <x:c r="E25" s="89"/>
      <x:c r="F25" s="89"/>
      <x:c r="G25" s="89"/>
      <x:c r="H25" s="702" t="str">
        <x:f>IF(COUNT(E25:G25)=0,"",SUM(E25:G25)/COUNT(E25:G25))</x:f>
      </x:c>
      <x:c r="I25" s="89" t="str">
        <x:v>Не начато</x:v>
      </x:c>
      <x:c r="J25" s="89" t="str">
        <x:f>IF($B$4&lt;&gt;"READY","LOCKED",IF(COUNT(E25:G25)=0,"PENDING",IF(OR(E25&lt;4,F25&lt;3,G25&lt;4),"BLOCK",IF(AND(I25="Готово",K25="Да"),"PASS","RETEST"))))</x:f>
        <x:v>LOCKED</x:v>
      </x:c>
      <x:c r="K25" s="89" t="str">
        <x:v>Нет</x:v>
      </x:c>
      <x:c r="L25" s="89" t="str"/>
      <x:c r="M25" s="701"/>
      <x:c r="N25" s="701"/>
    </x:row>
    <x:row r="28">
      <x:c r="A28" s="790" t="str">
        <x:v>Закрытие S03</x:v>
      </x:c>
      <x:c r="B28" s="790"/>
      <x:c r="C28" s="790"/>
      <x:c r="D28" s="790"/>
      <x:c r="E28" s="790"/>
      <x:c r="F28" s="790"/>
      <x:c r="G28" s="790"/>
      <x:c r="H28" s="790"/>
    </x:row>
    <x:row r="29">
      <x:c r="A29" s="775" t="str">
        <x:v>Проверка</x:v>
      </x:c>
      <x:c r="B29" s="775" t="str">
        <x:v>Статус</x:v>
      </x:c>
      <x:c r="C29" s="775" t="str">
        <x:v>Основание</x:v>
      </x:c>
      <x:c r="D29" s="775" t="str">
        <x:v>Примечание</x:v>
      </x:c>
    </x:row>
    <x:row r="30">
      <x:c r="A30" s="88" t="str">
        <x:v>S02 действительно закрыта</x:v>
      </x:c>
      <x:c r="B30" s="88" t="str">
        <x:f>B4</x:f>
        <x:v>LOCKED</x:v>
      </x:c>
      <x:c r="C30" s="88" t="str">
        <x:v>Доступ READY</x:v>
      </x:c>
      <x:c r="D30" s="88" t="str"/>
    </x:row>
    <x:row r="31">
      <x:c r="A31" s="88" t="str">
        <x:v>Все 12 зон PASS</x:v>
      </x:c>
      <x:c r="B31" s="88" t="str">
        <x:v>Не проверено</x:v>
      </x:c>
      <x:c r="C31" s="88" t="str">
        <x:v>Фактура ≥4; физиология ≥3; форма ≥4</x:v>
      </x:c>
      <x:c r="D31" s="88" t="str"/>
    </x:row>
    <x:row r="32">
      <x:c r="A32" s="88" t="str">
        <x:v>Макро и игровая дистанция согласованы</x:v>
      </x:c>
      <x:c r="B32" s="88" t="str">
        <x:v>Не проверено</x:v>
      </x:c>
      <x:c r="C32" s="88" t="str">
        <x:v>Кластеры видны, крапинка исчезает</x:v>
      </x:c>
      <x:c r="D32" s="88" t="str"/>
    </x:row>
    <x:row r="33">
      <x:c r="A33" s="88" t="str">
        <x:v>Анатомия S02 сохранена в grayscale</x:v>
      </x:c>
      <x:c r="B33" s="88" t="str">
        <x:v>Не проверено</x:v>
      </x:c>
      <x:c r="C33" s="88" t="str">
        <x:v>Нет потери крупных форм</x:v>
      </x:c>
      <x:c r="D33" s="88" t="str"/>
    </x:row>
    <x:row r="34">
      <x:c r="A34" s="88" t="str">
        <x:v>Лицо и брюхо не перегружены</x:v>
      </x:c>
      <x:c r="B34" s="88" t="str">
        <x:v>Не проверено</x:v>
      </x:c>
      <x:c r="C34" s="88" t="str">
        <x:v>Зоны минимальной фактуры</x:v>
      </x:c>
      <x:c r="D34" s="88" t="str"/>
    </x:row>
    <x:row r="35">
      <x:c r="A35" s="88" t="str">
        <x:v>Выбрано не более двух типов рубцов/растяжек</x:v>
      </x:c>
      <x:c r="B35" s="88" t="str">
        <x:v>Не проверено</x:v>
      </x:c>
      <x:c r="C35" s="88" t="str">
        <x:v>Контроль перегрузки</x:v>
      </x:c>
      <x:c r="D35" s="88" t="str"/>
    </x:row>
  </x:sheetData>
  <x:mergeCells>
    <x:mergeCell ref="A1:N1"/>
    <x:mergeCell ref="A2:N2"/>
    <x:mergeCell ref="D6:L6"/>
    <x:mergeCell ref="A28:H28"/>
  </x:mergeCells>
  <x:conditionalFormatting sqref="B4:B4">
    <x:cfRule type="expression" dxfId="168" priority="1">
      <x:formula>B4="READY"</x:formula>
    </x:cfRule>
    <x:cfRule type="expression" dxfId="169" priority="2">
      <x:formula>B4="LOCKED"</x:formula>
    </x:cfRule>
  </x:conditionalFormatting>
  <x:conditionalFormatting sqref="N5:N5">
    <x:cfRule type="expression" dxfId="170" priority="3">
      <x:formula>N5="CLOSE S03"</x:formula>
    </x:cfRule>
    <x:cfRule type="expression" dxfId="171" priority="4">
      <x:formula>N5="LOCKED"</x:formula>
    </x:cfRule>
    <x:cfRule type="expression" dxfId="172" priority="5">
      <x:formula>N5="CONTINUE"</x:formula>
    </x:cfRule>
  </x:conditionalFormatting>
  <x:conditionalFormatting sqref="K8:K8">
    <x:cfRule type="expression" dxfId="173" priority="6">
      <x:formula>K8="PASS"</x:formula>
    </x:cfRule>
    <x:cfRule type="expression" dxfId="174" priority="7">
      <x:formula>K8="LOCKED"</x:formula>
    </x:cfRule>
    <x:cfRule type="expression" dxfId="175" priority="8">
      <x:formula>K8="PENDING"</x:formula>
    </x:cfRule>
  </x:conditionalFormatting>
  <x:conditionalFormatting sqref="J14:J25">
    <x:cfRule type="expression" dxfId="176" priority="9">
      <x:formula>J14="PASS"</x:formula>
    </x:cfRule>
    <x:cfRule type="expression" dxfId="177" priority="10">
      <x:formula>J14="RETEST"</x:formula>
    </x:cfRule>
    <x:cfRule type="expression" dxfId="178" priority="11">
      <x:formula>J14="BLOCK"</x:formula>
    </x:cfRule>
    <x:cfRule type="expression" dxfId="179" priority="12">
      <x:formula>J14="PENDING"</x:formula>
    </x:cfRule>
    <x:cfRule type="expression" dxfId="180" priority="13">
      <x:formula>J14="LOCKED"</x:formula>
    </x:cfRule>
  </x:conditionalFormatting>
  <x:conditionalFormatting sqref="H14:H25">
    <x:cfRule type="colorScale" priority="14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dataValidations count="16">
    <x:dataValidation type="list" sqref="B7">
      <x:formula1>"Кисть: stippling + glaze,Кисть + локальный аэрограф,Кисть"</x:formula1>
    </x:dataValidation>
    <x:dataValidation type="list" sqref="B8">
      <x:formula1>"Не выбрана,20%,40%,60%"</x:formula1>
    </x:dataValidation>
    <x:dataValidation type="list" sqref="D8">
      <x:formula1>"Нет,Да"</x:formula1>
    </x:dataValidation>
    <x:dataValidation type="list" sqref="E8">
      <x:formula1>"Нет,Да"</x:formula1>
    </x:dataValidation>
    <x:dataValidation type="list" sqref="F8">
      <x:formula1>"Нет,Да"</x:formula1>
    </x:dataValidation>
    <x:dataValidation type="list" sqref="G8">
      <x:formula1>"Нет,Да"</x:formula1>
    </x:dataValidation>
    <x:dataValidation type="list" sqref="H8">
      <x:formula1>"Нет,Да"</x:formula1>
    </x:dataValidation>
    <x:dataValidation type="list" sqref="I8">
      <x:formula1>"Нет,Да"</x:formula1>
    </x:dataValidation>
    <x:dataValidation type="list" sqref="J8">
      <x:formula1>"Нет,Да"</x:formula1>
    </x:dataValidation>
    <x:dataValidation type="list" sqref="D14:D25">
      <x:formula1>"20%,40%,60%,Минимум,Не применяется"</x:formula1>
    </x:dataValidation>
    <x:dataValidation type="list" sqref="E14:E25">
      <x:formula1>"1,2,3,4,5"</x:formula1>
    </x:dataValidation>
    <x:dataValidation type="list" sqref="F14:F25">
      <x:formula1>"1,2,3,4,5"</x:formula1>
    </x:dataValidation>
    <x:dataValidation type="list" sqref="G14:G25">
      <x:formula1>"1,2,3,4,5"</x:formula1>
    </x:dataValidation>
    <x:dataValidation type="list" sqref="I14:I25">
      <x:formula1>"Не начато,В работе,Готово,Коррекция"</x:formula1>
    </x:dataValidation>
    <x:dataValidation type="list" sqref="K14:K25">
      <x:formula1>"Нет,Да"</x:formula1>
    </x:dataValidation>
    <x:dataValidation type="list" sqref="B31:B35">
      <x:formula1>"Не проверено,PASS,RETEST"</x:formula1>
    </x:dataValidation>
  </x:dataValidations>
  <x:pageMargins left="0.7" right="0.7" top="0.75" bottom="0.75" header="0.3" footer="0.3"/>
  <x:drawing xmlns:r="http://schemas.openxmlformats.org/officeDocument/2006/relationships" r:id="R4d240c0d405147bf"/>
  <x:tableParts count="2">
    <x:tablePart xmlns:r="http://schemas.openxmlformats.org/officeDocument/2006/relationships" r:id="Rc25aa2ec36614df9"/>
    <x:tablePart xmlns:r="http://schemas.openxmlformats.org/officeDocument/2006/relationships" r:id="R58935eef45484943"/>
  </x:tableParts>
</x:worksheet>
</file>

<file path=xl/worksheets/sheet6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9" hidden="0" customWidth="1"/>
    <x:col min="3" max="3" width="29" hidden="0" customWidth="1"/>
    <x:col min="4" max="4" width="29" hidden="0" customWidth="1"/>
    <x:col min="5" max="5" width="17" hidden="0" customWidth="1"/>
    <x:col min="6" max="6" width="17" hidden="0" customWidth="1"/>
    <x:col min="7" max="7" width="42" hidden="0" customWidth="1"/>
    <x:col min="8" max="8" width="43" hidden="0" customWidth="1"/>
    <x:col min="9" max="9" width="15" hidden="0" customWidth="1"/>
    <x:col min="10" max="10" width="21" hidden="0" customWidth="1"/>
    <x:col min="11" max="11" width="31" hidden="0" customWidth="1"/>
    <x:col min="12" max="12" width="16" hidden="0" customWidth="1"/>
  </x:cols>
  <x:sheetData>
    <x:row r="1" ht="38" customHeight="1">
      <x:c r="A1" s="769" t="str">
        <x:v>Палитра S03: фактура, пигментация и физиология</x:v>
      </x:c>
      <x:c r="B1" s="769"/>
      <x:c r="C1" s="769"/>
      <x:c r="D1" s="769"/>
      <x:c r="E1" s="769"/>
      <x:c r="F1" s="769"/>
      <x:c r="G1" s="769"/>
      <x:c r="H1" s="769"/>
    </x:row>
    <x:row r="2" ht="38" customHeight="1">
      <x:c r="A2" s="772" t="str">
        <x:v>Основные телесные тона наследуются из S02. Замены вводятся только явно; эффективная краска, бренд и линейка рассчитываются автоматически.</x:v>
      </x:c>
      <x:c r="B2" s="772"/>
      <x:c r="C2" s="772"/>
      <x:c r="D2" s="772"/>
      <x:c r="E2" s="772"/>
      <x:c r="F2" s="772"/>
      <x:c r="G2" s="772"/>
      <x:c r="H2" s="772"/>
    </x:row>
    <x:row r="4" ht="46" customHeight="1">
      <x:c r="A4" s="788" t="str">
        <x:v>Роль</x:v>
      </x:c>
      <x:c r="B4" s="788" t="str">
        <x:v>Источник</x:v>
      </x:c>
      <x:c r="C4" s="788" t="str">
        <x:v>Замена</x:v>
      </x:c>
      <x:c r="D4" s="788" t="str">
        <x:v>Эффективная краска</x:v>
      </x:c>
      <x:c r="E4" s="788" t="str">
        <x:v>Бренд</x:v>
      </x:c>
      <x:c r="F4" s="788" t="str">
        <x:v>Линейка</x:v>
      </x:c>
      <x:c r="G4" s="788" t="str">
        <x:v>Назначение</x:v>
      </x:c>
      <x:c r="H4" s="788" t="str">
        <x:v>Ограничение</x:v>
      </x:c>
    </x:row>
    <x:row r="5">
      <x:c r="A5" s="89" t="str">
        <x:v>Основной skin midtone</x:v>
      </x:c>
      <x:c r="B5" s="89" t="str">
        <x:f>IF('Палитра S02'!D5="","",'Палитра S02'!D5)</x:f>
      </x:c>
      <x:c r="C5" s="765" t="str"/>
      <x:c r="D5" s="89" t="str">
        <x:f>IF(C5&lt;&gt;"",C5,IF(B5&lt;&gt;"",B5,""))</x:f>
      </x:c>
      <x:c r="E5" s="89" t="str">
        <x:f>IFERROR(INDEX('Инвентаризация'!$B$2:$B$260,MATCH(D5,'Инвентаризация'!$D$2:$D$260,0)),"")</x:f>
      </x:c>
      <x:c r="F5" s="89" t="str">
        <x:f>IFERROR(INDEX('Инвентаризация'!$E$2:$E$260,MATCH(D5,'Инвентаризация'!$D$2:$D$260,0)),"")</x:f>
      </x:c>
      <x:c r="G5" s="89" t="str">
        <x:v>Среднетоновый stippling и glaze</x:v>
      </x:c>
      <x:c r="H5" s="89" t="str">
        <x:v>Не менять объём S02</x:v>
      </x:c>
    </x:row>
    <x:row r="6">
      <x:c r="A6" s="89" t="str">
        <x:v>Светлый skin midtone</x:v>
      </x:c>
      <x:c r="B6" s="89" t="str">
        <x:f>IF('Палитра S02'!D6="","",'Палитра S02'!D6)</x:f>
      </x:c>
      <x:c r="C6" s="765" t="str"/>
      <x:c r="D6" s="89" t="str">
        <x:f>IF(C6&lt;&gt;"",C6,IF(B6&lt;&gt;"",B6,""))</x:f>
      </x:c>
      <x:c r="E6" s="89" t="str">
        <x:f>IFERROR(INDEX('Инвентаризация'!$B$2:$B$260,MATCH(D6,'Инвентаризация'!$D$2:$D$260,0)),"")</x:f>
      </x:c>
      <x:c r="F6" s="89" t="str">
        <x:f>IFERROR(INDEX('Инвентаризация'!$E$2:$E$260,MATCH(D6,'Инвентаризация'!$D$2:$D$260,0)),"")</x:f>
      </x:c>
      <x:c r="G6" s="89" t="str">
        <x:v>Светлая микрофактура</x:v>
      </x:c>
      <x:c r="H6" s="89" t="str">
        <x:v>Меньше площади, чем Base</x:v>
      </x:c>
    </x:row>
    <x:row r="7">
      <x:c r="A7" s="89" t="str">
        <x:v>Тёмная пора</x:v>
      </x:c>
      <x:c r="B7" s="89" t="str">
        <x:v>AK Deep Brown</x:v>
      </x:c>
      <x:c r="C7" s="765" t="str"/>
      <x:c r="D7" s="89" t="str">
        <x:f>IF(C7&lt;&gt;"",C7,IF(B7&lt;&gt;"",B7,""))</x:f>
        <x:v>AK Deep Brown</x:v>
      </x:c>
      <x:c r="E7" s="89" t="str">
        <x:f>IFERROR(INDEX('Инвентаризация'!$B$2:$B$260,MATCH(D7,'Инвентаризация'!$D$2:$D$260,0)),"")</x:f>
      </x:c>
      <x:c r="F7" s="89" t="str">
        <x:f>IFERROR(INDEX('Инвентаризация'!$E$2:$E$260,MATCH(D7,'Инвентаризация'!$D$2:$D$260,0)),"")</x:f>
      </x:c>
      <x:c r="G7" s="89" t="str">
        <x:v>Редкие тёмные микроточки</x:v>
      </x:c>
      <x:c r="H7" s="89" t="str">
        <x:v>Не лицо и не брюхо</x:v>
      </x:c>
    </x:row>
    <x:row r="8">
      <x:c r="A8" s="89" t="str">
        <x:v>Сухая мозоль</x:v>
      </x:c>
      <x:c r="B8" s="89" t="str">
        <x:v>Stormvermin Fur</x:v>
      </x:c>
      <x:c r="C8" s="765" t="str"/>
      <x:c r="D8" s="89" t="str">
        <x:f>IF(C8&lt;&gt;"",C8,IF(B8&lt;&gt;"",B8,""))</x:f>
        <x:v>Stormvermin Fur</x:v>
      </x:c>
      <x:c r="E8" s="89" t="str">
        <x:f>IFERROR(INDEX('Инвентаризация'!$B$2:$B$260,MATCH(D8,'Инвентаризация'!$D$2:$D$260,0)),"")</x:f>
        <x:v>Citadel</x:v>
      </x:c>
      <x:c r="F8" s="89" t="str">
        <x:f>IFERROR(INDEX('Инвентаризация'!$E$2:$E$260,MATCH(D8,'Инвентаризация'!$D$2:$D$260,0)),"")</x:f>
        <x:v>Layer</x:v>
      </x:c>
      <x:c r="G8" s="89" t="str">
        <x:v>Локти, колени, сухие гребни</x:v>
      </x:c>
      <x:c r="H8" s="89" t="str">
        <x:v>Только сухие зоны</x:v>
      </x:c>
    </x:row>
    <x:row r="9">
      <x:c r="A9" s="89" t="str">
        <x:v>Сухой свет</x:v>
      </x:c>
      <x:c r="B9" s="89" t="str">
        <x:v>Karak Stone</x:v>
      </x:c>
      <x:c r="C9" s="765" t="str"/>
      <x:c r="D9" s="89" t="str">
        <x:f>IF(C9&lt;&gt;"",C9,IF(B9&lt;&gt;"",B9,""))</x:f>
        <x:v>Karak Stone</x:v>
      </x:c>
      <x:c r="E9" s="89" t="str">
        <x:f>IFERROR(INDEX('Инвентаризация'!$B$2:$B$260,MATCH(D9,'Инвентаризация'!$D$2:$D$260,0)),"")</x:f>
        <x:v>Citadel</x:v>
      </x:c>
      <x:c r="F9" s="89" t="str">
        <x:f>IFERROR(INDEX('Инвентаризация'!$E$2:$E$260,MATCH(D9,'Инвентаризация'!$D$2:$D$260,0)),"")</x:f>
        <x:v>Layer</x:v>
      </x:c>
      <x:c r="G9" s="89" t="str">
        <x:v>Вершины мозолей</x:v>
      </x:c>
      <x:c r="H9" s="89" t="str">
        <x:v>Очень ограниченно</x:v>
      </x:c>
    </x:row>
    <x:row r="10">
      <x:c r="A10" s="89" t="str">
        <x:v>Тёплая физиология</x:v>
      </x:c>
      <x:c r="B10" s="89" t="str">
        <x:v>Carroburg Crimson</x:v>
      </x:c>
      <x:c r="C10" s="765" t="str"/>
      <x:c r="D10" s="89" t="str">
        <x:f>IF(C10&lt;&gt;"",C10,IF(B10&lt;&gt;"",B10,""))</x:f>
        <x:v>Carroburg Crimson</x:v>
      </x:c>
      <x:c r="E10" s="89" t="str">
        <x:f>IFERROR(INDEX('Инвентаризация'!$B$2:$B$260,MATCH(D10,'Инвентаризация'!$D$2:$D$260,0)),"")</x:f>
        <x:v>Citadel</x:v>
      </x:c>
      <x:c r="F10" s="89" t="str">
        <x:f>IFERROR(INDEX('Инвентаризация'!$E$2:$E$260,MATCH(D10,'Инвентаризация'!$D$2:$D$260,0)),"")</x:f>
        <x:v>Shade</x:v>
      </x:c>
      <x:c r="G10" s="89" t="str">
        <x:v>Суставы и воспаление</x:v>
      </x:c>
      <x:c r="H10" s="89" t="str">
        <x:v>Физически объяснимые зоны</x:v>
      </x:c>
    </x:row>
    <x:row r="11">
      <x:c r="A11" s="89" t="str">
        <x:v>Холодная физиология</x:v>
      </x:c>
      <x:c r="B11" s="89" t="str">
        <x:v>Dreadful Visage</x:v>
      </x:c>
      <x:c r="C11" s="765" t="str"/>
      <x:c r="D11" s="89" t="str">
        <x:f>IF(C11&lt;&gt;"",C11,IF(B11&lt;&gt;"",B11,""))</x:f>
        <x:v>Dreadful Visage</x:v>
      </x:c>
      <x:c r="E11" s="89" t="str">
        <x:f>IFERROR(INDEX('Инвентаризация'!$B$2:$B$260,MATCH(D11,'Инвентаризация'!$D$2:$D$260,0)),"")</x:f>
        <x:v>Citadel</x:v>
      </x:c>
      <x:c r="F11" s="89" t="str">
        <x:f>IFERROR(INDEX('Инвентаризация'!$E$2:$E$260,MATCH(D11,'Инвентаризация'!$D$2:$D$260,0)),"")</x:f>
        <x:v>Contrast</x:v>
      </x:c>
      <x:c r="G11" s="89" t="str">
        <x:v>Теневая сторона и старые зоны</x:v>
      </x:c>
      <x:c r="H11" s="89" t="str">
        <x:v>Сильно разбавлять</x:v>
      </x:c>
    </x:row>
    <x:row r="12">
      <x:c r="A12" s="89" t="str">
        <x:v>Болезненная физиология</x:v>
      </x:c>
      <x:c r="B12" s="89" t="str">
        <x:v>Plaguebearer Flesh</x:v>
      </x:c>
      <x:c r="C12" s="765" t="str"/>
      <x:c r="D12" s="89" t="str">
        <x:f>IF(C12&lt;&gt;"",C12,IF(B12&lt;&gt;"",B12,""))</x:f>
        <x:v>Plaguebearer Flesh</x:v>
      </x:c>
      <x:c r="E12" s="89" t="str">
        <x:f>IFERROR(INDEX('Инвентаризация'!$B$2:$B$260,MATCH(D12,'Инвентаризация'!$D$2:$D$260,0)),"")</x:f>
        <x:v>Citadel</x:v>
      </x:c>
      <x:c r="F12" s="89" t="str">
        <x:f>IFERROR(INDEX('Инвентаризация'!$E$2:$E$260,MATCH(D12,'Инвентаризация'!$D$2:$D$260,0)),"")</x:f>
        <x:v>Contrast</x:v>
      </x:c>
      <x:c r="G12" s="89" t="str">
        <x:v>1–2 желтоватые зоны</x:v>
      </x:c>
      <x:c r="H12" s="89" t="str">
        <x:v>Не общий filter</x:v>
      </x:c>
    </x:row>
    <x:row r="13">
      <x:c r="A13" s="89" t="str">
        <x:v>Вены A</x:v>
      </x:c>
      <x:c r="B13" s="89" t="str">
        <x:v>Dark Prussian Blue</x:v>
      </x:c>
      <x:c r="C13" s="765" t="str"/>
      <x:c r="D13" s="89" t="str">
        <x:f>IF(C13&lt;&gt;"",C13,IF(B13&lt;&gt;"",B13,""))</x:f>
        <x:v>Dark Prussian Blue</x:v>
      </x:c>
      <x:c r="E13" s="89" t="str">
        <x:f>IFERROR(INDEX('Инвентаризация'!$B$2:$B$260,MATCH(D13,'Инвентаризация'!$D$2:$D$260,0)),"")</x:f>
        <x:v>AK</x:v>
      </x:c>
      <x:c r="F13" s="89" t="str">
        <x:f>IFERROR(INDEX('Инвентаризация'!$E$2:$E$260,MATCH(D13,'Инвентаризация'!$D$2:$D$260,0)),"")</x:f>
        <x:v>3rd Gen Acrylic — Standard</x:v>
      </x:c>
      <x:c r="G13" s="89" t="str">
        <x:v>Основной холодный компонент</x:v>
      </x:c>
      <x:c r="H13" s="89" t="str">
        <x:v>Под skin glaze</x:v>
      </x:c>
    </x:row>
    <x:row r="14">
      <x:c r="A14" s="89" t="str">
        <x:v>Вены B</x:v>
      </x:c>
      <x:c r="B14" s="89" t="str">
        <x:v>Phoenician Purple</x:v>
      </x:c>
      <x:c r="C14" s="765" t="str"/>
      <x:c r="D14" s="89" t="str">
        <x:f>IF(C14&lt;&gt;"",C14,IF(B14&lt;&gt;"",B14,""))</x:f>
        <x:v>Phoenician Purple</x:v>
      </x:c>
      <x:c r="E14" s="89" t="str">
        <x:f>IFERROR(INDEX('Инвентаризация'!$B$2:$B$260,MATCH(D14,'Инвентаризация'!$D$2:$D$260,0)),"")</x:f>
        <x:v>Citadel</x:v>
      </x:c>
      <x:c r="F14" s="89" t="str">
        <x:f>IFERROR(INDEX('Инвентаризация'!$E$2:$E$260,MATCH(D14,'Инвентаризация'!$D$2:$D$260,0)),"")</x:f>
        <x:v>Base</x:v>
      </x:c>
      <x:c r="G14" s="89" t="str">
        <x:v>Фиолетовый компонент</x:v>
      </x:c>
      <x:c r="H14" s="89" t="str">
        <x:v>Под skin glaze</x:v>
      </x:c>
    </x:row>
    <x:row r="15">
      <x:c r="A15" s="89" t="str">
        <x:v>Старый рубец</x:v>
      </x:c>
      <x:c r="B15" s="89" t="str">
        <x:v>Rakarth Flesh</x:v>
      </x:c>
      <x:c r="C15" s="765" t="str"/>
      <x:c r="D15" s="89" t="str">
        <x:f>IF(C15&lt;&gt;"",C15,IF(B15&lt;&gt;"",B15,""))</x:f>
        <x:v>Rakarth Flesh</x:v>
      </x:c>
      <x:c r="E15" s="89" t="str">
        <x:f>IFERROR(INDEX('Инвентаризация'!$B$2:$B$260,MATCH(D15,'Инвентаризация'!$D$2:$D$260,0)),"")</x:f>
        <x:v>Citadel</x:v>
      </x:c>
      <x:c r="F15" s="89" t="str">
        <x:f>IFERROR(INDEX('Инвентаризация'!$E$2:$E$260,MATCH(D15,'Инвентаризация'!$D$2:$D$260,0)),"")</x:f>
        <x:v>Base</x:v>
      </x:c>
      <x:c r="G15" s="89" t="str">
        <x:v>Светлые поднятые края</x:v>
      </x:c>
      <x:c r="H15" s="89" t="str">
        <x:v>Не ярче фокусных светов</x:v>
      </x:c>
    </x:row>
    <x:row r="16">
      <x:c r="A16" s="89" t="str">
        <x:v>Свежая ткань</x:v>
      </x:c>
      <x:c r="B16" s="89" t="str">
        <x:v>AK Sickly Pink</x:v>
      </x:c>
      <x:c r="C16" s="765" t="str"/>
      <x:c r="D16" s="89" t="str">
        <x:f>IF(C16&lt;&gt;"",C16,IF(B16&lt;&gt;"",B16,""))</x:f>
        <x:v>AK Sickly Pink</x:v>
      </x:c>
      <x:c r="E16" s="89" t="str">
        <x:f>IFERROR(INDEX('Инвентаризация'!$B$2:$B$260,MATCH(D16,'Инвентаризация'!$D$2:$D$260,0)),"")</x:f>
      </x:c>
      <x:c r="F16" s="89" t="str">
        <x:f>IFERROR(INDEX('Инвентаризация'!$E$2:$E$260,MATCH(D16,'Инвентаризация'!$D$2:$D$260,0)),"")</x:f>
      </x:c>
      <x:c r="G16" s="89" t="str">
        <x:v>Свежие растяжки и натяжение</x:v>
      </x:c>
      <x:c r="H16" s="89" t="str">
        <x:v>Только малые зоны</x:v>
      </x:c>
    </x:row>
    <x:row r="17">
      <x:c r="A17" s="89" t="str">
        <x:v>Максимум</x:v>
      </x:c>
      <x:c r="B17" s="89" t="str">
        <x:v>Pale Flesh</x:v>
      </x:c>
      <x:c r="C17" s="765" t="str"/>
      <x:c r="D17" s="89" t="str">
        <x:f>IF(C17&lt;&gt;"",C17,IF(B17&lt;&gt;"",B17,""))</x:f>
        <x:v>Pale Flesh</x:v>
      </x:c>
      <x:c r="E17" s="89" t="str">
        <x:f>IFERROR(INDEX('Инвентаризация'!$B$2:$B$260,MATCH(D17,'Инвентаризация'!$D$2:$D$260,0)),"")</x:f>
        <x:v>Vallejo</x:v>
      </x:c>
      <x:c r="F17" s="89" t="str">
        <x:f>IFERROR(INDEX('Инвентаризация'!$E$2:$E$260,MATCH(D17,'Инвентаризация'!$D$2:$D$260,0)),"")</x:f>
        <x:v>Game Air</x:v>
      </x:c>
      <x:c r="G17" s="89" t="str">
        <x:v>Светлые точки фактуры</x:v>
      </x:c>
      <x:c r="H17" s="89" t="str">
        <x:v>Только верхние зоны</x:v>
      </x:c>
    </x:row>
    <x:row r="18">
      <x:c r="A18" s="89" t="str">
        <x:v>Medium</x:v>
      </x:c>
      <x:c r="B18" s="89" t="str">
        <x:v>Lahmian Medium</x:v>
      </x:c>
      <x:c r="C18" s="765" t="str"/>
      <x:c r="D18" s="89" t="str">
        <x:f>IF(C18&lt;&gt;"",C18,IF(B18&lt;&gt;"",B18,""))</x:f>
        <x:v>Lahmian Medium</x:v>
      </x:c>
      <x:c r="E18" s="89" t="str">
        <x:f>IFERROR(INDEX('Инвентаризация'!$B$2:$B$260,MATCH(D18,'Инвентаризация'!$D$2:$D$260,0)),"")</x:f>
        <x:v>Citadel</x:v>
      </x:c>
      <x:c r="F18" s="89" t="str">
        <x:f>IFERROR(INDEX('Инвентаризация'!$E$2:$E$260,MATCH(D18,'Инвентаризация'!$D$2:$D$260,0)),"")</x:f>
        <x:v>Technical</x:v>
      </x:c>
      <x:c r="G18" s="89" t="str">
        <x:v>Glaze и прозрачность</x:v>
      </x:c>
      <x:c r="H18" s="89" t="str">
        <x:v>Не заменять водой в контрольных смесях</x:v>
      </x:c>
    </x:row>
    <x:row r="21" ht="48" customHeight="1">
      <x:c r="A21" s="788" t="str">
        <x:v>Mix ID</x:v>
      </x:c>
      <x:c r="B21" s="788" t="str">
        <x:v>Назначение</x:v>
      </x:c>
      <x:c r="C21" s="788" t="str">
        <x:v>Краска A</x:v>
      </x:c>
      <x:c r="D21" s="788" t="str">
        <x:v>Краска B</x:v>
      </x:c>
      <x:c r="E21" s="788" t="str">
        <x:v>Капли A</x:v>
      </x:c>
      <x:c r="F21" s="788" t="str">
        <x:v>Капли B</x:v>
      </x:c>
      <x:c r="G21" s="788" t="str">
        <x:v>Medium</x:v>
      </x:c>
      <x:c r="H21" s="788" t="str">
        <x:v>Всего</x:v>
      </x:c>
      <x:c r="I21" s="788" t="str">
        <x:v>Доля Medium</x:v>
      </x:c>
      <x:c r="J21" s="788" t="str">
        <x:v>Метод</x:v>
      </x:c>
      <x:c r="K21" s="788" t="str">
        <x:v>Зона</x:v>
      </x:c>
      <x:c r="L21" s="788" t="str">
        <x:v>Статус</x:v>
      </x:c>
    </x:row>
    <x:row r="22">
      <x:c r="A22" s="89" t="str">
        <x:v>T01</x:v>
      </x:c>
      <x:c r="B22" s="89" t="str">
        <x:v>Тест stippling</x:v>
      </x:c>
      <x:c r="C22" s="765" t="str">
        <x:f>IF(D5="","",D5)</x:f>
      </x:c>
      <x:c r="D22" s="765"/>
      <x:c r="E22" s="89"/>
      <x:c r="F22" s="89"/>
      <x:c r="G22" s="89"/>
      <x:c r="H22" s="89" t="str">
        <x:f>IF(COUNT(E22:G22)=0,"",SUM(E22:G22))</x:f>
      </x:c>
      <x:c r="I22" s="708" t="str">
        <x:f>IF(OR(H22="",H22=0),"",G22/H22)</x:f>
      </x:c>
      <x:c r="J22" s="89" t="str">
        <x:v>Кисть</x:v>
      </x:c>
      <x:c r="K22" s="89" t="str">
        <x:v>Скрытое плечо</x:v>
      </x:c>
      <x:c r="L22" s="89" t="str">
        <x:f>IF('Сессия S03 — фактура'!$B$4&lt;&gt;"READY","LOCKED",IF(C22="","SET MIX","READY"))</x:f>
        <x:v>LOCKED</x:v>
      </x:c>
    </x:row>
    <x:row r="23">
      <x:c r="A23" s="89" t="str">
        <x:v>T02</x:v>
      </x:c>
      <x:c r="B23" s="89" t="str">
        <x:v>Среднетоновая фактура</x:v>
      </x:c>
      <x:c r="C23" s="765" t="str">
        <x:f>IF(D5="","",D5)</x:f>
      </x:c>
      <x:c r="D23" s="765" t="str">
        <x:f>IF(D18="","",D18)</x:f>
        <x:v>Lahmian Medium</x:v>
      </x:c>
      <x:c r="E23" s="89"/>
      <x:c r="F23" s="89"/>
      <x:c r="G23" s="89"/>
      <x:c r="H23" s="89" t="str">
        <x:f>IF(COUNT(E23:G23)=0,"",SUM(E23:G23))</x:f>
      </x:c>
      <x:c r="I23" s="708" t="str">
        <x:f>IF(OR(H23="",H23=0),"",G23/H23)</x:f>
      </x:c>
      <x:c r="J23" s="89" t="str">
        <x:v>Кисть</x:v>
      </x:c>
      <x:c r="K23" s="89" t="str">
        <x:v>Плечи/спина/руки</x:v>
      </x:c>
      <x:c r="L23" s="89" t="str">
        <x:f>IF('Сессия S03 — фактура'!$B$4&lt;&gt;"READY","LOCKED",IF(C23="","SET MIX","READY"))</x:f>
        <x:v>LOCKED</x:v>
      </x:c>
    </x:row>
    <x:row r="24">
      <x:c r="A24" s="89" t="str">
        <x:v>T03</x:v>
      </x:c>
      <x:c r="B24" s="89" t="str">
        <x:v>Тёмные поры</x:v>
      </x:c>
      <x:c r="C24" s="765" t="str">
        <x:v>AK Deep Brown</x:v>
      </x:c>
      <x:c r="D24" s="765" t="str">
        <x:f>IF(D5="","",D5)</x:f>
      </x:c>
      <x:c r="E24" s="89"/>
      <x:c r="F24" s="89"/>
      <x:c r="G24" s="89"/>
      <x:c r="H24" s="89" t="str">
        <x:f>IF(COUNT(E24:G24)=0,"",SUM(E24:G24))</x:f>
      </x:c>
      <x:c r="I24" s="708" t="str">
        <x:f>IF(OR(H24="",H24=0),"",G24/H24)</x:f>
      </x:c>
      <x:c r="J24" s="89" t="str">
        <x:v>Кисть</x:v>
      </x:c>
      <x:c r="K24" s="89" t="str">
        <x:v>Грубые зоны</x:v>
      </x:c>
      <x:c r="L24" s="89" t="str">
        <x:f>IF('Сессия S03 — фактура'!$B$4&lt;&gt;"READY","LOCKED",IF(C24="","SET MIX","READY"))</x:f>
        <x:v>LOCKED</x:v>
      </x:c>
    </x:row>
    <x:row r="25">
      <x:c r="A25" s="89" t="str">
        <x:v>T04</x:v>
      </x:c>
      <x:c r="B25" s="89" t="str">
        <x:v>Светлая фактура</x:v>
      </x:c>
      <x:c r="C25" s="765" t="str">
        <x:f>IF(D6="","",D6)</x:f>
      </x:c>
      <x:c r="D25" s="765" t="str">
        <x:f>IF(D17="","",D17)</x:f>
        <x:v>Pale Flesh</x:v>
      </x:c>
      <x:c r="E25" s="89"/>
      <x:c r="F25" s="89"/>
      <x:c r="G25" s="89"/>
      <x:c r="H25" s="89" t="str">
        <x:f>IF(COUNT(E25:G25)=0,"",SUM(E25:G25))</x:f>
      </x:c>
      <x:c r="I25" s="708" t="str">
        <x:f>IF(OR(H25="",H25=0),"",G25/H25)</x:f>
      </x:c>
      <x:c r="J25" s="89" t="str">
        <x:v>Кисть</x:v>
      </x:c>
      <x:c r="K25" s="89" t="str">
        <x:v>Верхние кластеры</x:v>
      </x:c>
      <x:c r="L25" s="89" t="str">
        <x:f>IF('Сессия S03 — фактура'!$B$4&lt;&gt;"READY","LOCKED",IF(C25="","SET MIX","READY"))</x:f>
        <x:v>LOCKED</x:v>
      </x:c>
    </x:row>
    <x:row r="26">
      <x:c r="A26" s="89" t="str">
        <x:v>T05</x:v>
      </x:c>
      <x:c r="B26" s="89" t="str">
        <x:v>Тёплая физиология</x:v>
      </x:c>
      <x:c r="C26" s="765" t="str">
        <x:v>Carroburg Crimson</x:v>
      </x:c>
      <x:c r="D26" s="765" t="str">
        <x:v>Lahmian Medium</x:v>
      </x:c>
      <x:c r="E26" s="89"/>
      <x:c r="F26" s="89"/>
      <x:c r="G26" s="89"/>
      <x:c r="H26" s="89" t="str">
        <x:f>IF(COUNT(E26:G26)=0,"",SUM(E26:G26))</x:f>
      </x:c>
      <x:c r="I26" s="708" t="str">
        <x:f>IF(OR(H26="",H26=0),"",G26/H26)</x:f>
      </x:c>
      <x:c r="J26" s="89" t="str">
        <x:v>Кисть</x:v>
      </x:c>
      <x:c r="K26" s="89" t="str">
        <x:v>Суставы/воспаление</x:v>
      </x:c>
      <x:c r="L26" s="89" t="str">
        <x:f>IF('Сессия S03 — фактура'!$B$4&lt;&gt;"READY","LOCKED",IF(C26="","SET MIX","READY"))</x:f>
        <x:v>LOCKED</x:v>
      </x:c>
    </x:row>
    <x:row r="27">
      <x:c r="A27" s="89" t="str">
        <x:v>T06</x:v>
      </x:c>
      <x:c r="B27" s="89" t="str">
        <x:v>Холодная физиология</x:v>
      </x:c>
      <x:c r="C27" s="765" t="str">
        <x:v>Dreadful Visage</x:v>
      </x:c>
      <x:c r="D27" s="765" t="str">
        <x:v>Lahmian Medium</x:v>
      </x:c>
      <x:c r="E27" s="89"/>
      <x:c r="F27" s="89"/>
      <x:c r="G27" s="89"/>
      <x:c r="H27" s="89" t="str">
        <x:f>IF(COUNT(E27:G27)=0,"",SUM(E27:G27))</x:f>
      </x:c>
      <x:c r="I27" s="708" t="str">
        <x:f>IF(OR(H27="",H27=0),"",G27/H27)</x:f>
      </x:c>
      <x:c r="J27" s="89" t="str">
        <x:v>Кисть</x:v>
      </x:c>
      <x:c r="K27" s="89" t="str">
        <x:v>Теневая сторона</x:v>
      </x:c>
      <x:c r="L27" s="89" t="str">
        <x:f>IF('Сессия S03 — фактура'!$B$4&lt;&gt;"READY","LOCKED",IF(C27="","SET MIX","READY"))</x:f>
        <x:v>LOCKED</x:v>
      </x:c>
    </x:row>
    <x:row r="28">
      <x:c r="A28" s="89" t="str">
        <x:v>T07</x:v>
      </x:c>
      <x:c r="B28" s="89" t="str">
        <x:v>Болезненный filter</x:v>
      </x:c>
      <x:c r="C28" s="765" t="str">
        <x:v>Plaguebearer Flesh</x:v>
      </x:c>
      <x:c r="D28" s="765" t="str">
        <x:v>Lahmian Medium</x:v>
      </x:c>
      <x:c r="E28" s="89"/>
      <x:c r="F28" s="89"/>
      <x:c r="G28" s="89"/>
      <x:c r="H28" s="89" t="str">
        <x:f>IF(COUNT(E28:G28)=0,"",SUM(E28:G28))</x:f>
      </x:c>
      <x:c r="I28" s="708" t="str">
        <x:f>IF(OR(H28="",H28=0),"",G28/H28)</x:f>
      </x:c>
      <x:c r="J28" s="89" t="str">
        <x:v>Кисть</x:v>
      </x:c>
      <x:c r="K28" s="89" t="str">
        <x:v>1–2 зоны</x:v>
      </x:c>
      <x:c r="L28" s="89" t="str">
        <x:f>IF('Сессия S03 — фактура'!$B$4&lt;&gt;"READY","LOCKED",IF(C28="","SET MIX","READY"))</x:f>
        <x:v>LOCKED</x:v>
      </x:c>
    </x:row>
    <x:row r="29">
      <x:c r="A29" s="89" t="str">
        <x:v>T08</x:v>
      </x:c>
      <x:c r="B29" s="89" t="str">
        <x:v>Вены 2:1</x:v>
      </x:c>
      <x:c r="C29" s="765" t="str">
        <x:v>Dark Prussian Blue</x:v>
      </x:c>
      <x:c r="D29" s="765" t="str">
        <x:v>Phoenician Purple</x:v>
      </x:c>
      <x:c r="E29" s="89" t="n">
        <x:v>2</x:v>
      </x:c>
      <x:c r="F29" s="89" t="n">
        <x:v>1</x:v>
      </x:c>
      <x:c r="G29" s="89"/>
      <x:c r="H29" s="89" t="n">
        <x:f>IF(COUNT(E29:G29)=0,"",SUM(E29:G29))</x:f>
        <x:v>3</x:v>
      </x:c>
      <x:c r="I29" s="708" t="n">
        <x:f>IF(OR(H29="",H29=0),"",G29/H29)</x:f>
        <x:v>0</x:v>
      </x:c>
      <x:c r="J29" s="89" t="str">
        <x:v>Кисть</x:v>
      </x:c>
      <x:c r="K29" s="89" t="str">
        <x:v>Плечо/грудь/рука</x:v>
      </x:c>
      <x:c r="L29" s="89" t="str">
        <x:f>IF('Сессия S03 — фактура'!$B$4&lt;&gt;"READY","LOCKED",IF(C29="","SET MIX","READY"))</x:f>
        <x:v>LOCKED</x:v>
      </x:c>
    </x:row>
    <x:row r="30">
      <x:c r="A30" s="89" t="str">
        <x:v>T09</x:v>
      </x:c>
      <x:c r="B30" s="89" t="str">
        <x:v>Skin glaze над венами</x:v>
      </x:c>
      <x:c r="C30" s="765" t="str">
        <x:f>IF(D5="","",D5)</x:f>
      </x:c>
      <x:c r="D30" s="765" t="str">
        <x:f>IF(D18="","",D18)</x:f>
        <x:v>Lahmian Medium</x:v>
      </x:c>
      <x:c r="E30" s="89"/>
      <x:c r="F30" s="89"/>
      <x:c r="G30" s="89"/>
      <x:c r="H30" s="89" t="str">
        <x:f>IF(COUNT(E30:G30)=0,"",SUM(E30:G30))</x:f>
      </x:c>
      <x:c r="I30" s="708" t="str">
        <x:f>IF(OR(H30="",H30=0),"",G30/H30)</x:f>
      </x:c>
      <x:c r="J30" s="89" t="str">
        <x:v>Кисть</x:v>
      </x:c>
      <x:c r="K30" s="89" t="str">
        <x:v>Вены</x:v>
      </x:c>
      <x:c r="L30" s="89" t="str">
        <x:f>IF('Сессия S03 — фактура'!$B$4&lt;&gt;"READY","LOCKED",IF(C30="","SET MIX","READY"))</x:f>
        <x:v>LOCKED</x:v>
      </x:c>
    </x:row>
    <x:row r="31">
      <x:c r="A31" s="89" t="str">
        <x:v>T10</x:v>
      </x:c>
      <x:c r="B31" s="89" t="str">
        <x:v>Сухая мозоль</x:v>
      </x:c>
      <x:c r="C31" s="765" t="str">
        <x:v>Stormvermin Fur</x:v>
      </x:c>
      <x:c r="D31" s="765" t="str">
        <x:f>IF(D5="","",D5)</x:f>
      </x:c>
      <x:c r="E31" s="89"/>
      <x:c r="F31" s="89"/>
      <x:c r="G31" s="89"/>
      <x:c r="H31" s="89" t="str">
        <x:f>IF(COUNT(E31:G31)=0,"",SUM(E31:G31))</x:f>
      </x:c>
      <x:c r="I31" s="708" t="str">
        <x:f>IF(OR(H31="",H31=0),"",G31/H31)</x:f>
      </x:c>
      <x:c r="J31" s="89" t="str">
        <x:v>Кисть</x:v>
      </x:c>
      <x:c r="K31" s="89" t="str">
        <x:v>Локти/колени</x:v>
      </x:c>
      <x:c r="L31" s="89" t="str">
        <x:f>IF('Сессия S03 — фактура'!$B$4&lt;&gt;"READY","LOCKED",IF(C31="","SET MIX","READY"))</x:f>
        <x:v>LOCKED</x:v>
      </x:c>
    </x:row>
    <x:row r="32">
      <x:c r="A32" s="89" t="str">
        <x:v>T11</x:v>
      </x:c>
      <x:c r="B32" s="89" t="str">
        <x:v>Старые рубцы</x:v>
      </x:c>
      <x:c r="C32" s="765" t="str">
        <x:v>Rakarth Flesh</x:v>
      </x:c>
      <x:c r="D32" s="765" t="str">
        <x:f>IF(D5="","",D5)</x:f>
      </x:c>
      <x:c r="E32" s="89"/>
      <x:c r="F32" s="89"/>
      <x:c r="G32" s="89"/>
      <x:c r="H32" s="89" t="str">
        <x:f>IF(COUNT(E32:G32)=0,"",SUM(E32:G32))</x:f>
      </x:c>
      <x:c r="I32" s="708" t="str">
        <x:f>IF(OR(H32="",H32=0),"",G32/H32)</x:f>
      </x:c>
      <x:c r="J32" s="89" t="str">
        <x:v>Кисть</x:v>
      </x:c>
      <x:c r="K32" s="89" t="str">
        <x:v>Выбранные зоны</x:v>
      </x:c>
      <x:c r="L32" s="89" t="str">
        <x:f>IF('Сессия S03 — фактура'!$B$4&lt;&gt;"READY","LOCKED",IF(C32="","SET MIX","READY"))</x:f>
        <x:v>LOCKED</x:v>
      </x:c>
    </x:row>
    <x:row r="33">
      <x:c r="A33" s="89" t="str">
        <x:v>T12</x:v>
      </x:c>
      <x:c r="B33" s="89" t="str">
        <x:v>Свежие растяжки</x:v>
      </x:c>
      <x:c r="C33" s="765" t="str">
        <x:v>Carroburg Crimson</x:v>
      </x:c>
      <x:c r="D33" s="765" t="str">
        <x:v>AK Sickly Pink</x:v>
      </x:c>
      <x:c r="E33" s="89"/>
      <x:c r="F33" s="89"/>
      <x:c r="G33" s="89"/>
      <x:c r="H33" s="89" t="str">
        <x:f>IF(COUNT(E33:G33)=0,"",SUM(E33:G33))</x:f>
      </x:c>
      <x:c r="I33" s="708" t="str">
        <x:f>IF(OR(H33="",H33=0),"",G33/H33)</x:f>
      </x:c>
      <x:c r="J33" s="89" t="str">
        <x:v>Кисть</x:v>
      </x:c>
      <x:c r="K33" s="89" t="str">
        <x:v>1–2 зоны</x:v>
      </x:c>
      <x:c r="L33" s="89" t="str">
        <x:f>IF('Сессия S03 — фактура'!$B$4&lt;&gt;"READY","LOCKED",IF(C33="","SET MIX","READY"))</x:f>
        <x:v>LOCKED</x:v>
      </x:c>
    </x:row>
  </x:sheetData>
  <x:mergeCells>
    <x:mergeCell ref="A1:H1"/>
    <x:mergeCell ref="A2:H2"/>
  </x:mergeCells>
  <x:conditionalFormatting sqref="L22:L33">
    <x:cfRule type="expression" dxfId="181" priority="1">
      <x:formula>L22="READY"</x:formula>
    </x:cfRule>
    <x:cfRule type="expression" dxfId="182" priority="2">
      <x:formula>L22="SET MIX"</x:formula>
    </x:cfRule>
    <x:cfRule type="expression" dxfId="183" priority="3">
      <x:formula>L22="LOCKED"</x:formula>
    </x:cfRule>
  </x:conditionalFormatting>
  <x:dataValidations count="4">
    <x:dataValidation type="list" sqref="C5:C18">
      <x:formula1>'Инвентаризация'!$D$2:$D$260</x:formula1>
    </x:dataValidation>
    <x:dataValidation type="list" sqref="C22:D33">
      <x:formula1>'Инвентаризация'!$D$2:$D$260</x:formula1>
    </x:dataValidation>
    <x:dataValidation operator="between" sqref="E22:G33">
      <x:formula1>0</x:formula1>
      <x:formula2>100</x:formula2>
    </x:dataValidation>
    <x:dataValidation type="list" sqref="J22:J33">
      <x:formula1>"Кисть,Кисть + glaze,Кисть + локальный аэрограф"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00d4550d62ee4c2e"/>
    <x:tablePart xmlns:r="http://schemas.openxmlformats.org/officeDocument/2006/relationships" r:id="R2cae95044a614c23"/>
  </x:tableParts>
</x:worksheet>
</file>

<file path=xl/worksheets/sheet6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9" hidden="0" customWidth="1"/>
    <x:col min="3" max="3" width="29" hidden="0" customWidth="1"/>
    <x:col min="4" max="4" width="31" hidden="0" customWidth="1"/>
    <x:col min="5" max="5" width="31" hidden="0" customWidth="1"/>
    <x:col min="6" max="6" width="38" hidden="0" customWidth="1"/>
    <x:col min="7" max="7" width="38" hidden="0" customWidth="1"/>
    <x:col min="8" max="8" width="21" hidden="0" customWidth="1"/>
    <x:col min="9" max="9" width="27" hidden="0" customWidth="1"/>
    <x:col min="10" max="10" width="14" hidden="0" customWidth="1"/>
    <x:col min="11" max="11" width="38" hidden="0" customWidth="1"/>
  </x:cols>
  <x:sheetData>
    <x:row r="1" ht="38" customHeight="1">
      <x:c r="A1" s="769" t="str">
        <x:v>Карта фактуры S03: плотность, физиология и зоны покоя</x:v>
      </x:c>
      <x:c r="B1" s="769"/>
      <x:c r="C1" s="769"/>
      <x:c r="D1" s="769"/>
      <x:c r="E1" s="769"/>
      <x:c r="F1" s="769"/>
      <x:c r="G1" s="769"/>
      <x:c r="H1" s="769"/>
      <x:c r="I1" s="769"/>
      <x:c r="J1" s="769"/>
      <x:c r="K1" s="769"/>
    </x:row>
    <x:row r="2" ht="38" customHeight="1">
      <x:c r="A2" s="772" t="str">
        <x:v>Кожа большой модели должна иметь зоны высокой, средней и минимальной фактуры. Чистые плоскости нужны для сохранения масштаба и фокуса.</x:v>
      </x:c>
      <x:c r="B2" s="772"/>
      <x:c r="C2" s="772"/>
      <x:c r="D2" s="772"/>
      <x:c r="E2" s="772"/>
      <x:c r="F2" s="772"/>
      <x:c r="G2" s="772"/>
      <x:c r="H2" s="772"/>
      <x:c r="I2" s="772"/>
      <x:c r="J2" s="772"/>
      <x:c r="K2" s="772"/>
    </x:row>
    <x:row r="4">
      <x:c r="A4" s="785" t="str">
        <x:v>Плотность</x:v>
      </x:c>
      <x:c r="B4" s="785" t="str">
        <x:v>Покрытие</x:v>
      </x:c>
      <x:c r="C4" s="785" t="str">
        <x:v>Назначение</x:v>
      </x:c>
      <x:c r="D4" s="785" t="str">
        <x:v>Зоны</x:v>
      </x:c>
      <x:c r="E4" s="785" t="str">
        <x:v>Допустимая физиология</x:v>
      </x:c>
      <x:c r="F4" s="785" t="str">
        <x:v>Главный риск</x:v>
      </x:c>
    </x:row>
    <x:row r="5">
      <x:c r="A5" s="784" t="str">
        <x:v>Максимальная</x:v>
      </x:c>
      <x:c r="B5" s="784" t="str">
        <x:v>40–60%</x:v>
      </x:c>
      <x:c r="C5" s="784" t="str">
        <x:v>Грубая защитная кожа</x:v>
      </x:c>
      <x:c r="D5" s="784" t="str">
        <x:v>Плечи, верхняя спина</x:v>
      </x:c>
      <x:c r="E5" s="784" t="str">
        <x:v>Холодная тень, редкие поры</x:v>
      </x:c>
      <x:c r="F5" s="784" t="str">
        <x:v>Потеря анатомии</x:v>
      </x:c>
    </x:row>
    <x:row r="6">
      <x:c r="A6" s="784" t="str">
        <x:v>Средняя</x:v>
      </x:c>
      <x:c r="B6" s="784" t="str">
        <x:v>20–40%</x:v>
      </x:c>
      <x:c r="C6" s="784" t="str">
        <x:v>Обычная крупная кожа</x:v>
      </x:c>
      <x:c r="D6" s="784" t="str">
        <x:v>Внешние руки, бок</x:v>
      </x:c>
      <x:c r="E6" s="784" t="str">
        <x:v>Тёплые/холодные пятна</x:v>
      </x:c>
      <x:c r="F6" s="784" t="str">
        <x:v>Равномерная крапинка</x:v>
      </x:c>
    </x:row>
    <x:row r="7">
      <x:c r="A7" s="784" t="str">
        <x:v>Низкая</x:v>
      </x:c>
      <x:c r="B7" s="784" t="str">
        <x:v>&lt;20%</x:v>
      </x:c>
      <x:c r="C7" s="784" t="str">
        <x:v>Фокус и световые плоскости</x:v>
      </x:c>
      <x:c r="D7" s="784" t="str">
        <x:v>Грудь, шея, кисти</x:v>
      </x:c>
      <x:c r="E7" s="784" t="str">
        <x:v>Локальная красная физиология</x:v>
      </x:c>
      <x:c r="F7" s="784" t="str">
        <x:v>Слишком гладкая заплата</x:v>
      </x:c>
    </x:row>
    <x:row r="8">
      <x:c r="A8" s="784" t="str">
        <x:v>Минимальная</x:v>
      </x:c>
      <x:c r="B8" s="784" t="str">
        <x:v>0–10%</x:v>
      </x:c>
      <x:c r="C8" s="784" t="str">
        <x:v>Мягкая и фокусная кожа</x:v>
      </x:c>
      <x:c r="D8" s="784" t="str">
        <x:v>Лицо, брюхо, веки</x:v>
      </x:c>
      <x:c r="E8" s="784" t="str">
        <x:v>Только glaze</x:v>
      </x:c>
      <x:c r="F8" s="784" t="str">
        <x:v>Перегрузка деталями</x:v>
      </x:c>
    </x:row>
    <x:row r="11" ht="48" customHeight="1">
      <x:c r="A11" s="788" t="str">
        <x:v>Зона</x:v>
      </x:c>
      <x:c r="B11" s="788" t="str">
        <x:v>Плотность</x:v>
      </x:c>
      <x:c r="C11" s="788" t="str">
        <x:v>Размер кластеров</x:v>
      </x:c>
      <x:c r="D11" s="788" t="str">
        <x:v>Тёмные поры</x:v>
      </x:c>
      <x:c r="E11" s="788" t="str">
        <x:v>Светлая фактура</x:v>
      </x:c>
      <x:c r="F11" s="788" t="str">
        <x:v>Физиология</x:v>
      </x:c>
      <x:c r="G11" s="788" t="str">
        <x:v>Зона покоя</x:v>
      </x:c>
      <x:c r="H11" s="788" t="str">
        <x:v>Recipe ID</x:v>
      </x:c>
      <x:c r="I11" s="788" t="str">
        <x:v>Контроль</x:v>
      </x:c>
      <x:c r="J11" s="788" t="str">
        <x:v>Статус</x:v>
      </x:c>
      <x:c r="K11" s="788" t="str">
        <x:v>Примечание</x:v>
      </x:c>
    </x:row>
    <x:row r="12">
      <x:c r="A12" s="89" t="str">
        <x:v>Плечи</x:v>
      </x:c>
      <x:c r="B12" s="89" t="str">
        <x:v>Максимальная</x:v>
      </x:c>
      <x:c r="C12" s="89" t="str">
        <x:v>Крупные + средние</x:v>
      </x:c>
      <x:c r="D12" s="89" t="str">
        <x:v>Да, снизу/снаружи</x:v>
      </x:c>
      <x:c r="E12" s="89" t="str">
        <x:v>Да, верхняя дуга</x:v>
      </x:c>
      <x:c r="F12" s="89" t="str">
        <x:v>Холодная/красная локально</x:v>
      </x:c>
      <x:c r="G12" s="89" t="str">
        <x:v>У шеи</x:v>
      </x:c>
      <x:c r="H12" s="89" t="str">
        <x:v>513–516, 519</x:v>
      </x:c>
      <x:c r="I12" s="89" t="str">
        <x:v>Профиль/макро</x:v>
      </x:c>
      <x:c r="J12" s="89" t="str">
        <x:f>IF('Сессия S03 — фактура'!$B$4="READY","READY","LOCKED")</x:f>
        <x:v>LOCKED</x:v>
      </x:c>
      <x:c r="K12" s="89" t="str"/>
    </x:row>
    <x:row r="13">
      <x:c r="A13" s="89" t="str">
        <x:v>Верхняя спина</x:v>
      </x:c>
      <x:c r="B13" s="89" t="str">
        <x:v>Максимальная</x:v>
      </x:c>
      <x:c r="C13" s="89" t="str">
        <x:v>Крупные</x:v>
      </x:c>
      <x:c r="D13" s="89" t="str">
        <x:v>Да</x:v>
      </x:c>
      <x:c r="E13" s="89" t="str">
        <x:v>Сухие гребни</x:v>
      </x:c>
      <x:c r="F13" s="89" t="str">
        <x:v>Холодная тень</x:v>
      </x:c>
      <x:c r="G13" s="89" t="str">
        <x:v>К шее</x:v>
      </x:c>
      <x:c r="H13" s="89" t="str">
        <x:v>513–516, 520</x:v>
      </x:c>
      <x:c r="I13" s="89" t="str">
        <x:v>Спина/боковой свет</x:v>
      </x:c>
      <x:c r="J13" s="89" t="str">
        <x:f>IF('Сессия S03 — фактура'!$B$4="READY","READY","LOCKED")</x:f>
        <x:v>LOCKED</x:v>
      </x:c>
      <x:c r="K13" s="89" t="str"/>
    </x:row>
    <x:row r="14">
      <x:c r="A14" s="89" t="str">
        <x:v>Внешние руки</x:v>
      </x:c>
      <x:c r="B14" s="89" t="str">
        <x:v>Средняя</x:v>
      </x:c>
      <x:c r="C14" s="89" t="str">
        <x:v>Продольные средние</x:v>
      </x:c>
      <x:c r="D14" s="89" t="str">
        <x:v>Да, снаружи</x:v>
      </x:c>
      <x:c r="E14" s="89" t="str">
        <x:v>Да, сторона света</x:v>
      </x:c>
      <x:c r="F14" s="89" t="str">
        <x:v>Красные суставы</x:v>
      </x:c>
      <x:c r="G14" s="89" t="str">
        <x:v>Внутренняя сторона</x:v>
      </x:c>
      <x:c r="H14" s="89" t="str">
        <x:v>521, 527</x:v>
      </x:c>
      <x:c r="I14" s="89" t="str">
        <x:v>Оба профиля</x:v>
      </x:c>
      <x:c r="J14" s="89" t="str">
        <x:f>IF('Сессия S03 — фактура'!$B$4="READY","READY","LOCKED")</x:f>
        <x:v>LOCKED</x:v>
      </x:c>
      <x:c r="K14" s="89" t="str"/>
    </x:row>
    <x:row r="15">
      <x:c r="A15" s="89" t="str">
        <x:v>Локти/колени</x:v>
      </x:c>
      <x:c r="B15" s="89" t="str">
        <x:v>Средняя локально</x:v>
      </x:c>
      <x:c r="C15" s="89" t="str">
        <x:v>Мелкие сухие</x:v>
      </x:c>
      <x:c r="D15" s="89" t="str">
        <x:v>Нет</x:v>
      </x:c>
      <x:c r="E15" s="89" t="str">
        <x:v>Karak/Pale Sand</x:v>
      </x:c>
      <x:c r="F15" s="89" t="str">
        <x:v>Красное вокруг, не поверх</x:v>
      </x:c>
      <x:c r="G15" s="89" t="str">
        <x:v>Окружающая кожа</x:v>
      </x:c>
      <x:c r="H15" s="89" t="str">
        <x:v>522</x:v>
      </x:c>
      <x:c r="I15" s="89" t="str">
        <x:v>Макро</x:v>
      </x:c>
      <x:c r="J15" s="89" t="str">
        <x:f>IF('Сессия S03 — фактура'!$B$4="READY","READY","LOCKED")</x:f>
        <x:v>LOCKED</x:v>
      </x:c>
      <x:c r="K15" s="89" t="str"/>
    </x:row>
    <x:row r="16">
      <x:c r="A16" s="89" t="str">
        <x:v>Кисти/костяшки</x:v>
      </x:c>
      <x:c r="B16" s="89" t="str">
        <x:v>Низкая</x:v>
      </x:c>
      <x:c r="C16" s="89" t="str">
        <x:v>Очень мелкие</x:v>
      </x:c>
      <x:c r="D16" s="89" t="str">
        <x:v>Нет</x:v>
      </x:c>
      <x:c r="E16" s="89" t="str">
        <x:v>Да, вершины</x:v>
      </x:c>
      <x:c r="F16" s="89" t="str">
        <x:v>Красные складки</x:v>
      </x:c>
      <x:c r="G16" s="89" t="str">
        <x:v>Ладонь/мягкие зоны</x:v>
      </x:c>
      <x:c r="H16" s="89" t="str">
        <x:v>523</x:v>
      </x:c>
      <x:c r="I16" s="89" t="str">
        <x:v>Макро руки</x:v>
      </x:c>
      <x:c r="J16" s="89" t="str">
        <x:f>IF('Сессия S03 — фактура'!$B$4="READY","READY","LOCKED")</x:f>
        <x:v>LOCKED</x:v>
      </x:c>
      <x:c r="K16" s="89" t="str"/>
    </x:row>
    <x:row r="17">
      <x:c r="A17" s="89" t="str">
        <x:v>Грудь</x:v>
      </x:c>
      <x:c r="B17" s="89" t="str">
        <x:v>Низкая</x:v>
      </x:c>
      <x:c r="C17" s="89" t="str">
        <x:v>Средние редкие</x:v>
      </x:c>
      <x:c r="D17" s="89" t="str">
        <x:v>Только у боков</x:v>
      </x:c>
      <x:c r="E17" s="89" t="str">
        <x:v>1–2 верхних кластера</x:v>
      </x:c>
      <x:c r="F17" s="89" t="str">
        <x:v>Слабая тёплая</x:v>
      </x:c>
      <x:c r="G17" s="89" t="str">
        <x:v>Грудина/ключицы</x:v>
      </x:c>
      <x:c r="H17" s="89" t="str">
        <x:v>524, 527</x:v>
      </x:c>
      <x:c r="I17" s="89" t="str">
        <x:v>Фронт</x:v>
      </x:c>
      <x:c r="J17" s="89" t="str">
        <x:f>IF('Сессия S03 — фактура'!$B$4="READY","READY","LOCKED")</x:f>
        <x:v>LOCKED</x:v>
      </x:c>
      <x:c r="K17" s="89" t="str"/>
    </x:row>
    <x:row r="18">
      <x:c r="A18" s="89" t="str">
        <x:v>Мягкое брюхо</x:v>
      </x:c>
      <x:c r="B18" s="89" t="str">
        <x:v>Минимальная</x:v>
      </x:c>
      <x:c r="C18" s="89" t="str">
        <x:v>Почти нет</x:v>
      </x:c>
      <x:c r="D18" s="89" t="str">
        <x:v>Нет</x:v>
      </x:c>
      <x:c r="E18" s="89" t="str">
        <x:v>Glaze, не точки</x:v>
      </x:c>
      <x:c r="F18" s="89" t="str">
        <x:v>Слабая желтоватая/красная</x:v>
      </x:c>
      <x:c r="G18" s="89" t="str">
        <x:v>Центр брюха</x:v>
      </x:c>
      <x:c r="H18" s="89" t="str">
        <x:v>525, 529</x:v>
      </x:c>
      <x:c r="I18" s="89" t="str">
        <x:v>Фронт/макро</x:v>
      </x:c>
      <x:c r="J18" s="89" t="str">
        <x:f>IF('Сессия S03 — фактура'!$B$4="READY","READY","LOCKED")</x:f>
        <x:v>LOCKED</x:v>
      </x:c>
      <x:c r="K18" s="89" t="str"/>
    </x:row>
    <x:row r="19">
      <x:c r="A19" s="89" t="str">
        <x:v>Лицо</x:v>
      </x:c>
      <x:c r="B19" s="89" t="str">
        <x:v>Минимальная</x:v>
      </x:c>
      <x:c r="C19" s="89" t="str">
        <x:v>Очень мелкие на висках</x:v>
      </x:c>
      <x:c r="D19" s="89" t="str">
        <x:v>Нет</x:v>
      </x:c>
      <x:c r="E19" s="89" t="str">
        <x:v>Позже в S04</x:v>
      </x:c>
      <x:c r="F19" s="89" t="str">
        <x:v>Позже в S04</x:v>
      </x:c>
      <x:c r="G19" s="89" t="str">
        <x:v>Щёки/веки/губы</x:v>
      </x:c>
      <x:c r="H19" s="89" t="str">
        <x:v>518</x:v>
      </x:c>
      <x:c r="I19" s="89" t="str">
        <x:v>Макро лица</x:v>
      </x:c>
      <x:c r="J19" s="89" t="str">
        <x:f>IF('Сессия S03 — фактура'!$B$4="READY","READY","LOCKED")</x:f>
        <x:v>LOCKED</x:v>
      </x:c>
      <x:c r="K19" s="89" t="str"/>
    </x:row>
    <x:row r="20">
      <x:c r="A20" s="89" t="str">
        <x:v>Пигментация</x:v>
      </x:c>
      <x:c r="B20" s="89" t="str">
        <x:v>Не применяется</x:v>
      </x:c>
      <x:c r="C20" s="89" t="str">
        <x:v>Крупные мягкие пятна</x:v>
      </x:c>
      <x:c r="D20" s="89" t="str">
        <x:v>Нет</x:v>
      </x:c>
      <x:c r="E20" s="89" t="str">
        <x:v>Восстановить после glaze</x:v>
      </x:c>
      <x:c r="F20" s="89" t="str">
        <x:v>Красный/фиолетовый/жёлтый</x:v>
      </x:c>
      <x:c r="G20" s="89" t="str">
        <x:v>50–70% чистой кожи</x:v>
      </x:c>
      <x:c r="H20" s="89" t="str">
        <x:v>526–530</x:v>
      </x:c>
      <x:c r="I20" s="89" t="str">
        <x:v>Дневной свет</x:v>
      </x:c>
      <x:c r="J20" s="89" t="str">
        <x:f>IF('Сессия S03 — фактура'!$B$4="READY","READY","LOCKED")</x:f>
        <x:v>LOCKED</x:v>
      </x:c>
      <x:c r="K20" s="89" t="str"/>
    </x:row>
    <x:row r="21">
      <x:c r="A21" s="89" t="str">
        <x:v>Вены</x:v>
      </x:c>
      <x:c r="B21" s="89" t="str">
        <x:v>Не применяется</x:v>
      </x:c>
      <x:c r="C21" s="89" t="str">
        <x:v>3–6 линий</x:v>
      </x:c>
      <x:c r="D21" s="89" t="str">
        <x:v>Нет</x:v>
      </x:c>
      <x:c r="E21" s="89" t="str">
        <x:v>Перекрыть skin glaze</x:v>
      </x:c>
      <x:c r="F21" s="89" t="str">
        <x:v>Холодная</x:v>
      </x:c>
      <x:c r="G21" s="89" t="str">
        <x:v>Большинство кожи без вен</x:v>
      </x:c>
      <x:c r="H21" s="89" t="str">
        <x:v>531–532</x:v>
      </x:c>
      <x:c r="I21" s="89" t="str">
        <x:v>Макро + дистанция</x:v>
      </x:c>
      <x:c r="J21" s="89" t="str">
        <x:f>IF('Сессия S03 — фактура'!$B$4="READY","READY","LOCKED")</x:f>
        <x:v>LOCKED</x:v>
      </x:c>
      <x:c r="K21" s="89" t="str"/>
    </x:row>
    <x:row r="22">
      <x:c r="A22" s="89" t="str">
        <x:v>Рубцы/растяжки</x:v>
      </x:c>
      <x:c r="B22" s="89" t="str">
        <x:v>Не применяется</x:v>
      </x:c>
      <x:c r="C22" s="89" t="str">
        <x:v>Разный размер</x:v>
      </x:c>
      <x:c r="D22" s="89" t="str">
        <x:v>Глубокая линия только у рубца</x:v>
      </x:c>
      <x:c r="E22" s="89" t="str">
        <x:v>Светлый поднятый край</x:v>
      </x:c>
      <x:c r="F22" s="89" t="str">
        <x:v>Свежая/старая</x:v>
      </x:c>
      <x:c r="G22" s="89" t="str">
        <x:v>Не более двух типов</x:v>
      </x:c>
      <x:c r="H22" s="89" t="str">
        <x:v>533–535</x:v>
      </x:c>
      <x:c r="I22" s="89" t="str">
        <x:v>Макро</x:v>
      </x:c>
      <x:c r="J22" s="89" t="str">
        <x:f>IF('Сессия S03 — фактура'!$B$4="READY","READY","LOCKED")</x:f>
        <x:v>LOCKED</x:v>
      </x:c>
      <x:c r="K22" s="89" t="str"/>
    </x:row>
  </x:sheetData>
  <x:mergeCells>
    <x:mergeCell ref="A1:K1"/>
    <x:mergeCell ref="A2:K2"/>
  </x:mergeCells>
  <x:conditionalFormatting sqref="J12:J22">
    <x:cfRule type="expression" dxfId="184" priority="1">
      <x:formula>J12="READY"</x:formula>
    </x:cfRule>
    <x:cfRule type="expression" dxfId="185" priority="2">
      <x:formula>J12="LOCKED"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c6dbff4a4d847d4"/>
  </x:tableParts>
</x:worksheet>
</file>

<file path=xl/worksheets/sheet7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7" hidden="0" customWidth="1"/>
    <x:col min="3" max="3" width="31" hidden="0" customWidth="1"/>
    <x:col min="4" max="4" width="64" hidden="0" customWidth="1"/>
    <x:col min="5" max="5" width="84" hidden="0" customWidth="1"/>
    <x:col min="6" max="6" width="90" hidden="0" customWidth="1"/>
  </x:cols>
  <x:sheetData>
    <x:row r="1" ht="38" customHeight="1">
      <x:c r="A1" s="769" t="str">
        <x:v>Восемнадцатый проход: заблокированный модуль S03 — фактура и физиология</x:v>
      </x:c>
      <x:c r="B1" s="769"/>
      <x:c r="C1" s="769"/>
      <x:c r="D1" s="769"/>
      <x:c r="E1" s="769"/>
      <x:c r="F1" s="769"/>
    </x:row>
    <x:row r="3">
      <x:c r="A3" s="774" t="str">
        <x:v>Показатель</x:v>
      </x:c>
      <x:c r="B3" s="774" t="str">
        <x:v>Результат</x:v>
      </x:c>
    </x:row>
    <x:row r="4">
      <x:c r="A4" s="784" t="str">
        <x:v>Рецептов до прохода</x:v>
      </x:c>
      <x:c r="B4" s="792" t="n">
        <x:v>510</x:v>
      </x:c>
    </x:row>
    <x:row r="5">
      <x:c r="A5" s="784" t="str">
        <x:v>Новых рецептов</x:v>
      </x:c>
      <x:c r="B5" s="792" t="n">
        <x:v>30</x:v>
      </x:c>
    </x:row>
    <x:row r="6">
      <x:c r="A6" s="784" t="str">
        <x:v>Рецептов после прохода</x:v>
      </x:c>
      <x:c r="B6" s="792" t="n">
        <x:v>540</x:v>
      </x:c>
    </x:row>
    <x:row r="7">
      <x:c r="A7" s="784" t="str">
        <x:v>Текущий статус S03</x:v>
      </x:c>
      <x:c r="B7" s="792" t="str">
        <x:f>'Сессия S03 — фактура'!B4</x:f>
        <x:v>LOCKED</x:v>
      </x:c>
    </x:row>
    <x:row r="8">
      <x:c r="A8" s="784" t="str">
        <x:v>Условие разблокировки</x:v>
      </x:c>
      <x:c r="B8" s="792" t="str">
        <x:v>S02 = CLOSE S02</x:v>
      </x:c>
    </x:row>
    <x:row r="9">
      <x:c r="A9" s="784" t="str">
        <x:v>Рабочих зон S03</x:v>
      </x:c>
      <x:c r="B9" s="792" t="n">
        <x:v>12</x:v>
      </x:c>
    </x:row>
    <x:row r="10">
      <x:c r="A10" s="784" t="str">
        <x:v>Порог PASS</x:v>
      </x:c>
      <x:c r="B10" s="792" t="str">
        <x:v>Фактура ≥4 / физиология ≥3 / форма ≥4</x:v>
      </x:c>
    </x:row>
    <x:row r="11">
      <x:c r="A11" s="784" t="str">
        <x:v>Плотности фактуры</x:v>
      </x:c>
      <x:c r="B11" s="792" t="str">
        <x:v>Максимальная / средняя / низкая / минимальная</x:v>
      </x:c>
    </x:row>
    <x:row r="12">
      <x:c r="A12" s="784" t="str">
        <x:v>Палитрных ролей</x:v>
      </x:c>
      <x:c r="B12" s="792" t="n">
        <x:v>14</x:v>
      </x:c>
    </x:row>
    <x:row r="13">
      <x:c r="A13" s="784" t="str">
        <x:v>Замесов S03</x:v>
      </x:c>
      <x:c r="B13" s="792" t="n">
        <x:v>12</x:v>
      </x:c>
    </x:row>
    <x:row r="14">
      <x:c r="A14" s="784" t="str">
        <x:v>Обязательные проверки</x:v>
      </x:c>
      <x:c r="B14" s="792" t="str">
        <x:v>Макро / игровая дистанция / grayscale</x:v>
      </x:c>
    </x:row>
    <x:row r="15">
      <x:c r="A15" s="784" t="str">
        <x:v>Зоны минимальной фактуры</x:v>
      </x:c>
      <x:c r="B15" s="792" t="str">
        <x:v>Лицо и мягкое брюхо</x:v>
      </x:c>
    </x:row>
    <x:row r="16">
      <x:c r="A16" s="784" t="str">
        <x:v>Навигатор обновлён</x:v>
      </x:c>
      <x:c r="B16" s="792" t="str">
        <x:v>Recipe ID 1–540</x:v>
      </x:c>
    </x:row>
    <x:row r="17">
      <x:c r="A17" s="784" t="str">
        <x:v>Ключевой принцип</x:v>
      </x:c>
      <x:c r="B17" s="784" t="str">
        <x:v>Фактура читается вблизи, исчезает издали и не скрывает подтверждённую анатомию S02</x:v>
      </x:c>
    </x:row>
    <x:row r="20">
      <x:c r="A20" s="788" t="str">
        <x:v>ID</x:v>
      </x:c>
      <x:c r="B20" s="788" t="str">
        <x:v>Область</x:v>
      </x:c>
      <x:c r="C20" s="788" t="str">
        <x:v>Статус</x:v>
      </x:c>
      <x:c r="D20" s="788" t="str">
        <x:v>Что обнаружено</x:v>
      </x:c>
      <x:c r="E20" s="788" t="str">
        <x:v>Действие</x:v>
      </x:c>
      <x:c r="F20" s="788" t="str">
        <x:v>Основание</x:v>
      </x:c>
    </x:row>
    <x:row r="21">
      <x:c r="A21" s="89" t="str">
        <x:v>AUD18-01</x:v>
      </x:c>
      <x:c r="B21" s="89" t="str">
        <x:v>Dependency gate</x:v>
      </x:c>
      <x:c r="C21" s="89" t="str">
        <x:v>Добавлено</x:v>
      </x:c>
      <x:c r="D21" s="89" t="str">
        <x:v>S03 существовала как общий этап без технической блокировки.</x:v>
      </x:c>
      <x:c r="E21" s="89" t="str">
        <x:v>Новый лист показывает LOCKED до результата CLOSE S02.</x:v>
      </x:c>
      <x:c r="F21" s="89" t="str">
        <x:v>Формула доступа B4 и recipe 511.</x:v>
      </x:c>
    </x:row>
    <x:row r="22">
      <x:c r="A22" s="89" t="str">
        <x:v>AUD18-02</x:v>
      </x:c>
      <x:c r="B22" s="89" t="str">
        <x:v>Масштаб фактуры</x:v>
      </x:c>
      <x:c r="C22" s="89" t="str">
        <x:v>Систематизировано</x:v>
      </x:c>
      <x:c r="D22" s="89" t="str">
        <x:v>Stippling мог оцениваться только вблизи.</x:v>
      </x:c>
      <x:c r="E22" s="89" t="str">
        <x:v>Введён обязательный тест 20/40/60% покрытия и сравнение макро с игровой дистанцией.</x:v>
      </x:c>
      <x:c r="F22" s="89" t="str">
        <x:v>Рецепты 512–513 и dual-distance gate.</x:v>
      </x:c>
    </x:row>
    <x:row r="23">
      <x:c r="A23" s="89" t="str">
        <x:v>AUD18-03</x:v>
      </x:c>
      <x:c r="B23" s="89" t="str">
        <x:v>Градиент материала</x:v>
      </x:c>
      <x:c r="C23" s="89" t="str">
        <x:v>Добавлено</x:v>
      </x:c>
      <x:c r="D23" s="89" t="str">
        <x:v>Одна плотность фактуры могла применяться ко всей коже.</x:v>
      </x:c>
      <x:c r="E23" s="89" t="str">
        <x:v>Плечи/спина получили максимальную плотность, руки среднюю, грудь низкую, лицо/брюхо минимальную.</x:v>
      </x:c>
      <x:c r="F23" s="89" t="str">
        <x:v>Карта фактуры S03.</x:v>
      </x:c>
    </x:row>
    <x:row r="24">
      <x:c r="A24" s="89" t="str">
        <x:v>AUD18-04</x:v>
      </x:c>
      <x:c r="B24" s="89" t="str">
        <x:v>Сохранение анатомии</x:v>
      </x:c>
      <x:c r="C24" s="89" t="str">
        <x:v>Добавлено</x:v>
      </x:c>
      <x:c r="D24" s="89" t="str">
        <x:v>Фактура могла скрыть значения и формы S02.</x:v>
      </x:c>
      <x:c r="E24" s="89" t="str">
        <x:v>Каждая зона оценивает сохранение формы; grayscale включён в общий gate.</x:v>
      </x:c>
      <x:c r="F24" s="89" t="str">
        <x:v>Порог формы ≥4 и recipe 538.</x:v>
      </x:c>
    </x:row>
    <x:row r="25">
      <x:c r="A25" s="89" t="str">
        <x:v>AUD18-05</x:v>
      </x:c>
      <x:c r="B25" s="89" t="str">
        <x:v>Физиология</x:v>
      </x:c>
      <x:c r="C25" s="89" t="str">
        <x:v>Систематизировано</x:v>
      </x:c>
      <x:c r="D25" s="89" t="str">
        <x:v>Красные, фиолетовые и желтоватые glaze существовали отдельно.</x:v>
      </x:c>
      <x:c r="E25" s="89" t="str">
        <x:v>Создана физическая карта: красный — напряжение, фиолетовый — холодные/старые зоны, жёлтый — болезнь.</x:v>
      </x:c>
      <x:c r="F25" s="89" t="str">
        <x:v>Рецепты 526–530.</x:v>
      </x:c>
    </x:row>
    <x:row r="26">
      <x:c r="A26" s="89" t="str">
        <x:v>AUD18-06</x:v>
      </x:c>
      <x:c r="B26" s="89" t="str">
        <x:v>Вены</x:v>
      </x:c>
      <x:c r="C26" s="89" t="str">
        <x:v>Ограничено</x:v>
      </x:c>
      <x:c r="D26" s="89" t="str">
        <x:v>Крупные вены могли перегрузить всю модель.</x:v>
      </x:c>
      <x:c r="E26" s="89" t="str">
        <x:v>Допускаются 3–6 разветвлённых линий, частично перекрытых skin glaze.</x:v>
      </x:c>
      <x:c r="F26" s="89" t="str">
        <x:v>Рецепты 531–532.</x:v>
      </x:c>
    </x:row>
    <x:row r="27">
      <x:c r="A27" s="89" t="str">
        <x:v>AUD18-07</x:v>
      </x:c>
      <x:c r="B27" s="89" t="str">
        <x:v>Рубцы и растяжки</x:v>
      </x:c>
      <x:c r="C27" s="89" t="str">
        <x:v>Ограничено</x:v>
      </x:c>
      <x:c r="D27" s="89" t="str">
        <x:v>Несколько типов повреждений могли конкурировать с фокусом.</x:v>
      </x:c>
      <x:c r="E27" s="89" t="str">
        <x:v>S03 допускает максимум два типа; старые, свежие и глубокие рубцы разделены.</x:v>
      </x:c>
      <x:c r="F27" s="89" t="str">
        <x:v>Рецепты 533–535.</x:v>
      </x:c>
    </x:row>
    <x:row r="28">
      <x:c r="A28" s="89" t="str">
        <x:v>AUD18-08</x:v>
      </x:c>
      <x:c r="B28" s="89" t="str">
        <x:v>Зоны покоя</x:v>
      </x:c>
      <x:c r="C28" s="89" t="str">
        <x:v>Добавлено</x:v>
      </x:c>
      <x:c r="D28" s="89" t="str">
        <x:v>Чистые плоскости не были формально защищены.</x:v>
      </x:c>
      <x:c r="E28" s="89" t="str">
        <x:v>Лицо и центр брюха закреплены как зоны минимальной фактуры.</x:v>
      </x:c>
      <x:c r="F28" s="89" t="str">
        <x:v>Рецепты 518 и 525.</x:v>
      </x:c>
    </x:row>
    <x:row r="29">
      <x:c r="A29" s="89" t="str">
        <x:v>AUD18-09</x:v>
      </x:c>
      <x:c r="B29" s="89" t="str">
        <x:v>Палитра</x:v>
      </x:c>
      <x:c r="C29" s="89" t="str">
        <x:v>Связано с S02</x:v>
      </x:c>
      <x:c r="D29" s="89" t="str">
        <x:v>Фактурная сессия могла использовать другой skin midtone.</x:v>
      </x:c>
      <x:c r="E29" s="89" t="str">
        <x:v>S03 наследует основной и светлый тон S02, а отдельные физиологические краски выбираются явно.</x:v>
      </x:c>
      <x:c r="F29" s="89" t="str">
        <x:v>Лист «Палитра S03».</x:v>
      </x:c>
    </x:row>
    <x:row r="30">
      <x:c r="A30" s="89" t="str">
        <x:v>AUD18-10</x:v>
      </x:c>
      <x:c r="B30" s="89" t="str">
        <x:v>Закрытие S03</x:v>
      </x:c>
      <x:c r="C30" s="89" t="str">
        <x:v>Добавлено</x:v>
      </x:c>
      <x:c r="D30" s="89" t="str">
        <x:v>Не было формального допуска к лицу S04.</x:v>
      </x:c>
      <x:c r="E30" s="89" t="str">
        <x:v>CLOSE S03 требует 12 PASS-зон и согласованных макро, дистанции и grayscale.</x:v>
      </x:c>
      <x:c r="F30" s="89" t="str">
        <x:v>Рецепты 539–540.</x:v>
      </x:c>
    </x:row>
    <x:row r="34">
      <x:c r="A34" s="782" t="str">
        <x:v>Лист</x:v>
      </x:c>
      <x:c r="B34" s="782" t="str">
        <x:v>Назначение</x:v>
      </x:c>
      <x:c r="C34" s="782" t="str">
        <x:v>Текущий результат</x:v>
      </x:c>
    </x:row>
    <x:row r="35">
      <x:c r="A35" s="784" t="str">
        <x:v>Сессия S03 — фактура</x:v>
      </x:c>
      <x:c r="B35" s="784" t="str">
        <x:v>12 зон и dual-distance gate</x:v>
      </x:c>
      <x:c r="C35" s="784" t="str">
        <x:f>'Сессия S03 — фактура'!N5</x:f>
        <x:v>LOCKED</x:v>
      </x:c>
    </x:row>
    <x:row r="36">
      <x:c r="A36" s="784" t="str">
        <x:v>Палитра S03</x:v>
      </x:c>
      <x:c r="B36" s="784" t="str">
        <x:v>14 ролей и 12 замесов</x:v>
      </x:c>
      <x:c r="C36" s="784" t="str">
        <x:v>LOCKED до CLOSE S02</x:v>
      </x:c>
    </x:row>
    <x:row r="37">
      <x:c r="A37" s="784" t="str">
        <x:v>Карта фактуры S03</x:v>
      </x:c>
      <x:c r="B37" s="784" t="str">
        <x:v>Плотность, зоны покоя и физиология</x:v>
      </x:c>
      <x:c r="C37" s="784" t="str">
        <x:v>11 картированных областей</x:v>
      </x:c>
    </x:row>
    <x:row r="38">
      <x:c r="A38" s="784" t="str">
        <x:v>Демон-принц — проект</x:v>
      </x:c>
      <x:c r="B38" s="784" t="str">
        <x:v>Этапы 5–6</x:v>
      </x:c>
      <x:c r="C38" s="784" t="str">
        <x:v>Результат связан с S03 N5</x:v>
      </x:c>
    </x:row>
    <x:row r="39">
      <x:c r="A39" s="784" t="str">
        <x:v>Сессии демон-принца</x:v>
      </x:c>
      <x:c r="B39" s="784" t="str">
        <x:v>Строка S03</x:v>
      </x:c>
      <x:c r="C39" s="784" t="str">
        <x:v>Recipe ID 511–540</x:v>
      </x:c>
    </x:row>
    <x:row r="40">
      <x:c r="A40" s="784" t="str">
        <x:v>Тестовые карты</x:v>
      </x:c>
      <x:c r="B40" s="784" t="str">
        <x:v>Будущий test patch</x:v>
      </x:c>
      <x:c r="C40" s="784" t="str">
        <x:v>Recipe ID 512</x:v>
      </x:c>
    </x:row>
    <x:row r="41">
      <x:c r="A41" s="784" t="str">
        <x:v>Навигатор базы</x:v>
      </x:c>
      <x:c r="B41" s="784" t="str">
        <x:v>Поиск рецептов</x:v>
      </x:c>
      <x:c r="C41" s="784" t="str">
        <x:v>ID 1–540</x:v>
      </x:c>
    </x:row>
  </x:sheetData>
  <x:mergeCells>
    <x:mergeCell ref="A1:F1"/>
  </x:mergeCells>
  <x:pageMargins left="0.7" right="0.7" top="0.75" bottom="0.75" header="0.3" footer="0.3"/>
</x:worksheet>
</file>